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120" yWindow="705" windowWidth="15585" windowHeight="10740" tabRatio="913"/>
  </bookViews>
  <sheets>
    <sheet name="Fanlar" sheetId="23" r:id="rId1"/>
    <sheet name="Musiqa san’ati" sheetId="2" r:id="rId2"/>
    <sheet name="Bastakorlik san’ati" sheetId="14" r:id="rId3"/>
    <sheet name="Musiqiy ovoz rejissyorligi" sheetId="15" r:id="rId4"/>
    <sheet name="Xor dirijyorligi" sheetId="18" r:id="rId5"/>
    <sheet name="O‘zbek xalq cholg‘ulari dir" sheetId="17" r:id="rId6"/>
    <sheet name="Opera-simfoniya dirijyorligi" sheetId="19" r:id="rId7"/>
    <sheet name="Akademik  xonandalik" sheetId="4" r:id="rId8"/>
    <sheet name="Fortepiano (organ)" sheetId="6" r:id="rId9"/>
    <sheet name="Puflama va zarbli cholg‘ular" sheetId="13" r:id="rId10"/>
    <sheet name="xalq cholg‘ulari" sheetId="21" r:id="rId11"/>
    <sheet name="torli cholg‘ular" sheetId="22" r:id="rId12"/>
  </sheets>
  <definedNames>
    <definedName name="_xlnm.Print_Area" localSheetId="7">'Akademik  xonandalik'!$A$1:$BR$126</definedName>
    <definedName name="_xlnm.Print_Area" localSheetId="2">'Bastakorlik san’ati'!$A$1:$BR$142</definedName>
    <definedName name="_xlnm.Print_Area" localSheetId="0">Fanlar!$A$1:$BH$87</definedName>
    <definedName name="_xlnm.Print_Area" localSheetId="8">'Fortepiano (organ)'!$A$1:$BR$127</definedName>
    <definedName name="_xlnm.Print_Area" localSheetId="1">'Musiqa san’ati'!$A$1:$BR$135</definedName>
    <definedName name="_xlnm.Print_Area" localSheetId="3">'Musiqiy ovoz rejissyorligi'!$A$1:$BR$141</definedName>
    <definedName name="_xlnm.Print_Area" localSheetId="5">'O‘zbek xalq cholg‘ulari dir'!$A$1:$BR$131</definedName>
    <definedName name="_xlnm.Print_Area" localSheetId="6">'Opera-simfoniya dirijyorligi'!$A$1:$BR$132</definedName>
    <definedName name="_xlnm.Print_Area" localSheetId="9">'Puflama va zarbli cholg‘ular'!$A$1:$BR$124</definedName>
    <definedName name="_xlnm.Print_Area" localSheetId="11">'torli cholg‘ular'!$A$1:$BR$144</definedName>
    <definedName name="_xlnm.Print_Area" localSheetId="10">'xalq cholg‘ulari'!$A$1:$BR$144</definedName>
    <definedName name="_xlnm.Print_Area" localSheetId="4">'Xor dirijyorligi'!$A$1:$BR$134</definedName>
  </definedNames>
  <calcPr calcId="152511"/>
</workbook>
</file>

<file path=xl/calcChain.xml><?xml version="1.0" encoding="utf-8"?>
<calcChain xmlns="http://schemas.openxmlformats.org/spreadsheetml/2006/main">
  <c r="L31" i="23" l="1"/>
  <c r="F31" i="23" s="1"/>
  <c r="BE31" i="23" s="1"/>
  <c r="L44" i="23" l="1"/>
  <c r="F44" i="23" s="1"/>
  <c r="BE44" i="23" s="1"/>
  <c r="L51" i="23"/>
  <c r="F51" i="23" s="1"/>
  <c r="BE51" i="23" s="1"/>
  <c r="L57" i="23"/>
  <c r="F57" i="23" s="1"/>
  <c r="BE57" i="23" s="1"/>
  <c r="L65" i="23"/>
  <c r="F65" i="23" s="1"/>
  <c r="BE65" i="23" s="1"/>
  <c r="L71" i="23"/>
  <c r="F71" i="23" s="1"/>
  <c r="BE71" i="23" s="1"/>
  <c r="L76" i="23"/>
  <c r="F76" i="23" s="1"/>
  <c r="BE76" i="23" s="1"/>
  <c r="L81" i="23"/>
  <c r="F81" i="23" s="1"/>
  <c r="BE81" i="23" s="1"/>
  <c r="L87" i="23"/>
  <c r="F87" i="23" s="1"/>
  <c r="BE87" i="23" s="1"/>
  <c r="L38" i="23"/>
  <c r="F38" i="23" s="1"/>
  <c r="BE38" i="23" s="1"/>
  <c r="L86" i="23" l="1"/>
  <c r="F86" i="23" s="1"/>
  <c r="BE86" i="23" s="1"/>
  <c r="L85" i="23"/>
  <c r="F85" i="23" s="1"/>
  <c r="BE85" i="23" s="1"/>
  <c r="L84" i="23"/>
  <c r="F84" i="23" s="1"/>
  <c r="BE84" i="23" s="1"/>
  <c r="L37" i="23"/>
  <c r="F37" i="23" s="1"/>
  <c r="BE37" i="23" s="1"/>
  <c r="L80" i="23"/>
  <c r="F80" i="23" s="1"/>
  <c r="BE80" i="23" s="1"/>
  <c r="L79" i="23"/>
  <c r="F79" i="23" s="1"/>
  <c r="BE79" i="23" s="1"/>
  <c r="L75" i="23"/>
  <c r="F75" i="23" s="1"/>
  <c r="BE75" i="23" s="1"/>
  <c r="L74" i="23"/>
  <c r="F74" i="23" s="1"/>
  <c r="BE74" i="23" s="1"/>
  <c r="L70" i="23"/>
  <c r="F70" i="23" s="1"/>
  <c r="BE70" i="23" s="1"/>
  <c r="L69" i="23"/>
  <c r="F69" i="23" s="1"/>
  <c r="BE69" i="23" s="1"/>
  <c r="L68" i="23"/>
  <c r="F68" i="23" s="1"/>
  <c r="BE68" i="23" s="1"/>
  <c r="L30" i="23"/>
  <c r="F30" i="23" s="1"/>
  <c r="BE30" i="23" s="1"/>
  <c r="L64" i="23"/>
  <c r="F64" i="23" s="1"/>
  <c r="BE64" i="23" s="1"/>
  <c r="L62" i="23"/>
  <c r="F62" i="23" s="1"/>
  <c r="BE62" i="23" s="1"/>
  <c r="L61" i="23"/>
  <c r="F61" i="23" s="1"/>
  <c r="BE61" i="23" s="1"/>
  <c r="L63" i="23"/>
  <c r="F63" i="23" s="1"/>
  <c r="BE63" i="23" s="1"/>
  <c r="L56" i="23"/>
  <c r="F56" i="23" s="1"/>
  <c r="BE56" i="23" s="1"/>
  <c r="L58" i="23"/>
  <c r="F58" i="23" s="1"/>
  <c r="BE58" i="23" s="1"/>
  <c r="L55" i="23"/>
  <c r="F55" i="23" s="1"/>
  <c r="BE55" i="23" s="1"/>
  <c r="L54" i="23"/>
  <c r="F54" i="23" s="1"/>
  <c r="BE54" i="23" s="1"/>
  <c r="L27" i="23"/>
  <c r="F27" i="23" s="1"/>
  <c r="BE27" i="23" s="1"/>
  <c r="L23" i="23"/>
  <c r="F23" i="23" s="1"/>
  <c r="BE23" i="23" s="1"/>
  <c r="L21" i="23"/>
  <c r="F21" i="23" s="1"/>
  <c r="BE21" i="23" s="1"/>
  <c r="L19" i="23"/>
  <c r="F19" i="23" s="1"/>
  <c r="BE19" i="23" s="1"/>
  <c r="L50" i="23"/>
  <c r="F50" i="23" s="1"/>
  <c r="BE50" i="23" s="1"/>
  <c r="L49" i="23"/>
  <c r="F49" i="23" s="1"/>
  <c r="BE49" i="23" s="1"/>
  <c r="L48" i="23"/>
  <c r="F48" i="23" s="1"/>
  <c r="BE48" i="23" s="1"/>
  <c r="L47" i="23"/>
  <c r="F47" i="23" s="1"/>
  <c r="BE47" i="23" s="1"/>
  <c r="L43" i="23"/>
  <c r="F43" i="23" s="1"/>
  <c r="BE43" i="23" s="1"/>
  <c r="L42" i="23"/>
  <c r="F42" i="23" s="1"/>
  <c r="BE42" i="23" s="1"/>
  <c r="L41" i="23"/>
  <c r="F41" i="23" s="1"/>
  <c r="BE41" i="23" s="1"/>
  <c r="L25" i="23"/>
  <c r="F25" i="23" s="1"/>
  <c r="BE25" i="23" s="1"/>
  <c r="L36" i="23"/>
  <c r="F36" i="23" s="1"/>
  <c r="BE36" i="23" s="1"/>
  <c r="L35" i="23"/>
  <c r="F35" i="23" s="1"/>
  <c r="BE35" i="23" s="1"/>
  <c r="L34" i="23"/>
  <c r="F34" i="23" s="1"/>
  <c r="BE34" i="23" s="1"/>
  <c r="L29" i="23" l="1"/>
  <c r="F29" i="23" s="1"/>
  <c r="BE29" i="23" s="1"/>
  <c r="L28" i="23"/>
  <c r="F28" i="23" s="1"/>
  <c r="L26" i="23"/>
  <c r="F26" i="23" s="1"/>
  <c r="L24" i="23"/>
  <c r="F24" i="23" s="1"/>
  <c r="L22" i="23"/>
  <c r="F22" i="23" s="1"/>
  <c r="L20" i="23"/>
  <c r="L18" i="23"/>
  <c r="F18" i="23" s="1"/>
  <c r="L17" i="23"/>
  <c r="F17" i="23" s="1"/>
  <c r="L16" i="23"/>
  <c r="F16" i="23" s="1"/>
  <c r="BB15" i="23"/>
  <c r="AY15" i="23"/>
  <c r="AV15" i="23"/>
  <c r="AS15" i="23"/>
  <c r="AP15" i="23"/>
  <c r="AM15" i="23"/>
  <c r="AJ15" i="23"/>
  <c r="AG15" i="23"/>
  <c r="AD15" i="23"/>
  <c r="AA15" i="23"/>
  <c r="X15" i="23"/>
  <c r="U15" i="23"/>
  <c r="R15" i="23"/>
  <c r="O15" i="23"/>
  <c r="L15" i="23" l="1"/>
  <c r="F15" i="23" s="1"/>
  <c r="BE15" i="23" s="1"/>
  <c r="BE16" i="23"/>
  <c r="BE17" i="23"/>
  <c r="BE22" i="23"/>
  <c r="BE28" i="23"/>
  <c r="F20" i="23"/>
  <c r="BE26" i="23"/>
  <c r="BE18" i="23"/>
  <c r="BE24" i="23"/>
  <c r="BX82" i="22"/>
  <c r="BW82" i="22"/>
  <c r="V82" i="22"/>
  <c r="P82" i="22" s="1"/>
  <c r="BO82" i="22" s="1"/>
  <c r="BX81" i="22"/>
  <c r="BW81" i="22"/>
  <c r="V81" i="22"/>
  <c r="BX80" i="22"/>
  <c r="BW80" i="22"/>
  <c r="V80" i="22"/>
  <c r="BL79" i="22"/>
  <c r="BI79" i="22"/>
  <c r="BF79" i="22"/>
  <c r="BC79" i="22"/>
  <c r="BX79" i="22" s="1"/>
  <c r="AZ79" i="22"/>
  <c r="AW79" i="22"/>
  <c r="AT79" i="22"/>
  <c r="AQ79" i="22"/>
  <c r="AN79" i="22"/>
  <c r="BX77" i="22"/>
  <c r="BY77" i="22" s="1"/>
  <c r="BZ77" i="22" s="1"/>
  <c r="BU77" i="22"/>
  <c r="BV77" i="22" s="1"/>
  <c r="BW77" i="22" s="1"/>
  <c r="BT77" i="22"/>
  <c r="BS77" i="22"/>
  <c r="BO77" i="22"/>
  <c r="BX76" i="22"/>
  <c r="BU76" i="22"/>
  <c r="BV76" i="22" s="1"/>
  <c r="BW76" i="22" s="1"/>
  <c r="BT76" i="22"/>
  <c r="BS76" i="22"/>
  <c r="BO76" i="22"/>
  <c r="BX75" i="22"/>
  <c r="BU75" i="22"/>
  <c r="V75" i="22"/>
  <c r="P75" i="22"/>
  <c r="BT75" i="22" s="1"/>
  <c r="BX74" i="22"/>
  <c r="BU74" i="22"/>
  <c r="BV74" i="22" s="1"/>
  <c r="BW74" i="22" s="1"/>
  <c r="BT74" i="22"/>
  <c r="BS74" i="22"/>
  <c r="BO74" i="22"/>
  <c r="BX73" i="22"/>
  <c r="BU73" i="22"/>
  <c r="BV73" i="22" s="1"/>
  <c r="BW73" i="22" s="1"/>
  <c r="BT73" i="22"/>
  <c r="BS73" i="22"/>
  <c r="BO73" i="22"/>
  <c r="BX72" i="22"/>
  <c r="BU72" i="22"/>
  <c r="V72" i="22"/>
  <c r="P72" i="22" s="1"/>
  <c r="BX71" i="22"/>
  <c r="BU71" i="22"/>
  <c r="BV71" i="22" s="1"/>
  <c r="BW71" i="22" s="1"/>
  <c r="BT71" i="22"/>
  <c r="BS71" i="22"/>
  <c r="BO71" i="22"/>
  <c r="BX70" i="22"/>
  <c r="BU70" i="22"/>
  <c r="BV70" i="22" s="1"/>
  <c r="BW70" i="22" s="1"/>
  <c r="BT70" i="22"/>
  <c r="BS70" i="22"/>
  <c r="BO70" i="22"/>
  <c r="BX69" i="22"/>
  <c r="BU69" i="22"/>
  <c r="V69" i="22"/>
  <c r="P69" i="22" s="1"/>
  <c r="BL68" i="22"/>
  <c r="BI68" i="22"/>
  <c r="BF68" i="22"/>
  <c r="BC68" i="22"/>
  <c r="AZ68" i="22"/>
  <c r="AW68" i="22"/>
  <c r="AT68" i="22"/>
  <c r="AQ68" i="22"/>
  <c r="V68" i="22" s="1"/>
  <c r="AN68" i="22"/>
  <c r="AK68" i="22"/>
  <c r="AH68" i="22"/>
  <c r="AE68" i="22"/>
  <c r="AB68" i="22"/>
  <c r="Y68" i="22"/>
  <c r="BX67" i="22"/>
  <c r="BU67" i="22"/>
  <c r="V67" i="22"/>
  <c r="BX66" i="22"/>
  <c r="BU66" i="22"/>
  <c r="V66" i="22"/>
  <c r="P66" i="22"/>
  <c r="BX65" i="22"/>
  <c r="BU65" i="22"/>
  <c r="V65" i="22"/>
  <c r="P65" i="22" s="1"/>
  <c r="BO65" i="22" s="1"/>
  <c r="BX64" i="22"/>
  <c r="BU64" i="22"/>
  <c r="BV64" i="22" s="1"/>
  <c r="BW64" i="22" s="1"/>
  <c r="V64" i="22"/>
  <c r="BS64" i="22" s="1"/>
  <c r="P64" i="22"/>
  <c r="BT64" i="22" s="1"/>
  <c r="BX63" i="22"/>
  <c r="BU63" i="22"/>
  <c r="V63" i="22"/>
  <c r="P63" i="22"/>
  <c r="BX62" i="22"/>
  <c r="BU62" i="22"/>
  <c r="V62" i="22"/>
  <c r="P62" i="22" s="1"/>
  <c r="BX61" i="22"/>
  <c r="BU61" i="22"/>
  <c r="V61" i="22"/>
  <c r="P61" i="22" s="1"/>
  <c r="BT61" i="22" s="1"/>
  <c r="BX60" i="22"/>
  <c r="BU60" i="22"/>
  <c r="V60" i="22"/>
  <c r="BX59" i="22"/>
  <c r="BU59" i="22"/>
  <c r="V59" i="22"/>
  <c r="P59" i="22"/>
  <c r="BT59" i="22" s="1"/>
  <c r="BX58" i="22"/>
  <c r="BU58" i="22"/>
  <c r="V58" i="22"/>
  <c r="P58" i="22" s="1"/>
  <c r="BT58" i="22" s="1"/>
  <c r="BL57" i="22"/>
  <c r="BI57" i="22"/>
  <c r="BF57" i="22"/>
  <c r="BC57" i="22"/>
  <c r="AZ57" i="22"/>
  <c r="AW57" i="22"/>
  <c r="AT57" i="22"/>
  <c r="AQ57" i="22"/>
  <c r="AN57" i="22"/>
  <c r="AK57" i="22"/>
  <c r="AH57" i="22"/>
  <c r="AE57" i="22"/>
  <c r="AB57" i="22"/>
  <c r="Y57" i="22"/>
  <c r="BO37" i="22"/>
  <c r="BM37" i="22"/>
  <c r="BK37" i="22"/>
  <c r="BI37" i="22"/>
  <c r="BG37" i="22"/>
  <c r="BE37" i="22"/>
  <c r="BC36" i="22"/>
  <c r="BQ36" i="22" s="1"/>
  <c r="BC35" i="22"/>
  <c r="BC37" i="22" s="1"/>
  <c r="BX62" i="21"/>
  <c r="BU62" i="21"/>
  <c r="V62" i="21"/>
  <c r="BX82" i="21"/>
  <c r="BW82" i="21"/>
  <c r="V82" i="21"/>
  <c r="P82" i="21"/>
  <c r="BT82" i="21" s="1"/>
  <c r="BX81" i="21"/>
  <c r="BW81" i="21"/>
  <c r="V81" i="21"/>
  <c r="P81" i="21" s="1"/>
  <c r="BX80" i="21"/>
  <c r="BW80" i="21"/>
  <c r="V80" i="21"/>
  <c r="P80" i="21"/>
  <c r="BT80" i="21" s="1"/>
  <c r="BL79" i="21"/>
  <c r="BI79" i="21"/>
  <c r="BF79" i="21"/>
  <c r="BC79" i="21"/>
  <c r="BX79" i="21" s="1"/>
  <c r="AZ79" i="21"/>
  <c r="AW79" i="21"/>
  <c r="AT79" i="21"/>
  <c r="AQ79" i="21"/>
  <c r="AN79" i="21"/>
  <c r="BX77" i="21"/>
  <c r="BU77" i="21"/>
  <c r="BV77" i="21" s="1"/>
  <c r="BW77" i="21" s="1"/>
  <c r="BT77" i="21"/>
  <c r="BS77" i="21"/>
  <c r="BO77" i="21"/>
  <c r="BX76" i="21"/>
  <c r="BU76" i="21"/>
  <c r="BV76" i="21" s="1"/>
  <c r="BW76" i="21" s="1"/>
  <c r="BT76" i="21"/>
  <c r="BS76" i="21"/>
  <c r="BO76" i="21"/>
  <c r="BX75" i="21"/>
  <c r="BU75" i="21"/>
  <c r="BV75" i="21" s="1"/>
  <c r="BW75" i="21" s="1"/>
  <c r="V75" i="21"/>
  <c r="P75" i="21" s="1"/>
  <c r="BT75" i="21" s="1"/>
  <c r="BX74" i="21"/>
  <c r="BU74" i="21"/>
  <c r="BV74" i="21" s="1"/>
  <c r="BW74" i="21" s="1"/>
  <c r="BT74" i="21"/>
  <c r="BS74" i="21"/>
  <c r="BO74" i="21"/>
  <c r="BX73" i="21"/>
  <c r="BY73" i="21" s="1"/>
  <c r="BZ73" i="21" s="1"/>
  <c r="BU73" i="21"/>
  <c r="BV73" i="21" s="1"/>
  <c r="BW73" i="21" s="1"/>
  <c r="BT73" i="21"/>
  <c r="BS73" i="21"/>
  <c r="BO73" i="21"/>
  <c r="BX72" i="21"/>
  <c r="BU72" i="21"/>
  <c r="V72" i="21"/>
  <c r="P72" i="21" s="1"/>
  <c r="BX71" i="21"/>
  <c r="BY71" i="21" s="1"/>
  <c r="BZ71" i="21" s="1"/>
  <c r="BV71" i="21"/>
  <c r="BW71" i="21" s="1"/>
  <c r="BU71" i="21"/>
  <c r="BT71" i="21"/>
  <c r="BS71" i="21"/>
  <c r="BO71" i="21"/>
  <c r="BX70" i="21"/>
  <c r="BU70" i="21"/>
  <c r="BV70" i="21" s="1"/>
  <c r="BW70" i="21" s="1"/>
  <c r="BT70" i="21"/>
  <c r="BS70" i="21"/>
  <c r="BO70" i="21"/>
  <c r="BX69" i="21"/>
  <c r="BU69" i="21"/>
  <c r="V69" i="21"/>
  <c r="P69" i="21"/>
  <c r="BO69" i="21" s="1"/>
  <c r="BL68" i="21"/>
  <c r="BI68" i="21"/>
  <c r="BF68" i="21"/>
  <c r="BC68" i="21"/>
  <c r="AZ68" i="21"/>
  <c r="AW68" i="21"/>
  <c r="AT68" i="21"/>
  <c r="AQ68" i="21"/>
  <c r="AN68" i="21"/>
  <c r="AK68" i="21"/>
  <c r="AH68" i="21"/>
  <c r="AE68" i="21"/>
  <c r="AB68" i="21"/>
  <c r="Y68" i="21"/>
  <c r="BX67" i="21"/>
  <c r="BU67" i="21"/>
  <c r="V67" i="21"/>
  <c r="P67" i="21" s="1"/>
  <c r="BO67" i="21" s="1"/>
  <c r="BX66" i="21"/>
  <c r="BU66" i="21"/>
  <c r="V66" i="21"/>
  <c r="P66" i="21"/>
  <c r="BT66" i="21" s="1"/>
  <c r="BX65" i="21"/>
  <c r="BU65" i="21"/>
  <c r="V65" i="21"/>
  <c r="BX64" i="21"/>
  <c r="BU64" i="21"/>
  <c r="V64" i="21"/>
  <c r="P64" i="21"/>
  <c r="BT64" i="21" s="1"/>
  <c r="BX63" i="21"/>
  <c r="BU63" i="21"/>
  <c r="V63" i="21"/>
  <c r="BX61" i="21"/>
  <c r="BU61" i="21"/>
  <c r="V61" i="21"/>
  <c r="P61" i="21" s="1"/>
  <c r="BT61" i="21" s="1"/>
  <c r="BX60" i="21"/>
  <c r="BU60" i="21"/>
  <c r="BV60" i="21" s="1"/>
  <c r="BW60" i="21" s="1"/>
  <c r="V60" i="21"/>
  <c r="P60" i="21"/>
  <c r="BT60" i="21" s="1"/>
  <c r="BX59" i="21"/>
  <c r="BU59" i="21"/>
  <c r="V59" i="21"/>
  <c r="P59" i="21" s="1"/>
  <c r="BX58" i="21"/>
  <c r="BU58" i="21"/>
  <c r="V58" i="21"/>
  <c r="BL57" i="21"/>
  <c r="BI57" i="21"/>
  <c r="BF57" i="21"/>
  <c r="BC57" i="21"/>
  <c r="AZ57" i="21"/>
  <c r="AW57" i="21"/>
  <c r="AT57" i="21"/>
  <c r="AQ57" i="21"/>
  <c r="AN57" i="21"/>
  <c r="AK57" i="21"/>
  <c r="AH57" i="21"/>
  <c r="AE57" i="21"/>
  <c r="AB57" i="21"/>
  <c r="Y57" i="21"/>
  <c r="BO37" i="21"/>
  <c r="BM37" i="21"/>
  <c r="BK37" i="21"/>
  <c r="BI37" i="21"/>
  <c r="BG37" i="21"/>
  <c r="BE37" i="21"/>
  <c r="BC36" i="21"/>
  <c r="BC35" i="21"/>
  <c r="BQ35" i="21" s="1"/>
  <c r="BO81" i="21" l="1"/>
  <c r="BT81" i="21"/>
  <c r="V68" i="21"/>
  <c r="BS80" i="21"/>
  <c r="BV72" i="22"/>
  <c r="BW72" i="22" s="1"/>
  <c r="BV72" i="21"/>
  <c r="BW72" i="21" s="1"/>
  <c r="BS82" i="21"/>
  <c r="BS65" i="21"/>
  <c r="BS65" i="22"/>
  <c r="BV61" i="22"/>
  <c r="BW61" i="22" s="1"/>
  <c r="AT78" i="22"/>
  <c r="BV69" i="22"/>
  <c r="BW69" i="22" s="1"/>
  <c r="BX68" i="21"/>
  <c r="V79" i="21"/>
  <c r="BS81" i="21"/>
  <c r="Y78" i="22"/>
  <c r="BY76" i="22"/>
  <c r="BZ76" i="22" s="1"/>
  <c r="AB78" i="22"/>
  <c r="BS75" i="22"/>
  <c r="BC37" i="21"/>
  <c r="P65" i="21"/>
  <c r="BO65" i="21" s="1"/>
  <c r="BS75" i="21"/>
  <c r="BX68" i="22"/>
  <c r="BY73" i="22"/>
  <c r="BZ73" i="22" s="1"/>
  <c r="V79" i="22"/>
  <c r="I15" i="23"/>
  <c r="BE20" i="23"/>
  <c r="V83" i="22"/>
  <c r="P79" i="22"/>
  <c r="BO79" i="22" s="1"/>
  <c r="BY79" i="22" s="1"/>
  <c r="BZ79" i="22" s="1"/>
  <c r="BT72" i="22"/>
  <c r="BS72" i="22"/>
  <c r="BO72" i="22"/>
  <c r="BY72" i="22" s="1"/>
  <c r="BZ72" i="22" s="1"/>
  <c r="V57" i="22"/>
  <c r="BV75" i="22"/>
  <c r="BW75" i="22" s="1"/>
  <c r="BT65" i="22"/>
  <c r="BS82" i="22"/>
  <c r="BV65" i="22"/>
  <c r="BW65" i="22" s="1"/>
  <c r="BY70" i="22"/>
  <c r="BZ70" i="22" s="1"/>
  <c r="BT82" i="22"/>
  <c r="BY65" i="22"/>
  <c r="BZ65" i="22" s="1"/>
  <c r="AE78" i="22"/>
  <c r="BF78" i="22"/>
  <c r="BI78" i="22"/>
  <c r="BO64" i="22"/>
  <c r="BY64" i="22" s="1"/>
  <c r="BZ64" i="22" s="1"/>
  <c r="BS80" i="22"/>
  <c r="BO75" i="22"/>
  <c r="BY75" i="22" s="1"/>
  <c r="BZ75" i="22" s="1"/>
  <c r="BS58" i="22"/>
  <c r="AT83" i="22"/>
  <c r="BV58" i="22"/>
  <c r="BW58" i="22" s="1"/>
  <c r="AW78" i="22"/>
  <c r="AW83" i="22" s="1"/>
  <c r="BS59" i="22"/>
  <c r="BV66" i="22"/>
  <c r="BW66" i="22" s="1"/>
  <c r="BV59" i="22"/>
  <c r="BW59" i="22" s="1"/>
  <c r="BY74" i="22"/>
  <c r="BZ74" i="22" s="1"/>
  <c r="BL78" i="22"/>
  <c r="BL83" i="22" s="1"/>
  <c r="BY71" i="22"/>
  <c r="BZ71" i="22" s="1"/>
  <c r="P80" i="22"/>
  <c r="BT80" i="22" s="1"/>
  <c r="AH78" i="22"/>
  <c r="BU57" i="22"/>
  <c r="AN78" i="22"/>
  <c r="P57" i="22"/>
  <c r="BT57" i="22" s="1"/>
  <c r="BX57" i="22"/>
  <c r="BV67" i="22"/>
  <c r="BW67" i="22" s="1"/>
  <c r="BO62" i="22"/>
  <c r="BY62" i="22" s="1"/>
  <c r="BZ62" i="22" s="1"/>
  <c r="BT62" i="22"/>
  <c r="BS62" i="22"/>
  <c r="BV62" i="22"/>
  <c r="BW62" i="22" s="1"/>
  <c r="AZ78" i="22"/>
  <c r="AZ83" i="22" s="1"/>
  <c r="BS61" i="22"/>
  <c r="P60" i="22"/>
  <c r="BS60" i="22" s="1"/>
  <c r="P68" i="22"/>
  <c r="AQ78" i="22"/>
  <c r="BS63" i="22"/>
  <c r="BV60" i="22"/>
  <c r="BW60" i="22" s="1"/>
  <c r="BV63" i="22"/>
  <c r="BW63" i="22" s="1"/>
  <c r="BS67" i="22"/>
  <c r="BT69" i="22"/>
  <c r="BO69" i="22"/>
  <c r="BY69" i="22" s="1"/>
  <c r="BZ69" i="22" s="1"/>
  <c r="BF83" i="22"/>
  <c r="BS66" i="22"/>
  <c r="BV57" i="22"/>
  <c r="BW57" i="22" s="1"/>
  <c r="BS69" i="22"/>
  <c r="BY82" i="22"/>
  <c r="BZ82" i="22" s="1"/>
  <c r="BT63" i="22"/>
  <c r="BO63" i="22"/>
  <c r="BY63" i="22" s="1"/>
  <c r="BZ63" i="22" s="1"/>
  <c r="BT66" i="22"/>
  <c r="BO66" i="22"/>
  <c r="BY66" i="22" s="1"/>
  <c r="BZ66" i="22" s="1"/>
  <c r="BI83" i="22"/>
  <c r="AN83" i="22"/>
  <c r="BQ35" i="22"/>
  <c r="BQ37" i="22" s="1"/>
  <c r="BC78" i="22"/>
  <c r="BO80" i="22"/>
  <c r="BY80" i="22" s="1"/>
  <c r="BZ80" i="22" s="1"/>
  <c r="BO59" i="22"/>
  <c r="BY59" i="22" s="1"/>
  <c r="BZ59" i="22" s="1"/>
  <c r="BO58" i="22"/>
  <c r="BY58" i="22" s="1"/>
  <c r="BZ58" i="22" s="1"/>
  <c r="BU68" i="22"/>
  <c r="BV68" i="22" s="1"/>
  <c r="BW68" i="22" s="1"/>
  <c r="BO61" i="22"/>
  <c r="BY61" i="22" s="1"/>
  <c r="BZ61" i="22" s="1"/>
  <c r="P67" i="22"/>
  <c r="P81" i="22"/>
  <c r="BS81" i="22" s="1"/>
  <c r="V57" i="21"/>
  <c r="BV62" i="21"/>
  <c r="BW62" i="21" s="1"/>
  <c r="P62" i="21"/>
  <c r="BT62" i="21" s="1"/>
  <c r="BX57" i="21"/>
  <c r="AT78" i="21"/>
  <c r="AT83" i="21" s="1"/>
  <c r="AZ78" i="21"/>
  <c r="AZ83" i="21" s="1"/>
  <c r="BL78" i="21"/>
  <c r="BL83" i="21" s="1"/>
  <c r="BU57" i="21"/>
  <c r="BV57" i="21" s="1"/>
  <c r="BW57" i="21" s="1"/>
  <c r="Y78" i="21"/>
  <c r="AB78" i="21"/>
  <c r="AW78" i="21"/>
  <c r="AW83" i="21" s="1"/>
  <c r="BI78" i="21"/>
  <c r="BI83" i="21" s="1"/>
  <c r="AN78" i="21"/>
  <c r="BF78" i="21"/>
  <c r="BF83" i="21" s="1"/>
  <c r="AE78" i="21"/>
  <c r="AH78" i="21"/>
  <c r="BV58" i="21"/>
  <c r="BW58" i="21" s="1"/>
  <c r="BV64" i="21"/>
  <c r="BW64" i="21" s="1"/>
  <c r="BT65" i="21"/>
  <c r="BY65" i="21"/>
  <c r="BZ65" i="21" s="1"/>
  <c r="BS64" i="21"/>
  <c r="BV67" i="21"/>
  <c r="BW67" i="21" s="1"/>
  <c r="BS69" i="21"/>
  <c r="BV69" i="21"/>
  <c r="BW69" i="21" s="1"/>
  <c r="BS60" i="21"/>
  <c r="BY76" i="21"/>
  <c r="BZ76" i="21" s="1"/>
  <c r="BV61" i="21"/>
  <c r="BW61" i="21" s="1"/>
  <c r="BY74" i="21"/>
  <c r="BZ74" i="21" s="1"/>
  <c r="BS66" i="21"/>
  <c r="BV63" i="21"/>
  <c r="BW63" i="21" s="1"/>
  <c r="BS67" i="21"/>
  <c r="BT67" i="21"/>
  <c r="BV59" i="21"/>
  <c r="BW59" i="21" s="1"/>
  <c r="BV65" i="21"/>
  <c r="BW65" i="21" s="1"/>
  <c r="BS61" i="21"/>
  <c r="BY70" i="21"/>
  <c r="BZ70" i="21" s="1"/>
  <c r="P58" i="21"/>
  <c r="BT58" i="21" s="1"/>
  <c r="P63" i="21"/>
  <c r="BO63" i="21" s="1"/>
  <c r="BY63" i="21" s="1"/>
  <c r="BZ63" i="21" s="1"/>
  <c r="BV66" i="21"/>
  <c r="BW66" i="21" s="1"/>
  <c r="BY77" i="21"/>
  <c r="BZ77" i="21" s="1"/>
  <c r="BT72" i="21"/>
  <c r="BS72" i="21"/>
  <c r="BO72" i="21"/>
  <c r="BY72" i="21" s="1"/>
  <c r="BZ72" i="21" s="1"/>
  <c r="P57" i="21"/>
  <c r="BT57" i="21" s="1"/>
  <c r="BS57" i="21"/>
  <c r="BY69" i="21"/>
  <c r="BZ69" i="21" s="1"/>
  <c r="BQ37" i="21"/>
  <c r="AN83" i="21"/>
  <c r="P68" i="21"/>
  <c r="BO59" i="21"/>
  <c r="BT59" i="21"/>
  <c r="BY81" i="21"/>
  <c r="BZ81" i="21" s="1"/>
  <c r="BY59" i="21"/>
  <c r="BZ59" i="21" s="1"/>
  <c r="BY67" i="21"/>
  <c r="BZ67" i="21" s="1"/>
  <c r="AQ78" i="21"/>
  <c r="BO66" i="21"/>
  <c r="BY66" i="21" s="1"/>
  <c r="BZ66" i="21" s="1"/>
  <c r="BT69" i="21"/>
  <c r="BO80" i="21"/>
  <c r="BY80" i="21" s="1"/>
  <c r="BZ80" i="21" s="1"/>
  <c r="BO61" i="21"/>
  <c r="BY61" i="21" s="1"/>
  <c r="BZ61" i="21" s="1"/>
  <c r="BO82" i="21"/>
  <c r="BY82" i="21" s="1"/>
  <c r="BZ82" i="21" s="1"/>
  <c r="BQ36" i="21"/>
  <c r="BC78" i="21"/>
  <c r="BO60" i="21"/>
  <c r="BY60" i="21" s="1"/>
  <c r="BZ60" i="21" s="1"/>
  <c r="BO64" i="21"/>
  <c r="BY64" i="21" s="1"/>
  <c r="BZ64" i="21" s="1"/>
  <c r="BO75" i="21"/>
  <c r="BY75" i="21" s="1"/>
  <c r="BZ75" i="21" s="1"/>
  <c r="BS59" i="21"/>
  <c r="BU68" i="21"/>
  <c r="BV68" i="21" s="1"/>
  <c r="BW68" i="21" s="1"/>
  <c r="BO37" i="13"/>
  <c r="BM37" i="13"/>
  <c r="BK37" i="13"/>
  <c r="BI37" i="13"/>
  <c r="BG37" i="13"/>
  <c r="BE37" i="13"/>
  <c r="BC36" i="13"/>
  <c r="BQ36" i="13" s="1"/>
  <c r="BC35" i="13"/>
  <c r="BQ35" i="13" s="1"/>
  <c r="BO37" i="6"/>
  <c r="BM37" i="6"/>
  <c r="BK37" i="6"/>
  <c r="BI37" i="6"/>
  <c r="BG37" i="6"/>
  <c r="BE37" i="6"/>
  <c r="BC36" i="6"/>
  <c r="BQ36" i="6" s="1"/>
  <c r="BC35" i="6"/>
  <c r="BQ35" i="6" s="1"/>
  <c r="BO37" i="4"/>
  <c r="BM37" i="4"/>
  <c r="BK37" i="4"/>
  <c r="BI37" i="4"/>
  <c r="BG37" i="4"/>
  <c r="BE37" i="4"/>
  <c r="BC36" i="4"/>
  <c r="BQ36" i="4" s="1"/>
  <c r="BC35" i="4"/>
  <c r="BQ35" i="4" s="1"/>
  <c r="BO37" i="19"/>
  <c r="BM37" i="19"/>
  <c r="BK37" i="19"/>
  <c r="BI37" i="19"/>
  <c r="BG37" i="19"/>
  <c r="BE37" i="19"/>
  <c r="BC36" i="19"/>
  <c r="BQ36" i="19" s="1"/>
  <c r="BC35" i="19"/>
  <c r="BQ35" i="19" s="1"/>
  <c r="BO37" i="17"/>
  <c r="BM37" i="17"/>
  <c r="BK37" i="17"/>
  <c r="BI37" i="17"/>
  <c r="BG37" i="17"/>
  <c r="BE37" i="17"/>
  <c r="BC36" i="17"/>
  <c r="BQ36" i="17" s="1"/>
  <c r="BC35" i="17"/>
  <c r="BO37" i="18"/>
  <c r="BM37" i="18"/>
  <c r="BK37" i="18"/>
  <c r="BI37" i="18"/>
  <c r="BG37" i="18"/>
  <c r="BE37" i="18"/>
  <c r="BC36" i="18"/>
  <c r="BQ36" i="18" s="1"/>
  <c r="BC35" i="18"/>
  <c r="BQ35" i="18" s="1"/>
  <c r="BO37" i="15"/>
  <c r="BM37" i="15"/>
  <c r="BK37" i="15"/>
  <c r="BI37" i="15"/>
  <c r="BG37" i="15"/>
  <c r="BE37" i="15"/>
  <c r="BC36" i="15"/>
  <c r="BQ36" i="15" s="1"/>
  <c r="BC35" i="15"/>
  <c r="BO37" i="14"/>
  <c r="BM37" i="14"/>
  <c r="BK37" i="14"/>
  <c r="BI37" i="14"/>
  <c r="BG37" i="14"/>
  <c r="BE37" i="14"/>
  <c r="BC36" i="14"/>
  <c r="BQ36" i="14" s="1"/>
  <c r="BC35" i="14"/>
  <c r="BQ35" i="14" s="1"/>
  <c r="BX59" i="13"/>
  <c r="BU59" i="13"/>
  <c r="V59" i="13"/>
  <c r="P59" i="13" s="1"/>
  <c r="BX58" i="13"/>
  <c r="BU58" i="13"/>
  <c r="V58" i="13"/>
  <c r="P58" i="13" s="1"/>
  <c r="BT58" i="13" s="1"/>
  <c r="BX59" i="6"/>
  <c r="BU59" i="6"/>
  <c r="V59" i="6"/>
  <c r="P59" i="6" s="1"/>
  <c r="BO59" i="6" s="1"/>
  <c r="BX58" i="6"/>
  <c r="BU58" i="6"/>
  <c r="V58" i="6"/>
  <c r="BV58" i="6" s="1"/>
  <c r="BW58" i="6" s="1"/>
  <c r="P58" i="6"/>
  <c r="BT58" i="6" s="1"/>
  <c r="BX59" i="4"/>
  <c r="BU59" i="4"/>
  <c r="V59" i="4"/>
  <c r="P59" i="4" s="1"/>
  <c r="BX58" i="4"/>
  <c r="BU58" i="4"/>
  <c r="BV58" i="4" s="1"/>
  <c r="BW58" i="4" s="1"/>
  <c r="V58" i="4"/>
  <c r="P58" i="4"/>
  <c r="BO58" i="4" s="1"/>
  <c r="BX59" i="19"/>
  <c r="BU59" i="19"/>
  <c r="BV59" i="19" s="1"/>
  <c r="BW59" i="19" s="1"/>
  <c r="V59" i="19"/>
  <c r="P59" i="19" s="1"/>
  <c r="BX58" i="19"/>
  <c r="BU58" i="19"/>
  <c r="BV58" i="19" s="1"/>
  <c r="BW58" i="19" s="1"/>
  <c r="V58" i="19"/>
  <c r="P58" i="19" s="1"/>
  <c r="BX59" i="17"/>
  <c r="BU59" i="17"/>
  <c r="V59" i="17"/>
  <c r="P59" i="17" s="1"/>
  <c r="BO59" i="17" s="1"/>
  <c r="BX58" i="17"/>
  <c r="BU58" i="17"/>
  <c r="BV58" i="17" s="1"/>
  <c r="BW58" i="17" s="1"/>
  <c r="V58" i="17"/>
  <c r="BX59" i="18"/>
  <c r="BU59" i="18"/>
  <c r="V59" i="18"/>
  <c r="P59" i="18" s="1"/>
  <c r="BX58" i="18"/>
  <c r="BU58" i="18"/>
  <c r="V58" i="18"/>
  <c r="P58" i="18"/>
  <c r="BO58" i="18" s="1"/>
  <c r="BX59" i="15"/>
  <c r="BU59" i="15"/>
  <c r="V59" i="15"/>
  <c r="P59" i="15"/>
  <c r="BT59" i="15" s="1"/>
  <c r="BX58" i="15"/>
  <c r="BU58" i="15"/>
  <c r="V58" i="15"/>
  <c r="BS58" i="15" s="1"/>
  <c r="P58" i="15"/>
  <c r="BT58" i="15" s="1"/>
  <c r="BX59" i="14"/>
  <c r="BU59" i="14"/>
  <c r="BV59" i="14" s="1"/>
  <c r="BW59" i="14" s="1"/>
  <c r="V59" i="14"/>
  <c r="BX58" i="14"/>
  <c r="BU58" i="14"/>
  <c r="V58" i="14"/>
  <c r="P58" i="14" s="1"/>
  <c r="BT58" i="14" s="1"/>
  <c r="BX81" i="13"/>
  <c r="BW81" i="13"/>
  <c r="V81" i="13"/>
  <c r="P81" i="13" s="1"/>
  <c r="BX80" i="13"/>
  <c r="BW80" i="13"/>
  <c r="V80" i="13"/>
  <c r="P80" i="13" s="1"/>
  <c r="BX79" i="13"/>
  <c r="BW79" i="13"/>
  <c r="BT79" i="13"/>
  <c r="V79" i="13"/>
  <c r="P79" i="13"/>
  <c r="BO79" i="13" s="1"/>
  <c r="BX82" i="6"/>
  <c r="BW82" i="6"/>
  <c r="V82" i="6"/>
  <c r="P82" i="6" s="1"/>
  <c r="BX81" i="6"/>
  <c r="BW81" i="6"/>
  <c r="V81" i="6"/>
  <c r="P81" i="6" s="1"/>
  <c r="BT81" i="6" s="1"/>
  <c r="BX80" i="6"/>
  <c r="BW80" i="6"/>
  <c r="V80" i="6"/>
  <c r="P80" i="6" s="1"/>
  <c r="BX80" i="4"/>
  <c r="BW80" i="4"/>
  <c r="V80" i="4"/>
  <c r="P80" i="4" s="1"/>
  <c r="BX79" i="4"/>
  <c r="BW79" i="4"/>
  <c r="V79" i="4"/>
  <c r="P79" i="4" s="1"/>
  <c r="BX78" i="4"/>
  <c r="BW78" i="4"/>
  <c r="V78" i="4"/>
  <c r="P78" i="4" s="1"/>
  <c r="BO78" i="4" s="1"/>
  <c r="BY78" i="4" s="1"/>
  <c r="BZ78" i="4" s="1"/>
  <c r="BX83" i="19"/>
  <c r="BW83" i="19"/>
  <c r="V83" i="19"/>
  <c r="P83" i="19" s="1"/>
  <c r="BT83" i="19" s="1"/>
  <c r="BX82" i="19"/>
  <c r="BW82" i="19"/>
  <c r="V82" i="19"/>
  <c r="P82" i="19" s="1"/>
  <c r="BX81" i="19"/>
  <c r="BW81" i="19"/>
  <c r="V81" i="19"/>
  <c r="P81" i="19" s="1"/>
  <c r="BX82" i="17"/>
  <c r="BW82" i="17"/>
  <c r="V82" i="17"/>
  <c r="P82" i="17" s="1"/>
  <c r="BX81" i="17"/>
  <c r="BW81" i="17"/>
  <c r="V81" i="17"/>
  <c r="P81" i="17" s="1"/>
  <c r="BX80" i="17"/>
  <c r="BW80" i="17"/>
  <c r="V80" i="17"/>
  <c r="BX83" i="18"/>
  <c r="BW83" i="18"/>
  <c r="V83" i="18"/>
  <c r="P83" i="18" s="1"/>
  <c r="BX82" i="18"/>
  <c r="BW82" i="18"/>
  <c r="V82" i="18"/>
  <c r="P82" i="18"/>
  <c r="BS82" i="18" s="1"/>
  <c r="BX81" i="18"/>
  <c r="BW81" i="18"/>
  <c r="V81" i="18"/>
  <c r="P81" i="18" s="1"/>
  <c r="BO81" i="18" s="1"/>
  <c r="BX79" i="15"/>
  <c r="BW79" i="15"/>
  <c r="V79" i="15"/>
  <c r="P79" i="15"/>
  <c r="BT79" i="15" s="1"/>
  <c r="BX78" i="15"/>
  <c r="BW78" i="15"/>
  <c r="V78" i="15"/>
  <c r="P78" i="15" s="1"/>
  <c r="BX77" i="15"/>
  <c r="BW77" i="15"/>
  <c r="V77" i="15"/>
  <c r="P77" i="15" s="1"/>
  <c r="BX83" i="14"/>
  <c r="BW83" i="14"/>
  <c r="V83" i="14"/>
  <c r="P83" i="14" s="1"/>
  <c r="BX82" i="14"/>
  <c r="BW82" i="14"/>
  <c r="V82" i="14"/>
  <c r="P82" i="14" s="1"/>
  <c r="BX81" i="14"/>
  <c r="BW81" i="14"/>
  <c r="V81" i="14"/>
  <c r="BS81" i="14" s="1"/>
  <c r="P81" i="14"/>
  <c r="BT81" i="14" s="1"/>
  <c r="BX76" i="13"/>
  <c r="BU76" i="13"/>
  <c r="BV76" i="13" s="1"/>
  <c r="BW76" i="13" s="1"/>
  <c r="BT76" i="13"/>
  <c r="BS76" i="13"/>
  <c r="BO76" i="13"/>
  <c r="BX75" i="13"/>
  <c r="BU75" i="13"/>
  <c r="BV75" i="13" s="1"/>
  <c r="BW75" i="13" s="1"/>
  <c r="BT75" i="13"/>
  <c r="BS75" i="13"/>
  <c r="BO75" i="13"/>
  <c r="BX74" i="13"/>
  <c r="BU74" i="13"/>
  <c r="V74" i="13"/>
  <c r="P74" i="13" s="1"/>
  <c r="BT74" i="13" s="1"/>
  <c r="BX73" i="13"/>
  <c r="BY73" i="13" s="1"/>
  <c r="BZ73" i="13" s="1"/>
  <c r="BU73" i="13"/>
  <c r="BV73" i="13" s="1"/>
  <c r="BW73" i="13" s="1"/>
  <c r="BT73" i="13"/>
  <c r="BS73" i="13"/>
  <c r="BO73" i="13"/>
  <c r="BX72" i="13"/>
  <c r="BV72" i="13"/>
  <c r="BW72" i="13" s="1"/>
  <c r="BU72" i="13"/>
  <c r="BT72" i="13"/>
  <c r="BS72" i="13"/>
  <c r="BO72" i="13"/>
  <c r="BX71" i="13"/>
  <c r="BU71" i="13"/>
  <c r="V71" i="13"/>
  <c r="P71" i="13"/>
  <c r="BT71" i="13" s="1"/>
  <c r="BX70" i="13"/>
  <c r="BU70" i="13"/>
  <c r="BV70" i="13" s="1"/>
  <c r="BW70" i="13" s="1"/>
  <c r="BT70" i="13"/>
  <c r="BS70" i="13"/>
  <c r="BO70" i="13"/>
  <c r="BX69" i="13"/>
  <c r="BU69" i="13"/>
  <c r="BV69" i="13" s="1"/>
  <c r="BW69" i="13" s="1"/>
  <c r="BT69" i="13"/>
  <c r="BS69" i="13"/>
  <c r="BO69" i="13"/>
  <c r="BX68" i="13"/>
  <c r="BU68" i="13"/>
  <c r="V68" i="13"/>
  <c r="P68" i="13"/>
  <c r="BO68" i="13" s="1"/>
  <c r="BY77" i="6"/>
  <c r="BZ77" i="6" s="1"/>
  <c r="BX77" i="6"/>
  <c r="BU77" i="6"/>
  <c r="BV77" i="6" s="1"/>
  <c r="BW77" i="6" s="1"/>
  <c r="BT77" i="6"/>
  <c r="BS77" i="6"/>
  <c r="BO77" i="6"/>
  <c r="BX76" i="6"/>
  <c r="BU76" i="6"/>
  <c r="BV76" i="6" s="1"/>
  <c r="BW76" i="6" s="1"/>
  <c r="BT76" i="6"/>
  <c r="BS76" i="6"/>
  <c r="BO76" i="6"/>
  <c r="BX75" i="6"/>
  <c r="BU75" i="6"/>
  <c r="V75" i="6"/>
  <c r="P75" i="6" s="1"/>
  <c r="BT75" i="6" s="1"/>
  <c r="BX74" i="6"/>
  <c r="BU74" i="6"/>
  <c r="BV74" i="6" s="1"/>
  <c r="BW74" i="6" s="1"/>
  <c r="BT74" i="6"/>
  <c r="BS74" i="6"/>
  <c r="BO74" i="6"/>
  <c r="BX73" i="6"/>
  <c r="BU73" i="6"/>
  <c r="BV73" i="6" s="1"/>
  <c r="BW73" i="6" s="1"/>
  <c r="BT73" i="6"/>
  <c r="BS73" i="6"/>
  <c r="BO73" i="6"/>
  <c r="BY73" i="6" s="1"/>
  <c r="BZ73" i="6" s="1"/>
  <c r="BX72" i="6"/>
  <c r="BU72" i="6"/>
  <c r="V72" i="6"/>
  <c r="P72" i="6" s="1"/>
  <c r="BT72" i="6" s="1"/>
  <c r="BX71" i="6"/>
  <c r="BU71" i="6"/>
  <c r="BV71" i="6" s="1"/>
  <c r="BW71" i="6" s="1"/>
  <c r="BT71" i="6"/>
  <c r="BS71" i="6"/>
  <c r="BO71" i="6"/>
  <c r="BX70" i="6"/>
  <c r="BU70" i="6"/>
  <c r="BV70" i="6" s="1"/>
  <c r="BW70" i="6" s="1"/>
  <c r="BT70" i="6"/>
  <c r="BS70" i="6"/>
  <c r="BO70" i="6"/>
  <c r="BX69" i="6"/>
  <c r="BU69" i="6"/>
  <c r="V69" i="6"/>
  <c r="P69" i="6" s="1"/>
  <c r="BT69" i="6" s="1"/>
  <c r="BX75" i="4"/>
  <c r="BU75" i="4"/>
  <c r="BV75" i="4" s="1"/>
  <c r="BW75" i="4" s="1"/>
  <c r="BT75" i="4"/>
  <c r="BS75" i="4"/>
  <c r="BO75" i="4"/>
  <c r="BX74" i="4"/>
  <c r="BY74" i="4" s="1"/>
  <c r="BZ74" i="4" s="1"/>
  <c r="BU74" i="4"/>
  <c r="BV74" i="4" s="1"/>
  <c r="BW74" i="4" s="1"/>
  <c r="BT74" i="4"/>
  <c r="BS74" i="4"/>
  <c r="BO74" i="4"/>
  <c r="BX73" i="4"/>
  <c r="BU73" i="4"/>
  <c r="V73" i="4"/>
  <c r="BX72" i="4"/>
  <c r="BY72" i="4" s="1"/>
  <c r="BZ72" i="4" s="1"/>
  <c r="BU72" i="4"/>
  <c r="BV72" i="4" s="1"/>
  <c r="BW72" i="4" s="1"/>
  <c r="BT72" i="4"/>
  <c r="BS72" i="4"/>
  <c r="BO72" i="4"/>
  <c r="BX71" i="4"/>
  <c r="BY71" i="4" s="1"/>
  <c r="BZ71" i="4" s="1"/>
  <c r="BU71" i="4"/>
  <c r="BV71" i="4" s="1"/>
  <c r="BW71" i="4" s="1"/>
  <c r="BT71" i="4"/>
  <c r="BS71" i="4"/>
  <c r="BO71" i="4"/>
  <c r="BX70" i="4"/>
  <c r="BU70" i="4"/>
  <c r="V70" i="4"/>
  <c r="P70" i="4" s="1"/>
  <c r="BX69" i="4"/>
  <c r="BY69" i="4" s="1"/>
  <c r="BZ69" i="4" s="1"/>
  <c r="BU69" i="4"/>
  <c r="BV69" i="4" s="1"/>
  <c r="BW69" i="4" s="1"/>
  <c r="BT69" i="4"/>
  <c r="BS69" i="4"/>
  <c r="BO69" i="4"/>
  <c r="BX68" i="4"/>
  <c r="BU68" i="4"/>
  <c r="BV68" i="4" s="1"/>
  <c r="BW68" i="4" s="1"/>
  <c r="BT68" i="4"/>
  <c r="BS68" i="4"/>
  <c r="BO68" i="4"/>
  <c r="BX67" i="4"/>
  <c r="BU67" i="4"/>
  <c r="V67" i="4"/>
  <c r="BX78" i="19"/>
  <c r="BY78" i="19" s="1"/>
  <c r="BZ78" i="19" s="1"/>
  <c r="BU78" i="19"/>
  <c r="BV78" i="19" s="1"/>
  <c r="BW78" i="19" s="1"/>
  <c r="BT78" i="19"/>
  <c r="BS78" i="19"/>
  <c r="BO78" i="19"/>
  <c r="BX77" i="19"/>
  <c r="BU77" i="19"/>
  <c r="BV77" i="19" s="1"/>
  <c r="BW77" i="19" s="1"/>
  <c r="BT77" i="19"/>
  <c r="BS77" i="19"/>
  <c r="BO77" i="19"/>
  <c r="BX76" i="19"/>
  <c r="BU76" i="19"/>
  <c r="BV76" i="19" s="1"/>
  <c r="BW76" i="19" s="1"/>
  <c r="V76" i="19"/>
  <c r="P76" i="19" s="1"/>
  <c r="BT76" i="19" s="1"/>
  <c r="BX75" i="19"/>
  <c r="BY75" i="19" s="1"/>
  <c r="BZ75" i="19" s="1"/>
  <c r="BU75" i="19"/>
  <c r="BV75" i="19" s="1"/>
  <c r="BW75" i="19" s="1"/>
  <c r="BT75" i="19"/>
  <c r="BS75" i="19"/>
  <c r="BO75" i="19"/>
  <c r="BX74" i="19"/>
  <c r="BU74" i="19"/>
  <c r="BV74" i="19" s="1"/>
  <c r="BW74" i="19" s="1"/>
  <c r="BT74" i="19"/>
  <c r="BS74" i="19"/>
  <c r="BO74" i="19"/>
  <c r="BX73" i="19"/>
  <c r="BU73" i="19"/>
  <c r="V73" i="19"/>
  <c r="P73" i="19"/>
  <c r="BT73" i="19" s="1"/>
  <c r="BX72" i="19"/>
  <c r="BY72" i="19" s="1"/>
  <c r="BZ72" i="19" s="1"/>
  <c r="BU72" i="19"/>
  <c r="BV72" i="19" s="1"/>
  <c r="BW72" i="19" s="1"/>
  <c r="BT72" i="19"/>
  <c r="BS72" i="19"/>
  <c r="BO72" i="19"/>
  <c r="BX71" i="19"/>
  <c r="BY71" i="19" s="1"/>
  <c r="BZ71" i="19" s="1"/>
  <c r="BU71" i="19"/>
  <c r="BV71" i="19" s="1"/>
  <c r="BW71" i="19" s="1"/>
  <c r="BT71" i="19"/>
  <c r="BS71" i="19"/>
  <c r="BO71" i="19"/>
  <c r="BX70" i="19"/>
  <c r="BU70" i="19"/>
  <c r="V70" i="19"/>
  <c r="P70" i="19"/>
  <c r="BT70" i="19" s="1"/>
  <c r="BX77" i="17"/>
  <c r="BU77" i="17"/>
  <c r="BV77" i="17" s="1"/>
  <c r="BW77" i="17" s="1"/>
  <c r="BT77" i="17"/>
  <c r="BS77" i="17"/>
  <c r="BO77" i="17"/>
  <c r="BX76" i="17"/>
  <c r="BU76" i="17"/>
  <c r="BV76" i="17" s="1"/>
  <c r="BW76" i="17" s="1"/>
  <c r="BT76" i="17"/>
  <c r="BS76" i="17"/>
  <c r="BO76" i="17"/>
  <c r="BX75" i="17"/>
  <c r="BU75" i="17"/>
  <c r="V75" i="17"/>
  <c r="P75" i="17" s="1"/>
  <c r="BO75" i="17" s="1"/>
  <c r="BX74" i="17"/>
  <c r="BY74" i="17" s="1"/>
  <c r="BZ74" i="17" s="1"/>
  <c r="BU74" i="17"/>
  <c r="BV74" i="17" s="1"/>
  <c r="BW74" i="17" s="1"/>
  <c r="BT74" i="17"/>
  <c r="BS74" i="17"/>
  <c r="BO74" i="17"/>
  <c r="BX73" i="17"/>
  <c r="BU73" i="17"/>
  <c r="BV73" i="17" s="1"/>
  <c r="BW73" i="17" s="1"/>
  <c r="BT73" i="17"/>
  <c r="BS73" i="17"/>
  <c r="BO73" i="17"/>
  <c r="BX72" i="17"/>
  <c r="BU72" i="17"/>
  <c r="V72" i="17"/>
  <c r="P72" i="17" s="1"/>
  <c r="BX71" i="17"/>
  <c r="BU71" i="17"/>
  <c r="BV71" i="17" s="1"/>
  <c r="BW71" i="17" s="1"/>
  <c r="BT71" i="17"/>
  <c r="BS71" i="17"/>
  <c r="BO71" i="17"/>
  <c r="BX70" i="17"/>
  <c r="BU70" i="17"/>
  <c r="BV70" i="17" s="1"/>
  <c r="BW70" i="17" s="1"/>
  <c r="BT70" i="17"/>
  <c r="BS70" i="17"/>
  <c r="BO70" i="17"/>
  <c r="BX69" i="17"/>
  <c r="BU69" i="17"/>
  <c r="V69" i="17"/>
  <c r="BV69" i="17" s="1"/>
  <c r="BW69" i="17" s="1"/>
  <c r="BX78" i="18"/>
  <c r="BU78" i="18"/>
  <c r="BV78" i="18" s="1"/>
  <c r="BW78" i="18" s="1"/>
  <c r="BT78" i="18"/>
  <c r="BS78" i="18"/>
  <c r="BO78" i="18"/>
  <c r="BX77" i="18"/>
  <c r="BU77" i="18"/>
  <c r="BV77" i="18" s="1"/>
  <c r="BW77" i="18" s="1"/>
  <c r="BT77" i="18"/>
  <c r="BS77" i="18"/>
  <c r="BO77" i="18"/>
  <c r="BX76" i="18"/>
  <c r="BU76" i="18"/>
  <c r="BV76" i="18" s="1"/>
  <c r="BW76" i="18" s="1"/>
  <c r="V76" i="18"/>
  <c r="P76" i="18" s="1"/>
  <c r="BX75" i="18"/>
  <c r="BU75" i="18"/>
  <c r="BV75" i="18" s="1"/>
  <c r="BW75" i="18" s="1"/>
  <c r="BT75" i="18"/>
  <c r="BS75" i="18"/>
  <c r="BO75" i="18"/>
  <c r="BX74" i="18"/>
  <c r="BY74" i="18" s="1"/>
  <c r="BZ74" i="18" s="1"/>
  <c r="BU74" i="18"/>
  <c r="BV74" i="18" s="1"/>
  <c r="BW74" i="18" s="1"/>
  <c r="BT74" i="18"/>
  <c r="BS74" i="18"/>
  <c r="BO74" i="18"/>
  <c r="BX73" i="18"/>
  <c r="BU73" i="18"/>
  <c r="V73" i="18"/>
  <c r="P73" i="18" s="1"/>
  <c r="BT73" i="18" s="1"/>
  <c r="BX72" i="18"/>
  <c r="BU72" i="18"/>
  <c r="BV72" i="18" s="1"/>
  <c r="BW72" i="18" s="1"/>
  <c r="BT72" i="18"/>
  <c r="BS72" i="18"/>
  <c r="BO72" i="18"/>
  <c r="BX71" i="18"/>
  <c r="BU71" i="18"/>
  <c r="BV71" i="18" s="1"/>
  <c r="BW71" i="18" s="1"/>
  <c r="BT71" i="18"/>
  <c r="BS71" i="18"/>
  <c r="BO71" i="18"/>
  <c r="BX70" i="18"/>
  <c r="BY70" i="18" s="1"/>
  <c r="BZ70" i="18" s="1"/>
  <c r="BU70" i="18"/>
  <c r="V70" i="18"/>
  <c r="P70" i="18"/>
  <c r="BO70" i="18" s="1"/>
  <c r="BX74" i="15"/>
  <c r="BU74" i="15"/>
  <c r="BV74" i="15" s="1"/>
  <c r="BW74" i="15" s="1"/>
  <c r="BT74" i="15"/>
  <c r="BS74" i="15"/>
  <c r="BO74" i="15"/>
  <c r="BX73" i="15"/>
  <c r="BU73" i="15"/>
  <c r="BV73" i="15" s="1"/>
  <c r="BW73" i="15" s="1"/>
  <c r="BT73" i="15"/>
  <c r="BS73" i="15"/>
  <c r="BO73" i="15"/>
  <c r="BX72" i="15"/>
  <c r="BU72" i="15"/>
  <c r="V72" i="15"/>
  <c r="P72" i="15" s="1"/>
  <c r="BX71" i="15"/>
  <c r="BU71" i="15"/>
  <c r="BV71" i="15" s="1"/>
  <c r="BW71" i="15" s="1"/>
  <c r="BT71" i="15"/>
  <c r="BS71" i="15"/>
  <c r="BO71" i="15"/>
  <c r="BX70" i="15"/>
  <c r="BU70" i="15"/>
  <c r="BV70" i="15" s="1"/>
  <c r="BW70" i="15" s="1"/>
  <c r="BT70" i="15"/>
  <c r="BS70" i="15"/>
  <c r="BO70" i="15"/>
  <c r="BX69" i="15"/>
  <c r="BU69" i="15"/>
  <c r="V69" i="15"/>
  <c r="P69" i="15" s="1"/>
  <c r="BO69" i="15" s="1"/>
  <c r="BX68" i="15"/>
  <c r="BY68" i="15" s="1"/>
  <c r="BZ68" i="15" s="1"/>
  <c r="BU68" i="15"/>
  <c r="BV68" i="15" s="1"/>
  <c r="BW68" i="15" s="1"/>
  <c r="BT68" i="15"/>
  <c r="BS68" i="15"/>
  <c r="BO68" i="15"/>
  <c r="BX67" i="15"/>
  <c r="BU67" i="15"/>
  <c r="BV67" i="15" s="1"/>
  <c r="BW67" i="15" s="1"/>
  <c r="BT67" i="15"/>
  <c r="BS67" i="15"/>
  <c r="BO67" i="15"/>
  <c r="BY67" i="15" s="1"/>
  <c r="BZ67" i="15" s="1"/>
  <c r="BX66" i="15"/>
  <c r="BU66" i="15"/>
  <c r="V66" i="15"/>
  <c r="P66" i="15" s="1"/>
  <c r="BX78" i="14"/>
  <c r="BU78" i="14"/>
  <c r="BV78" i="14" s="1"/>
  <c r="BW78" i="14" s="1"/>
  <c r="BT78" i="14"/>
  <c r="BS78" i="14"/>
  <c r="BO78" i="14"/>
  <c r="BX77" i="14"/>
  <c r="BU77" i="14"/>
  <c r="BV77" i="14" s="1"/>
  <c r="BW77" i="14" s="1"/>
  <c r="BT77" i="14"/>
  <c r="BS77" i="14"/>
  <c r="BO77" i="14"/>
  <c r="BX76" i="14"/>
  <c r="BU76" i="14"/>
  <c r="V76" i="14"/>
  <c r="BX75" i="14"/>
  <c r="BU75" i="14"/>
  <c r="BV75" i="14" s="1"/>
  <c r="BW75" i="14" s="1"/>
  <c r="BT75" i="14"/>
  <c r="BS75" i="14"/>
  <c r="BO75" i="14"/>
  <c r="BX74" i="14"/>
  <c r="BU74" i="14"/>
  <c r="BV74" i="14" s="1"/>
  <c r="BW74" i="14" s="1"/>
  <c r="BT74" i="14"/>
  <c r="BS74" i="14"/>
  <c r="BO74" i="14"/>
  <c r="BX73" i="14"/>
  <c r="BU73" i="14"/>
  <c r="V73" i="14"/>
  <c r="P73" i="14" s="1"/>
  <c r="BX72" i="14"/>
  <c r="BU72" i="14"/>
  <c r="BV72" i="14" s="1"/>
  <c r="BW72" i="14" s="1"/>
  <c r="BT72" i="14"/>
  <c r="BS72" i="14"/>
  <c r="BO72" i="14"/>
  <c r="BX71" i="14"/>
  <c r="BU71" i="14"/>
  <c r="BV71" i="14" s="1"/>
  <c r="BW71" i="14" s="1"/>
  <c r="BT71" i="14"/>
  <c r="BS71" i="14"/>
  <c r="BO71" i="14"/>
  <c r="BX70" i="14"/>
  <c r="BU70" i="14"/>
  <c r="V70" i="14"/>
  <c r="BO58" i="19" l="1"/>
  <c r="BT58" i="19"/>
  <c r="BY72" i="14"/>
  <c r="BZ72" i="14" s="1"/>
  <c r="BY74" i="14"/>
  <c r="BZ74" i="14" s="1"/>
  <c r="BY68" i="4"/>
  <c r="BZ68" i="4" s="1"/>
  <c r="BS57" i="22"/>
  <c r="BY77" i="18"/>
  <c r="BZ77" i="18" s="1"/>
  <c r="BY76" i="17"/>
  <c r="BZ76" i="17" s="1"/>
  <c r="BV67" i="4"/>
  <c r="BW67" i="4" s="1"/>
  <c r="BY70" i="13"/>
  <c r="BZ70" i="13" s="1"/>
  <c r="BY75" i="13"/>
  <c r="BZ75" i="13" s="1"/>
  <c r="BY79" i="13"/>
  <c r="BZ79" i="13" s="1"/>
  <c r="BS58" i="19"/>
  <c r="BV58" i="13"/>
  <c r="BW58" i="13" s="1"/>
  <c r="BS79" i="21"/>
  <c r="V83" i="21"/>
  <c r="P79" i="21"/>
  <c r="BY78" i="14"/>
  <c r="BZ78" i="14" s="1"/>
  <c r="BV69" i="15"/>
  <c r="BW69" i="15" s="1"/>
  <c r="BS74" i="13"/>
  <c r="BV58" i="14"/>
  <c r="BW58" i="14" s="1"/>
  <c r="BO62" i="21"/>
  <c r="BY62" i="21" s="1"/>
  <c r="BZ62" i="21" s="1"/>
  <c r="BY71" i="14"/>
  <c r="BZ71" i="14" s="1"/>
  <c r="BY73" i="17"/>
  <c r="BZ73" i="17" s="1"/>
  <c r="BY74" i="6"/>
  <c r="BZ74" i="6" s="1"/>
  <c r="BY69" i="13"/>
  <c r="BZ69" i="13" s="1"/>
  <c r="BY72" i="13"/>
  <c r="BZ72" i="13" s="1"/>
  <c r="BV74" i="13"/>
  <c r="BW74" i="13" s="1"/>
  <c r="BV58" i="18"/>
  <c r="BW58" i="18" s="1"/>
  <c r="BT63" i="21"/>
  <c r="BY71" i="18"/>
  <c r="BZ71" i="18" s="1"/>
  <c r="BV73" i="18"/>
  <c r="BW73" i="18" s="1"/>
  <c r="BY75" i="18"/>
  <c r="BZ75" i="18" s="1"/>
  <c r="BS76" i="19"/>
  <c r="BY76" i="6"/>
  <c r="BZ76" i="6" s="1"/>
  <c r="P59" i="14"/>
  <c r="BO59" i="14" s="1"/>
  <c r="BY58" i="18"/>
  <c r="BZ58" i="18" s="1"/>
  <c r="BV59" i="13"/>
  <c r="BW59" i="13" s="1"/>
  <c r="BX78" i="21"/>
  <c r="BV70" i="14"/>
  <c r="BW70" i="14" s="1"/>
  <c r="BY75" i="14"/>
  <c r="BZ75" i="14" s="1"/>
  <c r="BY71" i="15"/>
  <c r="BZ71" i="15" s="1"/>
  <c r="BY73" i="15"/>
  <c r="BZ73" i="15" s="1"/>
  <c r="BT70" i="18"/>
  <c r="BS75" i="6"/>
  <c r="BS59" i="17"/>
  <c r="BY58" i="19"/>
  <c r="BZ58" i="19" s="1"/>
  <c r="BS59" i="6"/>
  <c r="BU78" i="22"/>
  <c r="BV70" i="18"/>
  <c r="BW70" i="18" s="1"/>
  <c r="BY77" i="17"/>
  <c r="BZ77" i="17" s="1"/>
  <c r="BS73" i="19"/>
  <c r="BY71" i="6"/>
  <c r="BZ71" i="6" s="1"/>
  <c r="BV75" i="6"/>
  <c r="BW75" i="6" s="1"/>
  <c r="BY76" i="13"/>
  <c r="BZ76" i="13" s="1"/>
  <c r="BS79" i="13"/>
  <c r="BV59" i="17"/>
  <c r="BW59" i="17" s="1"/>
  <c r="BC37" i="15"/>
  <c r="BQ37" i="6"/>
  <c r="BT79" i="22"/>
  <c r="BS79" i="22"/>
  <c r="S57" i="22"/>
  <c r="BO57" i="22"/>
  <c r="BY57" i="22" s="1"/>
  <c r="BZ57" i="22" s="1"/>
  <c r="S79" i="22"/>
  <c r="BX78" i="22"/>
  <c r="BC83" i="22"/>
  <c r="BX83" i="22" s="1"/>
  <c r="BT68" i="22"/>
  <c r="BO68" i="22"/>
  <c r="BY68" i="22" s="1"/>
  <c r="BZ68" i="22" s="1"/>
  <c r="S68" i="22"/>
  <c r="BO81" i="22"/>
  <c r="BY81" i="22" s="1"/>
  <c r="BZ81" i="22" s="1"/>
  <c r="BT81" i="22"/>
  <c r="BS68" i="22"/>
  <c r="BO67" i="22"/>
  <c r="BY67" i="22" s="1"/>
  <c r="BZ67" i="22" s="1"/>
  <c r="BT67" i="22"/>
  <c r="V78" i="22"/>
  <c r="BV78" i="22" s="1"/>
  <c r="BW78" i="22" s="1"/>
  <c r="AQ83" i="22"/>
  <c r="BT60" i="22"/>
  <c r="BO60" i="22"/>
  <c r="BY60" i="22" s="1"/>
  <c r="BZ60" i="22" s="1"/>
  <c r="BS62" i="21"/>
  <c r="BU78" i="21"/>
  <c r="BS63" i="21"/>
  <c r="BO58" i="21"/>
  <c r="BY58" i="21" s="1"/>
  <c r="BZ58" i="21" s="1"/>
  <c r="BS58" i="21"/>
  <c r="BC83" i="21"/>
  <c r="BX83" i="21" s="1"/>
  <c r="S57" i="21"/>
  <c r="BO57" i="21"/>
  <c r="BY57" i="21" s="1"/>
  <c r="BZ57" i="21" s="1"/>
  <c r="V78" i="21"/>
  <c r="AQ83" i="21"/>
  <c r="BT68" i="21"/>
  <c r="BO68" i="21"/>
  <c r="BY68" i="21" s="1"/>
  <c r="BZ68" i="21" s="1"/>
  <c r="S68" i="21"/>
  <c r="BS68" i="21"/>
  <c r="BS83" i="14"/>
  <c r="BO83" i="14"/>
  <c r="BY83" i="14" s="1"/>
  <c r="BZ83" i="14" s="1"/>
  <c r="BS78" i="4"/>
  <c r="BV69" i="6"/>
  <c r="BW69" i="6" s="1"/>
  <c r="BS58" i="14"/>
  <c r="BS71" i="13"/>
  <c r="BV73" i="14"/>
  <c r="BW73" i="14" s="1"/>
  <c r="BS75" i="17"/>
  <c r="BV71" i="13"/>
  <c r="BW71" i="13" s="1"/>
  <c r="BV59" i="6"/>
  <c r="BW59" i="6" s="1"/>
  <c r="BY70" i="15"/>
  <c r="BZ70" i="15" s="1"/>
  <c r="BS70" i="19"/>
  <c r="BT59" i="17"/>
  <c r="BS69" i="6"/>
  <c r="BS72" i="6"/>
  <c r="BV72" i="6"/>
  <c r="BW72" i="6" s="1"/>
  <c r="BS59" i="15"/>
  <c r="BV59" i="15"/>
  <c r="BW59" i="15" s="1"/>
  <c r="BS58" i="4"/>
  <c r="BY71" i="17"/>
  <c r="BZ71" i="17" s="1"/>
  <c r="BV68" i="13"/>
  <c r="BW68" i="13" s="1"/>
  <c r="BO74" i="13"/>
  <c r="BY74" i="13" s="1"/>
  <c r="BZ74" i="13" s="1"/>
  <c r="BT58" i="4"/>
  <c r="BT75" i="17"/>
  <c r="BY78" i="18"/>
  <c r="BZ78" i="18" s="1"/>
  <c r="BV72" i="17"/>
  <c r="BW72" i="17" s="1"/>
  <c r="BV75" i="17"/>
  <c r="BW75" i="17" s="1"/>
  <c r="BV70" i="19"/>
  <c r="BW70" i="19" s="1"/>
  <c r="BV73" i="19"/>
  <c r="BW73" i="19" s="1"/>
  <c r="BS58" i="18"/>
  <c r="BQ35" i="15"/>
  <c r="BC37" i="17"/>
  <c r="BO81" i="14"/>
  <c r="BY81" i="14" s="1"/>
  <c r="BZ81" i="14" s="1"/>
  <c r="BT58" i="18"/>
  <c r="BS58" i="13"/>
  <c r="BQ35" i="17"/>
  <c r="BQ37" i="17" s="1"/>
  <c r="BQ37" i="4"/>
  <c r="BV76" i="14"/>
  <c r="BW76" i="14" s="1"/>
  <c r="BS68" i="13"/>
  <c r="BV73" i="4"/>
  <c r="BW73" i="4" s="1"/>
  <c r="BT68" i="13"/>
  <c r="BY74" i="15"/>
  <c r="BZ74" i="15" s="1"/>
  <c r="BY72" i="18"/>
  <c r="BZ72" i="18" s="1"/>
  <c r="BY77" i="14"/>
  <c r="BZ77" i="14" s="1"/>
  <c r="BY74" i="19"/>
  <c r="BZ74" i="19" s="1"/>
  <c r="BY70" i="6"/>
  <c r="BZ70" i="6" s="1"/>
  <c r="BS70" i="18"/>
  <c r="P80" i="17"/>
  <c r="BT59" i="14"/>
  <c r="BV59" i="4"/>
  <c r="BW59" i="4" s="1"/>
  <c r="BV59" i="18"/>
  <c r="BW59" i="18" s="1"/>
  <c r="BS58" i="6"/>
  <c r="BS79" i="15"/>
  <c r="BV72" i="15"/>
  <c r="BW72" i="15" s="1"/>
  <c r="BS83" i="19"/>
  <c r="BS69" i="15"/>
  <c r="BY77" i="19"/>
  <c r="BZ77" i="19" s="1"/>
  <c r="BV66" i="15"/>
  <c r="BW66" i="15" s="1"/>
  <c r="BY70" i="17"/>
  <c r="BZ70" i="17" s="1"/>
  <c r="BY75" i="4"/>
  <c r="BZ75" i="4" s="1"/>
  <c r="BS81" i="18"/>
  <c r="BO81" i="6"/>
  <c r="BY81" i="6" s="1"/>
  <c r="BZ81" i="6" s="1"/>
  <c r="BV58" i="15"/>
  <c r="BW58" i="15" s="1"/>
  <c r="BQ37" i="13"/>
  <c r="BC37" i="13"/>
  <c r="BC37" i="6"/>
  <c r="BC37" i="4"/>
  <c r="BQ37" i="19"/>
  <c r="BC37" i="19"/>
  <c r="BQ37" i="18"/>
  <c r="BC37" i="18"/>
  <c r="BQ37" i="15"/>
  <c r="BQ37" i="14"/>
  <c r="BC37" i="14"/>
  <c r="BT59" i="13"/>
  <c r="BO59" i="13"/>
  <c r="BY59" i="13" s="1"/>
  <c r="BZ59" i="13" s="1"/>
  <c r="BS59" i="13"/>
  <c r="BO58" i="13"/>
  <c r="BY58" i="13" s="1"/>
  <c r="BZ58" i="13" s="1"/>
  <c r="BY59" i="6"/>
  <c r="BZ59" i="6" s="1"/>
  <c r="BT59" i="6"/>
  <c r="BO58" i="6"/>
  <c r="BY58" i="6" s="1"/>
  <c r="BZ58" i="6" s="1"/>
  <c r="BY58" i="4"/>
  <c r="BZ58" i="4" s="1"/>
  <c r="BO59" i="4"/>
  <c r="BY59" i="4" s="1"/>
  <c r="BZ59" i="4" s="1"/>
  <c r="BT59" i="4"/>
  <c r="BS59" i="4"/>
  <c r="BO59" i="19"/>
  <c r="BY59" i="19" s="1"/>
  <c r="BZ59" i="19" s="1"/>
  <c r="BT59" i="19"/>
  <c r="BS59" i="19"/>
  <c r="BY59" i="17"/>
  <c r="BZ59" i="17" s="1"/>
  <c r="P58" i="17"/>
  <c r="BO59" i="18"/>
  <c r="BY59" i="18" s="1"/>
  <c r="BZ59" i="18" s="1"/>
  <c r="BT59" i="18"/>
  <c r="BS59" i="18"/>
  <c r="BO59" i="15"/>
  <c r="BY59" i="15" s="1"/>
  <c r="BZ59" i="15" s="1"/>
  <c r="BO58" i="15"/>
  <c r="BY58" i="15" s="1"/>
  <c r="BZ58" i="15" s="1"/>
  <c r="BY59" i="14"/>
  <c r="BZ59" i="14" s="1"/>
  <c r="BO58" i="14"/>
  <c r="BY58" i="14" s="1"/>
  <c r="BZ58" i="14" s="1"/>
  <c r="BO80" i="13"/>
  <c r="BT80" i="13"/>
  <c r="BS80" i="13"/>
  <c r="BY80" i="13"/>
  <c r="BZ80" i="13" s="1"/>
  <c r="BT81" i="13"/>
  <c r="BO81" i="13"/>
  <c r="BY81" i="13" s="1"/>
  <c r="BZ81" i="13" s="1"/>
  <c r="BS81" i="13"/>
  <c r="BO80" i="6"/>
  <c r="BY80" i="6" s="1"/>
  <c r="BZ80" i="6" s="1"/>
  <c r="BT80" i="6"/>
  <c r="BS80" i="6"/>
  <c r="BT82" i="6"/>
  <c r="BO82" i="6"/>
  <c r="BY82" i="6" s="1"/>
  <c r="BZ82" i="6" s="1"/>
  <c r="BS81" i="6"/>
  <c r="BS82" i="6"/>
  <c r="BT80" i="4"/>
  <c r="BO80" i="4"/>
  <c r="BY80" i="4" s="1"/>
  <c r="BZ80" i="4" s="1"/>
  <c r="BS79" i="4"/>
  <c r="BO79" i="4"/>
  <c r="BY79" i="4" s="1"/>
  <c r="BZ79" i="4" s="1"/>
  <c r="BT79" i="4"/>
  <c r="BS80" i="4"/>
  <c r="BT78" i="4"/>
  <c r="BY81" i="19"/>
  <c r="BZ81" i="19" s="1"/>
  <c r="BT82" i="19"/>
  <c r="BO82" i="19"/>
  <c r="BY82" i="19" s="1"/>
  <c r="BZ82" i="19" s="1"/>
  <c r="BO81" i="19"/>
  <c r="BT81" i="19"/>
  <c r="BS81" i="19"/>
  <c r="BS82" i="19"/>
  <c r="BO83" i="19"/>
  <c r="BY83" i="19" s="1"/>
  <c r="BZ83" i="19" s="1"/>
  <c r="BO81" i="17"/>
  <c r="BY81" i="17" s="1"/>
  <c r="BZ81" i="17" s="1"/>
  <c r="BT81" i="17"/>
  <c r="BS81" i="17"/>
  <c r="BT82" i="17"/>
  <c r="BO82" i="17"/>
  <c r="BY82" i="17"/>
  <c r="BZ82" i="17" s="1"/>
  <c r="BS82" i="17"/>
  <c r="BY83" i="18"/>
  <c r="BZ83" i="18" s="1"/>
  <c r="BY81" i="18"/>
  <c r="BZ81" i="18" s="1"/>
  <c r="BT83" i="18"/>
  <c r="BS83" i="18"/>
  <c r="BO83" i="18"/>
  <c r="BO82" i="18"/>
  <c r="BY82" i="18" s="1"/>
  <c r="BZ82" i="18" s="1"/>
  <c r="BT82" i="18"/>
  <c r="BT81" i="18"/>
  <c r="BO77" i="15"/>
  <c r="BY77" i="15" s="1"/>
  <c r="BZ77" i="15" s="1"/>
  <c r="BT77" i="15"/>
  <c r="BS77" i="15"/>
  <c r="BT78" i="15"/>
  <c r="BO78" i="15"/>
  <c r="BY78" i="15"/>
  <c r="BZ78" i="15" s="1"/>
  <c r="BS78" i="15"/>
  <c r="BO79" i="15"/>
  <c r="BY79" i="15" s="1"/>
  <c r="BZ79" i="15" s="1"/>
  <c r="BS82" i="14"/>
  <c r="BT82" i="14"/>
  <c r="BO82" i="14"/>
  <c r="BY82" i="14" s="1"/>
  <c r="BZ82" i="14" s="1"/>
  <c r="BT83" i="14"/>
  <c r="BY68" i="13"/>
  <c r="BZ68" i="13" s="1"/>
  <c r="BO71" i="13"/>
  <c r="BY71" i="13" s="1"/>
  <c r="BZ71" i="13" s="1"/>
  <c r="BO72" i="6"/>
  <c r="BY72" i="6" s="1"/>
  <c r="BZ72" i="6" s="1"/>
  <c r="BO69" i="6"/>
  <c r="BY69" i="6" s="1"/>
  <c r="BZ69" i="6" s="1"/>
  <c r="BO75" i="6"/>
  <c r="BY75" i="6" s="1"/>
  <c r="BZ75" i="6" s="1"/>
  <c r="BO70" i="4"/>
  <c r="BY70" i="4" s="1"/>
  <c r="BZ70" i="4" s="1"/>
  <c r="BT70" i="4"/>
  <c r="BS70" i="4"/>
  <c r="P67" i="4"/>
  <c r="BS67" i="4" s="1"/>
  <c r="P73" i="4"/>
  <c r="BV70" i="4"/>
  <c r="BW70" i="4" s="1"/>
  <c r="BO73" i="19"/>
  <c r="BY73" i="19" s="1"/>
  <c r="BZ73" i="19" s="1"/>
  <c r="BO70" i="19"/>
  <c r="BY70" i="19" s="1"/>
  <c r="BZ70" i="19" s="1"/>
  <c r="BO76" i="19"/>
  <c r="BY76" i="19" s="1"/>
  <c r="BZ76" i="19" s="1"/>
  <c r="BT72" i="17"/>
  <c r="BS72" i="17"/>
  <c r="BO72" i="17"/>
  <c r="BY72" i="17" s="1"/>
  <c r="BZ72" i="17" s="1"/>
  <c r="BY75" i="17"/>
  <c r="BZ75" i="17" s="1"/>
  <c r="P69" i="17"/>
  <c r="BS69" i="17"/>
  <c r="BT76" i="18"/>
  <c r="BS76" i="18"/>
  <c r="BO76" i="18"/>
  <c r="BY76" i="18" s="1"/>
  <c r="BZ76" i="18" s="1"/>
  <c r="BO73" i="18"/>
  <c r="BY73" i="18" s="1"/>
  <c r="BZ73" i="18" s="1"/>
  <c r="BS73" i="18"/>
  <c r="BO66" i="15"/>
  <c r="BY66" i="15" s="1"/>
  <c r="BZ66" i="15" s="1"/>
  <c r="BS66" i="15"/>
  <c r="BT66" i="15"/>
  <c r="BY69" i="15"/>
  <c r="BZ69" i="15" s="1"/>
  <c r="BT72" i="15"/>
  <c r="BO72" i="15"/>
  <c r="BY72" i="15" s="1"/>
  <c r="BZ72" i="15" s="1"/>
  <c r="BS72" i="15"/>
  <c r="BT69" i="15"/>
  <c r="BT73" i="14"/>
  <c r="BS73" i="14"/>
  <c r="BO73" i="14"/>
  <c r="BY73" i="14" s="1"/>
  <c r="BZ73" i="14" s="1"/>
  <c r="P76" i="14"/>
  <c r="P70" i="14"/>
  <c r="BS70" i="14" s="1"/>
  <c r="BT79" i="21" l="1"/>
  <c r="S79" i="21"/>
  <c r="BO79" i="21"/>
  <c r="BY79" i="21" s="1"/>
  <c r="BZ79" i="21" s="1"/>
  <c r="BS59" i="14"/>
  <c r="P78" i="22"/>
  <c r="P78" i="21"/>
  <c r="BV78" i="21"/>
  <c r="BW78" i="21" s="1"/>
  <c r="BO80" i="17"/>
  <c r="BY80" i="17" s="1"/>
  <c r="BZ80" i="17" s="1"/>
  <c r="BT80" i="17"/>
  <c r="BS80" i="17"/>
  <c r="BT58" i="17"/>
  <c r="BO58" i="17"/>
  <c r="BY58" i="17" s="1"/>
  <c r="BZ58" i="17" s="1"/>
  <c r="BS58" i="17"/>
  <c r="BT67" i="4"/>
  <c r="BO67" i="4"/>
  <c r="BY67" i="4" s="1"/>
  <c r="BZ67" i="4" s="1"/>
  <c r="BT73" i="4"/>
  <c r="BO73" i="4"/>
  <c r="BY73" i="4" s="1"/>
  <c r="BZ73" i="4" s="1"/>
  <c r="BS73" i="4"/>
  <c r="BT69" i="17"/>
  <c r="BO69" i="17"/>
  <c r="BY69" i="17" s="1"/>
  <c r="BZ69" i="17" s="1"/>
  <c r="BT70" i="14"/>
  <c r="BO70" i="14"/>
  <c r="BY70" i="14" s="1"/>
  <c r="BZ70" i="14" s="1"/>
  <c r="BT76" i="14"/>
  <c r="BO76" i="14"/>
  <c r="BY76" i="14" s="1"/>
  <c r="BZ76" i="14" s="1"/>
  <c r="BS76" i="14"/>
  <c r="S78" i="22" l="1"/>
  <c r="BO78" i="22"/>
  <c r="BY78" i="22" s="1"/>
  <c r="BZ78" i="22" s="1"/>
  <c r="P83" i="22"/>
  <c r="BT78" i="22"/>
  <c r="BS78" i="22"/>
  <c r="S78" i="21"/>
  <c r="BO78" i="21"/>
  <c r="BY78" i="21" s="1"/>
  <c r="BZ78" i="21" s="1"/>
  <c r="BT78" i="21"/>
  <c r="P83" i="21"/>
  <c r="BS78" i="21"/>
  <c r="V67" i="6"/>
  <c r="V66" i="6"/>
  <c r="V65" i="6"/>
  <c r="V64" i="6"/>
  <c r="V63" i="6"/>
  <c r="V62" i="6"/>
  <c r="V61" i="6"/>
  <c r="V60" i="6"/>
  <c r="BL76" i="15"/>
  <c r="BI76" i="15"/>
  <c r="BF76" i="15"/>
  <c r="BC76" i="15"/>
  <c r="AZ76" i="15"/>
  <c r="AW76" i="15"/>
  <c r="AT76" i="15"/>
  <c r="AQ76" i="15"/>
  <c r="AZ57" i="15"/>
  <c r="AW57" i="15"/>
  <c r="AT57" i="15"/>
  <c r="AQ57" i="15"/>
  <c r="BX64" i="15"/>
  <c r="BU64" i="15"/>
  <c r="V64" i="15"/>
  <c r="P64" i="15" s="1"/>
  <c r="BT64" i="15" s="1"/>
  <c r="BX63" i="15"/>
  <c r="BU63" i="15"/>
  <c r="V63" i="15"/>
  <c r="P63" i="15" s="1"/>
  <c r="BT63" i="15" s="1"/>
  <c r="BX62" i="15"/>
  <c r="BU62" i="15"/>
  <c r="V62" i="15"/>
  <c r="P62" i="15" s="1"/>
  <c r="BT62" i="15" s="1"/>
  <c r="BX61" i="15"/>
  <c r="BU61" i="15"/>
  <c r="V61" i="15"/>
  <c r="P61" i="15" s="1"/>
  <c r="BX60" i="15"/>
  <c r="BU60" i="15"/>
  <c r="V60" i="15"/>
  <c r="P60" i="15"/>
  <c r="BT60" i="15" s="1"/>
  <c r="BX68" i="19"/>
  <c r="BU68" i="19"/>
  <c r="V68" i="19"/>
  <c r="P68" i="19" s="1"/>
  <c r="BO68" i="19" s="1"/>
  <c r="BX67" i="19"/>
  <c r="BU67" i="19"/>
  <c r="BV67" i="19" s="1"/>
  <c r="BW67" i="19" s="1"/>
  <c r="V67" i="19"/>
  <c r="P67" i="19"/>
  <c r="BS67" i="19" s="1"/>
  <c r="BX66" i="19"/>
  <c r="BU66" i="19"/>
  <c r="V66" i="19"/>
  <c r="P66" i="19" s="1"/>
  <c r="BX65" i="19"/>
  <c r="BU65" i="19"/>
  <c r="V65" i="19"/>
  <c r="BX64" i="19"/>
  <c r="BU64" i="19"/>
  <c r="V64" i="19"/>
  <c r="P64" i="19" s="1"/>
  <c r="BT64" i="19" s="1"/>
  <c r="BX63" i="19"/>
  <c r="BU63" i="19"/>
  <c r="V63" i="19"/>
  <c r="P63" i="19"/>
  <c r="BO63" i="19" s="1"/>
  <c r="BX62" i="19"/>
  <c r="BU62" i="19"/>
  <c r="V62" i="19"/>
  <c r="BX61" i="19"/>
  <c r="BU61" i="19"/>
  <c r="V61" i="19"/>
  <c r="P61" i="19"/>
  <c r="BT61" i="19" s="1"/>
  <c r="BX60" i="19"/>
  <c r="BU60" i="19"/>
  <c r="V60" i="19"/>
  <c r="P60" i="19"/>
  <c r="BO60" i="19" s="1"/>
  <c r="BS60" i="19" l="1"/>
  <c r="BS63" i="19"/>
  <c r="BS68" i="19"/>
  <c r="S83" i="22"/>
  <c r="BO83" i="22"/>
  <c r="BY83" i="22" s="1"/>
  <c r="BZ83" i="22" s="1"/>
  <c r="BS83" i="22"/>
  <c r="BT83" i="22"/>
  <c r="S83" i="21"/>
  <c r="BO83" i="21"/>
  <c r="BY83" i="21" s="1"/>
  <c r="BZ83" i="21" s="1"/>
  <c r="BS83" i="21"/>
  <c r="BT83" i="21"/>
  <c r="BT63" i="19"/>
  <c r="BV63" i="19"/>
  <c r="BW63" i="19" s="1"/>
  <c r="BT60" i="19"/>
  <c r="BV60" i="19"/>
  <c r="BW60" i="19" s="1"/>
  <c r="BV64" i="19"/>
  <c r="BW64" i="19" s="1"/>
  <c r="BT68" i="19"/>
  <c r="BV68" i="19"/>
  <c r="BW68" i="19" s="1"/>
  <c r="BY63" i="19"/>
  <c r="BZ63" i="19" s="1"/>
  <c r="BS64" i="19"/>
  <c r="BS61" i="19"/>
  <c r="BV61" i="19"/>
  <c r="BW61" i="19" s="1"/>
  <c r="BV65" i="19"/>
  <c r="BW65" i="19" s="1"/>
  <c r="BV62" i="19"/>
  <c r="BW62" i="19" s="1"/>
  <c r="BV60" i="15"/>
  <c r="BW60" i="15" s="1"/>
  <c r="BO61" i="15"/>
  <c r="BY61" i="15" s="1"/>
  <c r="BZ61" i="15" s="1"/>
  <c r="BT61" i="15"/>
  <c r="BS61" i="15"/>
  <c r="BS60" i="15"/>
  <c r="BV61" i="15"/>
  <c r="BW61" i="15" s="1"/>
  <c r="BV63" i="15"/>
  <c r="BW63" i="15" s="1"/>
  <c r="BS64" i="15"/>
  <c r="BV62" i="15"/>
  <c r="BW62" i="15" s="1"/>
  <c r="BV64" i="15"/>
  <c r="BW64" i="15" s="1"/>
  <c r="BS62" i="15"/>
  <c r="BO62" i="15"/>
  <c r="BY62" i="15" s="1"/>
  <c r="BZ62" i="15" s="1"/>
  <c r="BO64" i="15"/>
  <c r="BY64" i="15" s="1"/>
  <c r="BZ64" i="15" s="1"/>
  <c r="BO60" i="15"/>
  <c r="BY60" i="15" s="1"/>
  <c r="BZ60" i="15" s="1"/>
  <c r="BS63" i="15"/>
  <c r="BO63" i="15"/>
  <c r="BY63" i="15" s="1"/>
  <c r="BZ63" i="15" s="1"/>
  <c r="BO66" i="19"/>
  <c r="BY66" i="19" s="1"/>
  <c r="BZ66" i="19" s="1"/>
  <c r="BT66" i="19"/>
  <c r="BY60" i="19"/>
  <c r="BZ60" i="19" s="1"/>
  <c r="BY68" i="19"/>
  <c r="BZ68" i="19" s="1"/>
  <c r="BO61" i="19"/>
  <c r="BY61" i="19" s="1"/>
  <c r="BZ61" i="19" s="1"/>
  <c r="P62" i="19"/>
  <c r="BO64" i="19"/>
  <c r="BY64" i="19" s="1"/>
  <c r="BZ64" i="19" s="1"/>
  <c r="BS66" i="19"/>
  <c r="P65" i="19"/>
  <c r="BO67" i="19"/>
  <c r="BY67" i="19" s="1"/>
  <c r="BZ67" i="19" s="1"/>
  <c r="BT67" i="19"/>
  <c r="BV66" i="19"/>
  <c r="BW66" i="19" s="1"/>
  <c r="BT62" i="19" l="1"/>
  <c r="BO62" i="19"/>
  <c r="BY62" i="19" s="1"/>
  <c r="BZ62" i="19" s="1"/>
  <c r="BO65" i="19"/>
  <c r="BY65" i="19" s="1"/>
  <c r="BZ65" i="19" s="1"/>
  <c r="BT65" i="19"/>
  <c r="BS65" i="19"/>
  <c r="BS62" i="19"/>
  <c r="BX67" i="17" l="1"/>
  <c r="BU67" i="17"/>
  <c r="V67" i="17"/>
  <c r="P67" i="17"/>
  <c r="BT67" i="17" s="1"/>
  <c r="BX66" i="17"/>
  <c r="BU66" i="17"/>
  <c r="V66" i="17"/>
  <c r="P66" i="17" s="1"/>
  <c r="BX65" i="17"/>
  <c r="BU65" i="17"/>
  <c r="V65" i="17"/>
  <c r="P65" i="17" s="1"/>
  <c r="BX64" i="17"/>
  <c r="BU64" i="17"/>
  <c r="V64" i="17"/>
  <c r="P64" i="17" s="1"/>
  <c r="BO64" i="17" s="1"/>
  <c r="BX63" i="17"/>
  <c r="BY63" i="17" s="1"/>
  <c r="BZ63" i="17" s="1"/>
  <c r="BU63" i="17"/>
  <c r="BV63" i="17" s="1"/>
  <c r="BW63" i="17" s="1"/>
  <c r="V63" i="17"/>
  <c r="P63" i="17"/>
  <c r="BO63" i="17" s="1"/>
  <c r="BX62" i="17"/>
  <c r="BU62" i="17"/>
  <c r="V62" i="17"/>
  <c r="P62" i="17" s="1"/>
  <c r="BS62" i="17" s="1"/>
  <c r="BX61" i="17"/>
  <c r="BU61" i="17"/>
  <c r="V61" i="17"/>
  <c r="P61" i="17" s="1"/>
  <c r="BX60" i="17"/>
  <c r="BU60" i="17"/>
  <c r="V60" i="17"/>
  <c r="BV62" i="17" l="1"/>
  <c r="BW62" i="17" s="1"/>
  <c r="BS63" i="17"/>
  <c r="BV60" i="17"/>
  <c r="BW60" i="17" s="1"/>
  <c r="BV66" i="17"/>
  <c r="BW66" i="17" s="1"/>
  <c r="BV64" i="17"/>
  <c r="BW64" i="17" s="1"/>
  <c r="BS67" i="17"/>
  <c r="BS64" i="17"/>
  <c r="BV67" i="17"/>
  <c r="BW67" i="17" s="1"/>
  <c r="BT63" i="17"/>
  <c r="BT65" i="17"/>
  <c r="BO65" i="17"/>
  <c r="BY65" i="17"/>
  <c r="BZ65" i="17" s="1"/>
  <c r="BV65" i="17"/>
  <c r="BW65" i="17" s="1"/>
  <c r="BS60" i="17"/>
  <c r="BY62" i="17"/>
  <c r="BZ62" i="17" s="1"/>
  <c r="BT66" i="17"/>
  <c r="BS66" i="17"/>
  <c r="BO66" i="17"/>
  <c r="BO61" i="17"/>
  <c r="BY61" i="17" s="1"/>
  <c r="BZ61" i="17" s="1"/>
  <c r="BT61" i="17"/>
  <c r="BY64" i="17"/>
  <c r="BZ64" i="17" s="1"/>
  <c r="BY66" i="17"/>
  <c r="BZ66" i="17" s="1"/>
  <c r="BO67" i="17"/>
  <c r="BY67" i="17" s="1"/>
  <c r="BZ67" i="17" s="1"/>
  <c r="P60" i="17"/>
  <c r="BO62" i="17"/>
  <c r="BT64" i="17"/>
  <c r="BV61" i="17"/>
  <c r="BW61" i="17" s="1"/>
  <c r="BT62" i="17"/>
  <c r="BS65" i="17"/>
  <c r="BS61" i="17"/>
  <c r="BO60" i="17" l="1"/>
  <c r="BY60" i="17" s="1"/>
  <c r="BZ60" i="17" s="1"/>
  <c r="BT60" i="17"/>
  <c r="BX68" i="18" l="1"/>
  <c r="BU68" i="18"/>
  <c r="V68" i="18"/>
  <c r="P68" i="18" s="1"/>
  <c r="BX67" i="18"/>
  <c r="BU67" i="18"/>
  <c r="V67" i="18"/>
  <c r="BX66" i="18"/>
  <c r="BU66" i="18"/>
  <c r="BV66" i="18" s="1"/>
  <c r="BW66" i="18" s="1"/>
  <c r="V66" i="18"/>
  <c r="P66" i="18"/>
  <c r="BT66" i="18" s="1"/>
  <c r="BX65" i="18"/>
  <c r="BU65" i="18"/>
  <c r="BV65" i="18" s="1"/>
  <c r="BW65" i="18" s="1"/>
  <c r="V65" i="18"/>
  <c r="P65" i="18" s="1"/>
  <c r="BX64" i="18"/>
  <c r="BU64" i="18"/>
  <c r="BV64" i="18" s="1"/>
  <c r="BW64" i="18" s="1"/>
  <c r="V64" i="18"/>
  <c r="BX63" i="18"/>
  <c r="BU63" i="18"/>
  <c r="V63" i="18"/>
  <c r="P63" i="18" s="1"/>
  <c r="BX62" i="18"/>
  <c r="BU62" i="18"/>
  <c r="V62" i="18"/>
  <c r="P62" i="18" s="1"/>
  <c r="BX61" i="18"/>
  <c r="BU61" i="18"/>
  <c r="V61" i="18"/>
  <c r="P61" i="18" s="1"/>
  <c r="BS61" i="18" s="1"/>
  <c r="BX60" i="18"/>
  <c r="BU60" i="18"/>
  <c r="V60" i="18"/>
  <c r="P60" i="18" s="1"/>
  <c r="BV60" i="18" l="1"/>
  <c r="BW60" i="18" s="1"/>
  <c r="BV68" i="18"/>
  <c r="BW68" i="18" s="1"/>
  <c r="BV61" i="18"/>
  <c r="BW61" i="18" s="1"/>
  <c r="BS62" i="18"/>
  <c r="BT62" i="18"/>
  <c r="BS66" i="18"/>
  <c r="BV63" i="18"/>
  <c r="BW63" i="18" s="1"/>
  <c r="BV62" i="18"/>
  <c r="BW62" i="18" s="1"/>
  <c r="BV67" i="18"/>
  <c r="BW67" i="18" s="1"/>
  <c r="BO65" i="18"/>
  <c r="BY65" i="18" s="1"/>
  <c r="BZ65" i="18" s="1"/>
  <c r="BS65" i="18"/>
  <c r="BT65" i="18"/>
  <c r="BT63" i="18"/>
  <c r="BO63" i="18"/>
  <c r="BY63" i="18" s="1"/>
  <c r="BZ63" i="18" s="1"/>
  <c r="BS60" i="18"/>
  <c r="BO60" i="18"/>
  <c r="BY60" i="18" s="1"/>
  <c r="BZ60" i="18" s="1"/>
  <c r="BT60" i="18"/>
  <c r="BO68" i="18"/>
  <c r="BY68" i="18" s="1"/>
  <c r="BZ68" i="18" s="1"/>
  <c r="BT68" i="18"/>
  <c r="BS68" i="18"/>
  <c r="BS63" i="18"/>
  <c r="P64" i="18"/>
  <c r="BS64" i="18" s="1"/>
  <c r="BO66" i="18"/>
  <c r="BY66" i="18" s="1"/>
  <c r="BZ66" i="18" s="1"/>
  <c r="BO61" i="18"/>
  <c r="BY61" i="18" s="1"/>
  <c r="BZ61" i="18" s="1"/>
  <c r="P67" i="18"/>
  <c r="BS67" i="18" s="1"/>
  <c r="BT61" i="18"/>
  <c r="BO62" i="18"/>
  <c r="BY62" i="18" s="1"/>
  <c r="BZ62" i="18" s="1"/>
  <c r="BT64" i="18" l="1"/>
  <c r="BO64" i="18"/>
  <c r="BY64" i="18" s="1"/>
  <c r="BZ64" i="18" s="1"/>
  <c r="BT67" i="18"/>
  <c r="BO67" i="18"/>
  <c r="BY67" i="18" s="1"/>
  <c r="BZ67" i="18" s="1"/>
  <c r="BX68" i="14" l="1"/>
  <c r="BU68" i="14"/>
  <c r="V68" i="14"/>
  <c r="P68" i="14" s="1"/>
  <c r="BX67" i="14"/>
  <c r="BU67" i="14"/>
  <c r="V67" i="14"/>
  <c r="BX66" i="14"/>
  <c r="BU66" i="14"/>
  <c r="V66" i="14"/>
  <c r="P66" i="14" s="1"/>
  <c r="BO66" i="14" s="1"/>
  <c r="BX65" i="14"/>
  <c r="BU65" i="14"/>
  <c r="V65" i="14"/>
  <c r="BX64" i="14"/>
  <c r="BU64" i="14"/>
  <c r="V64" i="14"/>
  <c r="P64" i="14" s="1"/>
  <c r="BX63" i="14"/>
  <c r="BU63" i="14"/>
  <c r="V63" i="14"/>
  <c r="P63" i="14" s="1"/>
  <c r="BT63" i="14" s="1"/>
  <c r="BX62" i="14"/>
  <c r="BU62" i="14"/>
  <c r="V62" i="14"/>
  <c r="BX61" i="14"/>
  <c r="BU61" i="14"/>
  <c r="V61" i="14"/>
  <c r="P61" i="14" s="1"/>
  <c r="BO61" i="14" s="1"/>
  <c r="BX60" i="14"/>
  <c r="BU60" i="14"/>
  <c r="V60" i="14"/>
  <c r="P60" i="14" s="1"/>
  <c r="BV61" i="14" l="1"/>
  <c r="BW61" i="14" s="1"/>
  <c r="BY66" i="14"/>
  <c r="BZ66" i="14" s="1"/>
  <c r="BV65" i="14"/>
  <c r="BW65" i="14" s="1"/>
  <c r="BS61" i="14"/>
  <c r="BV66" i="14"/>
  <c r="BW66" i="14" s="1"/>
  <c r="BV63" i="14"/>
  <c r="BW63" i="14" s="1"/>
  <c r="P62" i="14"/>
  <c r="BO62" i="14" s="1"/>
  <c r="BV67" i="14"/>
  <c r="BW67" i="14" s="1"/>
  <c r="BV62" i="14"/>
  <c r="BW62" i="14" s="1"/>
  <c r="BS66" i="14"/>
  <c r="BS63" i="14"/>
  <c r="BV64" i="14"/>
  <c r="BW64" i="14" s="1"/>
  <c r="BT61" i="14"/>
  <c r="P65" i="14"/>
  <c r="BT66" i="14"/>
  <c r="BY61" i="14"/>
  <c r="BZ61" i="14" s="1"/>
  <c r="BT60" i="14"/>
  <c r="BO60" i="14"/>
  <c r="BY60" i="14" s="1"/>
  <c r="BZ60" i="14" s="1"/>
  <c r="BT68" i="14"/>
  <c r="BO68" i="14"/>
  <c r="BY68" i="14" s="1"/>
  <c r="BZ68" i="14" s="1"/>
  <c r="BT64" i="14"/>
  <c r="BS64" i="14"/>
  <c r="BO64" i="14"/>
  <c r="BY64" i="14" s="1"/>
  <c r="BZ64" i="14" s="1"/>
  <c r="BY62" i="14"/>
  <c r="BZ62" i="14" s="1"/>
  <c r="BS60" i="14"/>
  <c r="BO63" i="14"/>
  <c r="BY63" i="14" s="1"/>
  <c r="BZ63" i="14" s="1"/>
  <c r="BS68" i="14"/>
  <c r="P67" i="14"/>
  <c r="BV60" i="14"/>
  <c r="BW60" i="14" s="1"/>
  <c r="BV68" i="14"/>
  <c r="BW68" i="14" s="1"/>
  <c r="BT62" i="14" l="1"/>
  <c r="BT65" i="14"/>
  <c r="BO65" i="14"/>
  <c r="BY65" i="14" s="1"/>
  <c r="BZ65" i="14" s="1"/>
  <c r="BS65" i="14"/>
  <c r="BS62" i="14"/>
  <c r="BO67" i="14"/>
  <c r="BY67" i="14" s="1"/>
  <c r="BZ67" i="14" s="1"/>
  <c r="BT67" i="14"/>
  <c r="BS67" i="14"/>
  <c r="AW78" i="13" l="1"/>
  <c r="AZ78" i="13"/>
  <c r="AT78" i="13"/>
  <c r="AQ78" i="13"/>
  <c r="AZ57" i="13"/>
  <c r="AW57" i="13"/>
  <c r="AT57" i="13"/>
  <c r="AQ57" i="13"/>
  <c r="BL78" i="13"/>
  <c r="BI78" i="13"/>
  <c r="BF78" i="13"/>
  <c r="BC78" i="13"/>
  <c r="AN78" i="13"/>
  <c r="V78" i="13"/>
  <c r="P78" i="13" s="1"/>
  <c r="BL67" i="13"/>
  <c r="BI67" i="13"/>
  <c r="BF67" i="13"/>
  <c r="BC67" i="13"/>
  <c r="AZ67" i="13"/>
  <c r="AW67" i="13"/>
  <c r="AT67" i="13"/>
  <c r="AQ67" i="13"/>
  <c r="AN67" i="13"/>
  <c r="AK67" i="13"/>
  <c r="AH67" i="13"/>
  <c r="AE67" i="13"/>
  <c r="AB67" i="13"/>
  <c r="Y67" i="13"/>
  <c r="BL79" i="6"/>
  <c r="BI79" i="6"/>
  <c r="BF79" i="6"/>
  <c r="BC79" i="6"/>
  <c r="AZ79" i="6"/>
  <c r="AW79" i="6"/>
  <c r="AT79" i="6"/>
  <c r="AQ79" i="6"/>
  <c r="AN79" i="6"/>
  <c r="BL68" i="6"/>
  <c r="BI68" i="6"/>
  <c r="BF68" i="6"/>
  <c r="BC68" i="6"/>
  <c r="AZ68" i="6"/>
  <c r="AW68" i="6"/>
  <c r="AT68" i="6"/>
  <c r="AQ68" i="6"/>
  <c r="AN68" i="6"/>
  <c r="AK68" i="6"/>
  <c r="AH68" i="6"/>
  <c r="AE68" i="6"/>
  <c r="AB68" i="6"/>
  <c r="Y68" i="6"/>
  <c r="BL77" i="4"/>
  <c r="BI77" i="4"/>
  <c r="BF77" i="4"/>
  <c r="BC77" i="4"/>
  <c r="AZ77" i="4"/>
  <c r="AW77" i="4"/>
  <c r="AT77" i="4"/>
  <c r="AQ77" i="4"/>
  <c r="AN77" i="4"/>
  <c r="BL66" i="4"/>
  <c r="BI66" i="4"/>
  <c r="BF66" i="4"/>
  <c r="BC66" i="4"/>
  <c r="AZ66" i="4"/>
  <c r="AW66" i="4"/>
  <c r="AT66" i="4"/>
  <c r="AQ66" i="4"/>
  <c r="AN66" i="4"/>
  <c r="AK66" i="4"/>
  <c r="AH66" i="4"/>
  <c r="AE66" i="4"/>
  <c r="AB66" i="4"/>
  <c r="Y66" i="4"/>
  <c r="BL80" i="19"/>
  <c r="BI80" i="19"/>
  <c r="BF80" i="19"/>
  <c r="BC80" i="19"/>
  <c r="BX80" i="19" s="1"/>
  <c r="AZ80" i="19"/>
  <c r="AW80" i="19"/>
  <c r="AT80" i="19"/>
  <c r="AQ80" i="19"/>
  <c r="AN80" i="19"/>
  <c r="V80" i="19"/>
  <c r="BL69" i="19"/>
  <c r="BI69" i="19"/>
  <c r="BF69" i="19"/>
  <c r="BC69" i="19"/>
  <c r="AZ69" i="19"/>
  <c r="AW69" i="19"/>
  <c r="AT69" i="19"/>
  <c r="AQ69" i="19"/>
  <c r="AN69" i="19"/>
  <c r="AK69" i="19"/>
  <c r="AH69" i="19"/>
  <c r="AE69" i="19"/>
  <c r="AB69" i="19"/>
  <c r="Y69" i="19"/>
  <c r="BL79" i="17"/>
  <c r="BI79" i="17"/>
  <c r="BF79" i="17"/>
  <c r="BC79" i="17"/>
  <c r="AZ79" i="17"/>
  <c r="AW79" i="17"/>
  <c r="AT79" i="17"/>
  <c r="AQ79" i="17"/>
  <c r="AN79" i="17"/>
  <c r="BL68" i="17"/>
  <c r="BI68" i="17"/>
  <c r="BF68" i="17"/>
  <c r="BC68" i="17"/>
  <c r="AZ68" i="17"/>
  <c r="AW68" i="17"/>
  <c r="AT68" i="17"/>
  <c r="AQ68" i="17"/>
  <c r="AN68" i="17"/>
  <c r="AK68" i="17"/>
  <c r="AH68" i="17"/>
  <c r="AE68" i="17"/>
  <c r="AB68" i="17"/>
  <c r="Y68" i="17"/>
  <c r="BL80" i="18"/>
  <c r="BI80" i="18"/>
  <c r="BF80" i="18"/>
  <c r="BC80" i="18"/>
  <c r="AZ80" i="18"/>
  <c r="AW80" i="18"/>
  <c r="AT80" i="18"/>
  <c r="AQ80" i="18"/>
  <c r="AN80" i="18"/>
  <c r="BL69" i="18"/>
  <c r="BI69" i="18"/>
  <c r="BF69" i="18"/>
  <c r="BC69" i="18"/>
  <c r="AZ69" i="18"/>
  <c r="AW69" i="18"/>
  <c r="AT69" i="18"/>
  <c r="AQ69" i="18"/>
  <c r="AN69" i="18"/>
  <c r="AK69" i="18"/>
  <c r="AH69" i="18"/>
  <c r="AE69" i="18"/>
  <c r="AB69" i="18"/>
  <c r="Y69" i="18"/>
  <c r="BX76" i="15"/>
  <c r="AN76" i="15"/>
  <c r="BL65" i="15"/>
  <c r="BI65" i="15"/>
  <c r="BF65" i="15"/>
  <c r="BC65" i="15"/>
  <c r="AZ65" i="15"/>
  <c r="AZ75" i="15" s="1"/>
  <c r="AZ80" i="15" s="1"/>
  <c r="AW65" i="15"/>
  <c r="AT65" i="15"/>
  <c r="AT75" i="15" s="1"/>
  <c r="AT80" i="15" s="1"/>
  <c r="AQ65" i="15"/>
  <c r="AQ75" i="15" s="1"/>
  <c r="AQ80" i="15" s="1"/>
  <c r="AN65" i="15"/>
  <c r="AK65" i="15"/>
  <c r="AH65" i="15"/>
  <c r="AE65" i="15"/>
  <c r="AB65" i="15"/>
  <c r="Y65" i="15"/>
  <c r="BL80" i="14"/>
  <c r="BI80" i="14"/>
  <c r="BF80" i="14"/>
  <c r="BC80" i="14"/>
  <c r="AZ80" i="14"/>
  <c r="AW80" i="14"/>
  <c r="AT80" i="14"/>
  <c r="AQ80" i="14"/>
  <c r="AN80" i="14"/>
  <c r="BL69" i="14"/>
  <c r="BI69" i="14"/>
  <c r="BF69" i="14"/>
  <c r="BC69" i="14"/>
  <c r="AZ69" i="14"/>
  <c r="AW69" i="14"/>
  <c r="AT69" i="14"/>
  <c r="AQ69" i="14"/>
  <c r="AN69" i="14"/>
  <c r="AK69" i="14"/>
  <c r="AH69" i="14"/>
  <c r="AE69" i="14"/>
  <c r="AB69" i="14"/>
  <c r="Y69" i="14"/>
  <c r="BL68" i="2"/>
  <c r="BI68" i="2"/>
  <c r="BF68" i="2"/>
  <c r="BC68" i="2"/>
  <c r="AZ68" i="2"/>
  <c r="AW68" i="2"/>
  <c r="AT68" i="2"/>
  <c r="AQ68" i="2"/>
  <c r="AK68" i="2"/>
  <c r="AH68" i="2"/>
  <c r="AE68" i="2"/>
  <c r="AB68" i="2"/>
  <c r="Y68" i="2"/>
  <c r="P80" i="19" l="1"/>
  <c r="V67" i="13"/>
  <c r="BX78" i="13"/>
  <c r="BX79" i="6"/>
  <c r="V79" i="6"/>
  <c r="BX79" i="17"/>
  <c r="BX80" i="14"/>
  <c r="V66" i="4"/>
  <c r="P66" i="4" s="1"/>
  <c r="BO66" i="4" s="1"/>
  <c r="AW77" i="13"/>
  <c r="AW82" i="13" s="1"/>
  <c r="AZ77" i="13"/>
  <c r="AZ82" i="13" s="1"/>
  <c r="AT77" i="13"/>
  <c r="AT82" i="13" s="1"/>
  <c r="V68" i="6"/>
  <c r="P68" i="6" s="1"/>
  <c r="BS68" i="6" s="1"/>
  <c r="V68" i="17"/>
  <c r="P68" i="17" s="1"/>
  <c r="BT68" i="17" s="1"/>
  <c r="V65" i="15"/>
  <c r="P65" i="15" s="1"/>
  <c r="BT65" i="15" s="1"/>
  <c r="AW75" i="15"/>
  <c r="AW80" i="15" s="1"/>
  <c r="BX77" i="4"/>
  <c r="BX80" i="18"/>
  <c r="BU67" i="13"/>
  <c r="BV67" i="13" s="1"/>
  <c r="BW67" i="13" s="1"/>
  <c r="AQ77" i="13"/>
  <c r="AQ82" i="13" s="1"/>
  <c r="BU69" i="19"/>
  <c r="BX69" i="14"/>
  <c r="BO78" i="13"/>
  <c r="BY78" i="13" s="1"/>
  <c r="BZ78" i="13" s="1"/>
  <c r="S78" i="13"/>
  <c r="BT78" i="13"/>
  <c r="P67" i="13"/>
  <c r="BT67" i="13" s="1"/>
  <c r="BX67" i="13"/>
  <c r="BS78" i="13"/>
  <c r="BX68" i="6"/>
  <c r="BU68" i="6"/>
  <c r="BX66" i="4"/>
  <c r="BU66" i="4"/>
  <c r="V77" i="4"/>
  <c r="P77" i="4" s="1"/>
  <c r="BT80" i="19"/>
  <c r="S80" i="19"/>
  <c r="BO80" i="19"/>
  <c r="BY80" i="19" s="1"/>
  <c r="BZ80" i="19" s="1"/>
  <c r="BX69" i="19"/>
  <c r="BS80" i="19"/>
  <c r="V69" i="19"/>
  <c r="BX68" i="17"/>
  <c r="BU68" i="17"/>
  <c r="V79" i="17"/>
  <c r="BX69" i="18"/>
  <c r="V69" i="18"/>
  <c r="BU69" i="18"/>
  <c r="V80" i="18"/>
  <c r="BX65" i="15"/>
  <c r="BU65" i="15"/>
  <c r="V76" i="15"/>
  <c r="V69" i="14"/>
  <c r="BU69" i="14"/>
  <c r="V80" i="14"/>
  <c r="BL57" i="19"/>
  <c r="BL79" i="19" s="1"/>
  <c r="BL84" i="19" s="1"/>
  <c r="BI57" i="19"/>
  <c r="BI79" i="19" s="1"/>
  <c r="BI84" i="19" s="1"/>
  <c r="BF57" i="19"/>
  <c r="BF79" i="19" s="1"/>
  <c r="BF84" i="19" s="1"/>
  <c r="BC57" i="19"/>
  <c r="BC79" i="19" s="1"/>
  <c r="BC84" i="19" s="1"/>
  <c r="AZ57" i="19"/>
  <c r="AZ79" i="19" s="1"/>
  <c r="AZ84" i="19" s="1"/>
  <c r="AW57" i="19"/>
  <c r="AW79" i="19" s="1"/>
  <c r="AW84" i="19" s="1"/>
  <c r="AT57" i="19"/>
  <c r="AT79" i="19" s="1"/>
  <c r="AT84" i="19" s="1"/>
  <c r="AQ57" i="19"/>
  <c r="AQ79" i="19" s="1"/>
  <c r="AQ84" i="19" s="1"/>
  <c r="AN57" i="19"/>
  <c r="AN79" i="19" s="1"/>
  <c r="AK57" i="19"/>
  <c r="AH57" i="19"/>
  <c r="AH79" i="19" s="1"/>
  <c r="AE57" i="19"/>
  <c r="AE79" i="19" s="1"/>
  <c r="AB57" i="19"/>
  <c r="AB79" i="19" s="1"/>
  <c r="Y57" i="19"/>
  <c r="Y79" i="19" s="1"/>
  <c r="BL57" i="17"/>
  <c r="BL78" i="17" s="1"/>
  <c r="BI57" i="17"/>
  <c r="BI78" i="17" s="1"/>
  <c r="BF57" i="17"/>
  <c r="BC57" i="17"/>
  <c r="BC78" i="17" s="1"/>
  <c r="AZ57" i="17"/>
  <c r="AZ78" i="17" s="1"/>
  <c r="AW57" i="17"/>
  <c r="AW78" i="17" s="1"/>
  <c r="AT57" i="17"/>
  <c r="AQ57" i="17"/>
  <c r="AQ78" i="17" s="1"/>
  <c r="AN57" i="17"/>
  <c r="AN78" i="17" s="1"/>
  <c r="AK57" i="17"/>
  <c r="AH57" i="17"/>
  <c r="AH78" i="17" s="1"/>
  <c r="AE57" i="17"/>
  <c r="AE78" i="17" s="1"/>
  <c r="AB57" i="17"/>
  <c r="AB78" i="17" s="1"/>
  <c r="Y57" i="17"/>
  <c r="Y78" i="17" s="1"/>
  <c r="BL57" i="18"/>
  <c r="BL79" i="18" s="1"/>
  <c r="BL84" i="18" s="1"/>
  <c r="BI57" i="18"/>
  <c r="BI79" i="18" s="1"/>
  <c r="BI84" i="18" s="1"/>
  <c r="BF57" i="18"/>
  <c r="BF79" i="18" s="1"/>
  <c r="BF84" i="18" s="1"/>
  <c r="BC57" i="18"/>
  <c r="BC79" i="18" s="1"/>
  <c r="BC84" i="18" s="1"/>
  <c r="AZ57" i="18"/>
  <c r="AZ79" i="18" s="1"/>
  <c r="AZ84" i="18" s="1"/>
  <c r="AW57" i="18"/>
  <c r="AW79" i="18" s="1"/>
  <c r="AW84" i="18" s="1"/>
  <c r="AT57" i="18"/>
  <c r="AT79" i="18" s="1"/>
  <c r="AT84" i="18" s="1"/>
  <c r="AQ57" i="18"/>
  <c r="AQ79" i="18" s="1"/>
  <c r="AQ84" i="18" s="1"/>
  <c r="AN57" i="18"/>
  <c r="AK57" i="18"/>
  <c r="AH57" i="18"/>
  <c r="AH79" i="18" s="1"/>
  <c r="AE57" i="18"/>
  <c r="AE79" i="18" s="1"/>
  <c r="AB57" i="18"/>
  <c r="AB79" i="18" s="1"/>
  <c r="Y57" i="18"/>
  <c r="Y79" i="18" s="1"/>
  <c r="BL57" i="15"/>
  <c r="BL75" i="15" s="1"/>
  <c r="BL80" i="15" s="1"/>
  <c r="BI57" i="15"/>
  <c r="BI75" i="15" s="1"/>
  <c r="BI80" i="15" s="1"/>
  <c r="BF57" i="15"/>
  <c r="BF75" i="15" s="1"/>
  <c r="BF80" i="15" s="1"/>
  <c r="BC57" i="15"/>
  <c r="BC75" i="15" s="1"/>
  <c r="BC80" i="15" s="1"/>
  <c r="AN57" i="15"/>
  <c r="AN75" i="15" s="1"/>
  <c r="AK57" i="15"/>
  <c r="AH57" i="15"/>
  <c r="AH75" i="15" s="1"/>
  <c r="AE57" i="15"/>
  <c r="AE75" i="15" s="1"/>
  <c r="AB57" i="15"/>
  <c r="AB75" i="15" s="1"/>
  <c r="Y57" i="15"/>
  <c r="Y75" i="15" s="1"/>
  <c r="BL57" i="14"/>
  <c r="BL79" i="14" s="1"/>
  <c r="BL84" i="14" s="1"/>
  <c r="BI57" i="14"/>
  <c r="BI79" i="14" s="1"/>
  <c r="BI84" i="14" s="1"/>
  <c r="BF57" i="14"/>
  <c r="BF79" i="14" s="1"/>
  <c r="BF84" i="14" s="1"/>
  <c r="BC57" i="14"/>
  <c r="BC79" i="14" s="1"/>
  <c r="BC84" i="14" s="1"/>
  <c r="AZ57" i="14"/>
  <c r="AZ79" i="14" s="1"/>
  <c r="AZ84" i="14" s="1"/>
  <c r="AW57" i="14"/>
  <c r="AW79" i="14" s="1"/>
  <c r="AW84" i="14" s="1"/>
  <c r="AT57" i="14"/>
  <c r="AT79" i="14" s="1"/>
  <c r="AT84" i="14" s="1"/>
  <c r="AQ57" i="14"/>
  <c r="AQ79" i="14" s="1"/>
  <c r="AQ84" i="14" s="1"/>
  <c r="AN57" i="14"/>
  <c r="AN79" i="14" s="1"/>
  <c r="AK57" i="14"/>
  <c r="AH57" i="14"/>
  <c r="AH79" i="14" s="1"/>
  <c r="AE57" i="14"/>
  <c r="AE79" i="14" s="1"/>
  <c r="AB57" i="14"/>
  <c r="AB79" i="14" s="1"/>
  <c r="Y57" i="14"/>
  <c r="Y79" i="14" s="1"/>
  <c r="BV68" i="17" l="1"/>
  <c r="BW68" i="17" s="1"/>
  <c r="BS66" i="4"/>
  <c r="BT66" i="4"/>
  <c r="BV66" i="4"/>
  <c r="BW66" i="4" s="1"/>
  <c r="S66" i="4"/>
  <c r="BV68" i="6"/>
  <c r="BW68" i="6" s="1"/>
  <c r="BS67" i="13"/>
  <c r="BY66" i="4"/>
  <c r="BZ66" i="4" s="1"/>
  <c r="BV65" i="15"/>
  <c r="BW65" i="15" s="1"/>
  <c r="V77" i="13"/>
  <c r="V57" i="19"/>
  <c r="P57" i="19" s="1"/>
  <c r="BO57" i="19" s="1"/>
  <c r="BX79" i="19"/>
  <c r="BU78" i="17"/>
  <c r="AZ83" i="17"/>
  <c r="BF78" i="17"/>
  <c r="BF83" i="17" s="1"/>
  <c r="BL83" i="17"/>
  <c r="V57" i="17"/>
  <c r="P57" i="17" s="1"/>
  <c r="AT78" i="17"/>
  <c r="AT83" i="17" s="1"/>
  <c r="AN79" i="18"/>
  <c r="AN84" i="18" s="1"/>
  <c r="BU75" i="15"/>
  <c r="BU79" i="14"/>
  <c r="BU79" i="18"/>
  <c r="BX79" i="14"/>
  <c r="V75" i="15"/>
  <c r="BX75" i="15"/>
  <c r="V57" i="15"/>
  <c r="P57" i="15" s="1"/>
  <c r="S57" i="15" s="1"/>
  <c r="BS65" i="15"/>
  <c r="BU79" i="19"/>
  <c r="V79" i="19"/>
  <c r="P79" i="19" s="1"/>
  <c r="BS68" i="17"/>
  <c r="BX79" i="18"/>
  <c r="V79" i="18"/>
  <c r="P79" i="18" s="1"/>
  <c r="BO79" i="18" s="1"/>
  <c r="V57" i="18"/>
  <c r="P57" i="18" s="1"/>
  <c r="S57" i="18" s="1"/>
  <c r="V57" i="14"/>
  <c r="P57" i="14" s="1"/>
  <c r="S57" i="14" s="1"/>
  <c r="BO67" i="13"/>
  <c r="BY67" i="13" s="1"/>
  <c r="BZ67" i="13" s="1"/>
  <c r="S67" i="13"/>
  <c r="BT68" i="6"/>
  <c r="BO68" i="6"/>
  <c r="BY68" i="6" s="1"/>
  <c r="BZ68" i="6" s="1"/>
  <c r="S68" i="6"/>
  <c r="P79" i="6"/>
  <c r="BS79" i="6" s="1"/>
  <c r="BS77" i="4"/>
  <c r="P69" i="19"/>
  <c r="BS69" i="19" s="1"/>
  <c r="BV69" i="19"/>
  <c r="BW69" i="19" s="1"/>
  <c r="BO68" i="17"/>
  <c r="BY68" i="17" s="1"/>
  <c r="BZ68" i="17" s="1"/>
  <c r="S68" i="17"/>
  <c r="P79" i="17"/>
  <c r="BS79" i="17" s="1"/>
  <c r="BV69" i="18"/>
  <c r="BW69" i="18" s="1"/>
  <c r="P69" i="18"/>
  <c r="P80" i="18"/>
  <c r="BS80" i="18" s="1"/>
  <c r="P76" i="15"/>
  <c r="BO76" i="15" s="1"/>
  <c r="BO65" i="15"/>
  <c r="BY65" i="15" s="1"/>
  <c r="BZ65" i="15" s="1"/>
  <c r="S65" i="15"/>
  <c r="P69" i="14"/>
  <c r="P80" i="14"/>
  <c r="BS80" i="14" s="1"/>
  <c r="BV69" i="14"/>
  <c r="BW69" i="14" s="1"/>
  <c r="AW83" i="17"/>
  <c r="AN83" i="17"/>
  <c r="BI83" i="17"/>
  <c r="AN80" i="15"/>
  <c r="AN84" i="14"/>
  <c r="S57" i="19" l="1"/>
  <c r="BX78" i="17"/>
  <c r="S57" i="17"/>
  <c r="BO57" i="17"/>
  <c r="BS76" i="15"/>
  <c r="BO57" i="18"/>
  <c r="BO57" i="14"/>
  <c r="BS79" i="19"/>
  <c r="BO79" i="19"/>
  <c r="BY79" i="19" s="1"/>
  <c r="BZ79" i="19" s="1"/>
  <c r="P75" i="15"/>
  <c r="S75" i="15" s="1"/>
  <c r="BT79" i="19"/>
  <c r="BV79" i="19"/>
  <c r="BW79" i="19" s="1"/>
  <c r="S79" i="19"/>
  <c r="V79" i="14"/>
  <c r="P79" i="14" s="1"/>
  <c r="BV75" i="15"/>
  <c r="BW75" i="15" s="1"/>
  <c r="BX84" i="14"/>
  <c r="BV79" i="18"/>
  <c r="BW79" i="18" s="1"/>
  <c r="BO57" i="15"/>
  <c r="V78" i="17"/>
  <c r="AQ83" i="17"/>
  <c r="BO79" i="6"/>
  <c r="BY79" i="6" s="1"/>
  <c r="BZ79" i="6" s="1"/>
  <c r="S79" i="6"/>
  <c r="BT79" i="6"/>
  <c r="BO77" i="4"/>
  <c r="BY77" i="4" s="1"/>
  <c r="BZ77" i="4" s="1"/>
  <c r="S77" i="4"/>
  <c r="BT77" i="4"/>
  <c r="BO69" i="19"/>
  <c r="BY69" i="19" s="1"/>
  <c r="BZ69" i="19" s="1"/>
  <c r="S69" i="19"/>
  <c r="BT69" i="19"/>
  <c r="BO79" i="17"/>
  <c r="BY79" i="17" s="1"/>
  <c r="BZ79" i="17" s="1"/>
  <c r="S79" i="17"/>
  <c r="BT79" i="17"/>
  <c r="BO80" i="18"/>
  <c r="BY80" i="18" s="1"/>
  <c r="BZ80" i="18" s="1"/>
  <c r="S80" i="18"/>
  <c r="BT80" i="18"/>
  <c r="S79" i="18"/>
  <c r="BY79" i="18"/>
  <c r="BZ79" i="18" s="1"/>
  <c r="BS79" i="18"/>
  <c r="BT79" i="18"/>
  <c r="BO69" i="18"/>
  <c r="BY69" i="18" s="1"/>
  <c r="BZ69" i="18" s="1"/>
  <c r="S69" i="18"/>
  <c r="BT69" i="18"/>
  <c r="BS69" i="18"/>
  <c r="BX80" i="15"/>
  <c r="BY76" i="15"/>
  <c r="BZ76" i="15" s="1"/>
  <c r="S76" i="15"/>
  <c r="BT76" i="15"/>
  <c r="BO80" i="14"/>
  <c r="BY80" i="14" s="1"/>
  <c r="BZ80" i="14" s="1"/>
  <c r="S80" i="14"/>
  <c r="BT80" i="14"/>
  <c r="BO69" i="14"/>
  <c r="BY69" i="14" s="1"/>
  <c r="BZ69" i="14" s="1"/>
  <c r="S69" i="14"/>
  <c r="BT69" i="14"/>
  <c r="BS69" i="14"/>
  <c r="BX84" i="19"/>
  <c r="AN84" i="19"/>
  <c r="V84" i="19"/>
  <c r="V83" i="17"/>
  <c r="BC83" i="17"/>
  <c r="BX83" i="17" s="1"/>
  <c r="BX84" i="18"/>
  <c r="V84" i="18"/>
  <c r="V80" i="15"/>
  <c r="V84" i="14"/>
  <c r="BS75" i="15" l="1"/>
  <c r="BV78" i="17"/>
  <c r="BW78" i="17" s="1"/>
  <c r="BT75" i="15"/>
  <c r="BO75" i="15"/>
  <c r="BY75" i="15" s="1"/>
  <c r="BZ75" i="15" s="1"/>
  <c r="BO79" i="14"/>
  <c r="BY79" i="14" s="1"/>
  <c r="BZ79" i="14" s="1"/>
  <c r="BV79" i="14"/>
  <c r="BW79" i="14" s="1"/>
  <c r="BT79" i="14"/>
  <c r="BS79" i="14"/>
  <c r="S79" i="14"/>
  <c r="P78" i="17"/>
  <c r="P84" i="19"/>
  <c r="P84" i="18"/>
  <c r="P80" i="15"/>
  <c r="BO80" i="15" s="1"/>
  <c r="P84" i="14"/>
  <c r="BO84" i="14" s="1"/>
  <c r="V81" i="4"/>
  <c r="BX82" i="2"/>
  <c r="BW82" i="2"/>
  <c r="V82" i="2"/>
  <c r="P82" i="2" s="1"/>
  <c r="BX81" i="2"/>
  <c r="BW81" i="2"/>
  <c r="V81" i="2"/>
  <c r="P81" i="2" s="1"/>
  <c r="BX80" i="2"/>
  <c r="BW80" i="2"/>
  <c r="V80" i="2"/>
  <c r="P80" i="2" s="1"/>
  <c r="V60" i="13"/>
  <c r="V61" i="13"/>
  <c r="V62" i="13"/>
  <c r="V63" i="13"/>
  <c r="V64" i="13"/>
  <c r="V65" i="13"/>
  <c r="V66" i="13"/>
  <c r="V60" i="4"/>
  <c r="V61" i="4"/>
  <c r="V62" i="4"/>
  <c r="V63" i="4"/>
  <c r="V64" i="4"/>
  <c r="V65" i="4"/>
  <c r="V75" i="2"/>
  <c r="V72" i="2"/>
  <c r="V69" i="2"/>
  <c r="V58" i="2"/>
  <c r="V59" i="2"/>
  <c r="V60" i="2"/>
  <c r="V61" i="2"/>
  <c r="V62" i="2"/>
  <c r="V63" i="2"/>
  <c r="V64" i="2"/>
  <c r="V65" i="2"/>
  <c r="V66" i="2"/>
  <c r="V67" i="2"/>
  <c r="BO37" i="2"/>
  <c r="BM37" i="2"/>
  <c r="BK37" i="2"/>
  <c r="BI37" i="2"/>
  <c r="BG37" i="2"/>
  <c r="BE37" i="2"/>
  <c r="BC36" i="2"/>
  <c r="BQ36" i="2" s="1"/>
  <c r="BC35" i="2"/>
  <c r="BQ35" i="2" s="1"/>
  <c r="BT84" i="19" l="1"/>
  <c r="BO84" i="19"/>
  <c r="BS84" i="19"/>
  <c r="BO78" i="17"/>
  <c r="BY78" i="17" s="1"/>
  <c r="BZ78" i="17" s="1"/>
  <c r="BT78" i="17"/>
  <c r="BS78" i="17"/>
  <c r="BO84" i="18"/>
  <c r="BY84" i="18" s="1"/>
  <c r="BZ84" i="18" s="1"/>
  <c r="BT84" i="18"/>
  <c r="BS84" i="18"/>
  <c r="BS80" i="15"/>
  <c r="P83" i="17"/>
  <c r="S83" i="17" s="1"/>
  <c r="S78" i="17"/>
  <c r="BY84" i="19"/>
  <c r="BZ84" i="19" s="1"/>
  <c r="S84" i="19"/>
  <c r="S84" i="18"/>
  <c r="BY80" i="15"/>
  <c r="BZ80" i="15" s="1"/>
  <c r="S80" i="15"/>
  <c r="BT80" i="15"/>
  <c r="S84" i="14"/>
  <c r="BY84" i="14"/>
  <c r="BZ84" i="14" s="1"/>
  <c r="BT84" i="14"/>
  <c r="BS84" i="14"/>
  <c r="BQ37" i="2"/>
  <c r="BT82" i="2"/>
  <c r="BO82" i="2"/>
  <c r="BY82" i="2" s="1"/>
  <c r="BZ82" i="2" s="1"/>
  <c r="BO81" i="2"/>
  <c r="BY81" i="2" s="1"/>
  <c r="BZ81" i="2" s="1"/>
  <c r="BT81" i="2"/>
  <c r="BO80" i="2"/>
  <c r="BY80" i="2" s="1"/>
  <c r="BZ80" i="2" s="1"/>
  <c r="BS80" i="2"/>
  <c r="BT80" i="2"/>
  <c r="BS81" i="2"/>
  <c r="BS82" i="2"/>
  <c r="BC37" i="2"/>
  <c r="V79" i="2"/>
  <c r="BS83" i="17" l="1"/>
  <c r="BT83" i="17"/>
  <c r="BO83" i="17"/>
  <c r="BY83" i="17" s="1"/>
  <c r="BZ83" i="17" s="1"/>
  <c r="BL79" i="2"/>
  <c r="BI79" i="2"/>
  <c r="BF79" i="2"/>
  <c r="BC79" i="2"/>
  <c r="AZ79" i="2"/>
  <c r="AW79" i="2"/>
  <c r="AT79" i="2"/>
  <c r="AQ79" i="2"/>
  <c r="AN79" i="2"/>
  <c r="P79" i="2" l="1"/>
  <c r="BX79" i="2"/>
  <c r="S79" i="2" l="1"/>
  <c r="BT79" i="2"/>
  <c r="BO79" i="2"/>
  <c r="BY79" i="2" s="1"/>
  <c r="BZ79" i="2" s="1"/>
  <c r="BS79" i="2"/>
  <c r="BX77" i="2" l="1"/>
  <c r="BU77" i="2"/>
  <c r="BV77" i="2" s="1"/>
  <c r="BW77" i="2" s="1"/>
  <c r="BT77" i="2"/>
  <c r="BS77" i="2"/>
  <c r="BO77" i="2"/>
  <c r="BX76" i="2"/>
  <c r="BU76" i="2"/>
  <c r="BV76" i="2" s="1"/>
  <c r="BW76" i="2" s="1"/>
  <c r="BT76" i="2"/>
  <c r="BS76" i="2"/>
  <c r="BO76" i="2"/>
  <c r="BX75" i="2"/>
  <c r="BU75" i="2"/>
  <c r="P75" i="2"/>
  <c r="BX74" i="2"/>
  <c r="BU74" i="2"/>
  <c r="BV74" i="2" s="1"/>
  <c r="BW74" i="2" s="1"/>
  <c r="BT74" i="2"/>
  <c r="BS74" i="2"/>
  <c r="BO74" i="2"/>
  <c r="BX73" i="2"/>
  <c r="BU73" i="2"/>
  <c r="BV73" i="2" s="1"/>
  <c r="BW73" i="2" s="1"/>
  <c r="BT73" i="2"/>
  <c r="BS73" i="2"/>
  <c r="BO73" i="2"/>
  <c r="BX72" i="2"/>
  <c r="BU72" i="2"/>
  <c r="P72" i="2"/>
  <c r="BX71" i="2"/>
  <c r="BU71" i="2"/>
  <c r="BV71" i="2" s="1"/>
  <c r="BW71" i="2" s="1"/>
  <c r="BT71" i="2"/>
  <c r="BS71" i="2"/>
  <c r="BO71" i="2"/>
  <c r="BX70" i="2"/>
  <c r="BU70" i="2"/>
  <c r="BV70" i="2" s="1"/>
  <c r="BW70" i="2" s="1"/>
  <c r="BT70" i="2"/>
  <c r="BS70" i="2"/>
  <c r="BO70" i="2"/>
  <c r="BX69" i="2"/>
  <c r="BU69" i="2"/>
  <c r="P69" i="2"/>
  <c r="BO69" i="2" s="1"/>
  <c r="AN68" i="2"/>
  <c r="BY73" i="2" l="1"/>
  <c r="BZ73" i="2" s="1"/>
  <c r="V68" i="2"/>
  <c r="P68" i="2" s="1"/>
  <c r="BO68" i="2" s="1"/>
  <c r="BV72" i="2"/>
  <c r="BW72" i="2" s="1"/>
  <c r="BS69" i="2"/>
  <c r="BY71" i="2"/>
  <c r="BZ71" i="2" s="1"/>
  <c r="BY74" i="2"/>
  <c r="BZ74" i="2" s="1"/>
  <c r="BY76" i="2"/>
  <c r="BZ76" i="2" s="1"/>
  <c r="BX68" i="2"/>
  <c r="BY77" i="2"/>
  <c r="BZ77" i="2" s="1"/>
  <c r="BV69" i="2"/>
  <c r="BW69" i="2" s="1"/>
  <c r="BY70" i="2"/>
  <c r="BZ70" i="2" s="1"/>
  <c r="BV75" i="2"/>
  <c r="BW75" i="2" s="1"/>
  <c r="BU68" i="2"/>
  <c r="BT72" i="2"/>
  <c r="BO72" i="2"/>
  <c r="BY72" i="2" s="1"/>
  <c r="BZ72" i="2" s="1"/>
  <c r="BY69" i="2"/>
  <c r="BZ69" i="2" s="1"/>
  <c r="BT75" i="2"/>
  <c r="BO75" i="2"/>
  <c r="BY75" i="2" s="1"/>
  <c r="BZ75" i="2" s="1"/>
  <c r="BT69" i="2"/>
  <c r="BS72" i="2"/>
  <c r="BS75" i="2"/>
  <c r="BV68" i="2" l="1"/>
  <c r="BW68" i="2" s="1"/>
  <c r="BY68" i="2"/>
  <c r="BZ68" i="2" s="1"/>
  <c r="S68" i="2"/>
  <c r="BT68" i="2"/>
  <c r="BS68" i="2"/>
  <c r="BX65" i="2" l="1"/>
  <c r="BU65" i="2"/>
  <c r="P65" i="2"/>
  <c r="BO65" i="2" s="1"/>
  <c r="BS65" i="2" l="1"/>
  <c r="BV65" i="2"/>
  <c r="BW65" i="2" s="1"/>
  <c r="BY65" i="2"/>
  <c r="BZ65" i="2" s="1"/>
  <c r="BT65" i="2"/>
  <c r="BX59" i="2" l="1"/>
  <c r="BU59" i="2"/>
  <c r="P59" i="2"/>
  <c r="BX58" i="2"/>
  <c r="BU58" i="2"/>
  <c r="P58" i="2"/>
  <c r="BT58" i="2" s="1"/>
  <c r="BX66" i="13"/>
  <c r="BU66" i="13"/>
  <c r="P66" i="13"/>
  <c r="BX65" i="13"/>
  <c r="BU65" i="13"/>
  <c r="BV65" i="13" s="1"/>
  <c r="BW65" i="13" s="1"/>
  <c r="BX67" i="6"/>
  <c r="BU67" i="6"/>
  <c r="P67" i="6"/>
  <c r="BX66" i="6"/>
  <c r="BU66" i="6"/>
  <c r="P66" i="6"/>
  <c r="BT66" i="6" s="1"/>
  <c r="BX65" i="4"/>
  <c r="BU65" i="4"/>
  <c r="P65" i="4"/>
  <c r="BX64" i="4"/>
  <c r="BU64" i="4"/>
  <c r="BV64" i="4" s="1"/>
  <c r="BW64" i="4" s="1"/>
  <c r="BX67" i="2"/>
  <c r="BU67" i="2"/>
  <c r="P67" i="2"/>
  <c r="BX66" i="2"/>
  <c r="BU66" i="2"/>
  <c r="BV58" i="2" l="1"/>
  <c r="BW58" i="2" s="1"/>
  <c r="BV66" i="13"/>
  <c r="BW66" i="13" s="1"/>
  <c r="BV67" i="6"/>
  <c r="BW67" i="6" s="1"/>
  <c r="BV65" i="4"/>
  <c r="BW65" i="4" s="1"/>
  <c r="BS58" i="2"/>
  <c r="BO58" i="2"/>
  <c r="BY58" i="2" s="1"/>
  <c r="BZ58" i="2" s="1"/>
  <c r="BV59" i="2"/>
  <c r="BW59" i="2" s="1"/>
  <c r="P65" i="13"/>
  <c r="BS65" i="13" s="1"/>
  <c r="BV66" i="6"/>
  <c r="BW66" i="6" s="1"/>
  <c r="BS66" i="6"/>
  <c r="BO66" i="6"/>
  <c r="BY66" i="6" s="1"/>
  <c r="BZ66" i="6" s="1"/>
  <c r="P64" i="4"/>
  <c r="BS64" i="4" s="1"/>
  <c r="BV67" i="2"/>
  <c r="BW67" i="2" s="1"/>
  <c r="BO59" i="2"/>
  <c r="BY59" i="2" s="1"/>
  <c r="BZ59" i="2" s="1"/>
  <c r="BS59" i="2"/>
  <c r="BT59" i="2"/>
  <c r="P66" i="2"/>
  <c r="BV66" i="2"/>
  <c r="BW66" i="2" s="1"/>
  <c r="BO66" i="13"/>
  <c r="BY66" i="13" s="1"/>
  <c r="BZ66" i="13" s="1"/>
  <c r="BS66" i="13"/>
  <c r="BT66" i="13"/>
  <c r="BO67" i="6"/>
  <c r="BY67" i="6" s="1"/>
  <c r="BZ67" i="6" s="1"/>
  <c r="BS67" i="6"/>
  <c r="BT67" i="6"/>
  <c r="BO65" i="4"/>
  <c r="BY65" i="4" s="1"/>
  <c r="BZ65" i="4" s="1"/>
  <c r="BS65" i="4"/>
  <c r="BT65" i="4"/>
  <c r="BO67" i="2"/>
  <c r="BY67" i="2" s="1"/>
  <c r="BZ67" i="2" s="1"/>
  <c r="BS67" i="2"/>
  <c r="BT67" i="2"/>
  <c r="BX64" i="13"/>
  <c r="BU64" i="13"/>
  <c r="BX63" i="13"/>
  <c r="BU63" i="13"/>
  <c r="BX62" i="13"/>
  <c r="BU62" i="13"/>
  <c r="BX61" i="13"/>
  <c r="BU61" i="13"/>
  <c r="BX60" i="13"/>
  <c r="BU60" i="13"/>
  <c r="BX65" i="6"/>
  <c r="BU65" i="6"/>
  <c r="BX64" i="6"/>
  <c r="BU64" i="6"/>
  <c r="BX63" i="6"/>
  <c r="BU63" i="6"/>
  <c r="BX62" i="6"/>
  <c r="BU62" i="6"/>
  <c r="BX61" i="6"/>
  <c r="BU61" i="6"/>
  <c r="BX60" i="6"/>
  <c r="BU60" i="6"/>
  <c r="BX63" i="4"/>
  <c r="BU63" i="4"/>
  <c r="BX62" i="4"/>
  <c r="BU62" i="4"/>
  <c r="BX61" i="4"/>
  <c r="BU61" i="4"/>
  <c r="BX60" i="4"/>
  <c r="BU60" i="4"/>
  <c r="BX64" i="2"/>
  <c r="BU64" i="2"/>
  <c r="BX63" i="2"/>
  <c r="BU63" i="2"/>
  <c r="BX62" i="2"/>
  <c r="BU62" i="2"/>
  <c r="BX61" i="2"/>
  <c r="BU61" i="2"/>
  <c r="BX60" i="2"/>
  <c r="BU60" i="2"/>
  <c r="BT65" i="13" l="1"/>
  <c r="BO65" i="13"/>
  <c r="BY65" i="13" s="1"/>
  <c r="BZ65" i="13" s="1"/>
  <c r="BT64" i="4"/>
  <c r="BO64" i="4"/>
  <c r="BY64" i="4" s="1"/>
  <c r="BZ64" i="4" s="1"/>
  <c r="BT66" i="2"/>
  <c r="BO66" i="2"/>
  <c r="BY66" i="2" s="1"/>
  <c r="BZ66" i="2" s="1"/>
  <c r="BS66" i="2"/>
  <c r="Y57" i="2" l="1"/>
  <c r="Y78" i="2" s="1"/>
  <c r="BV60" i="2"/>
  <c r="BW60" i="2" s="1"/>
  <c r="BV61" i="2"/>
  <c r="BW61" i="2" s="1"/>
  <c r="BV62" i="2"/>
  <c r="BW62" i="2" s="1"/>
  <c r="BV63" i="2"/>
  <c r="BW63" i="2" s="1"/>
  <c r="BV64" i="2"/>
  <c r="BW64" i="2" s="1"/>
  <c r="BV61" i="4"/>
  <c r="BW61" i="4" s="1"/>
  <c r="BV62" i="6"/>
  <c r="BW62" i="6" s="1"/>
  <c r="BV63" i="6"/>
  <c r="BW63" i="6" s="1"/>
  <c r="BV64" i="6"/>
  <c r="BW64" i="6" s="1"/>
  <c r="BV65" i="6"/>
  <c r="BW65" i="6" s="1"/>
  <c r="BV61" i="13"/>
  <c r="BW61" i="13" s="1"/>
  <c r="BV62" i="13"/>
  <c r="BW62" i="13" s="1"/>
  <c r="BV63" i="13"/>
  <c r="BW63" i="13" s="1"/>
  <c r="BV64" i="13"/>
  <c r="BW64" i="13" s="1"/>
  <c r="BV60" i="4" l="1"/>
  <c r="BW60" i="4" s="1"/>
  <c r="BV63" i="4"/>
  <c r="BW63" i="4" s="1"/>
  <c r="BV62" i="4"/>
  <c r="BW62" i="4" s="1"/>
  <c r="BV60" i="13"/>
  <c r="BW60" i="13" s="1"/>
  <c r="BV61" i="6"/>
  <c r="BW61" i="6" s="1"/>
  <c r="BV60" i="6"/>
  <c r="BW60" i="6" s="1"/>
  <c r="AB57" i="13"/>
  <c r="AB77" i="13" s="1"/>
  <c r="AE57" i="13"/>
  <c r="AE77" i="13" s="1"/>
  <c r="AH57" i="13"/>
  <c r="AH77" i="13" s="1"/>
  <c r="AK57" i="13"/>
  <c r="BC57" i="13"/>
  <c r="BC77" i="13" s="1"/>
  <c r="BF57" i="13"/>
  <c r="BF77" i="13" s="1"/>
  <c r="BF82" i="13" s="1"/>
  <c r="BI57" i="13"/>
  <c r="BI77" i="13" s="1"/>
  <c r="BI82" i="13" s="1"/>
  <c r="BL57" i="13"/>
  <c r="BL77" i="13" s="1"/>
  <c r="BL82" i="13" s="1"/>
  <c r="Y57" i="13"/>
  <c r="Y77" i="13" s="1"/>
  <c r="AB57" i="6"/>
  <c r="AB78" i="6" s="1"/>
  <c r="AE57" i="6"/>
  <c r="AE78" i="6" s="1"/>
  <c r="AH57" i="6"/>
  <c r="AH78" i="6" s="1"/>
  <c r="AK57" i="6"/>
  <c r="AQ57" i="6"/>
  <c r="AQ78" i="6" s="1"/>
  <c r="AT57" i="6"/>
  <c r="AT78" i="6" s="1"/>
  <c r="AW57" i="6"/>
  <c r="AW78" i="6" s="1"/>
  <c r="AW83" i="6" s="1"/>
  <c r="AZ57" i="6"/>
  <c r="AZ78" i="6" s="1"/>
  <c r="AZ83" i="6" s="1"/>
  <c r="BC57" i="6"/>
  <c r="BC78" i="6" s="1"/>
  <c r="BC83" i="6" s="1"/>
  <c r="BF57" i="6"/>
  <c r="BF78" i="6" s="1"/>
  <c r="BF83" i="6" s="1"/>
  <c r="BI57" i="6"/>
  <c r="BI78" i="6" s="1"/>
  <c r="BI83" i="6" s="1"/>
  <c r="BL57" i="6"/>
  <c r="BL78" i="6" s="1"/>
  <c r="BL83" i="6" s="1"/>
  <c r="Y57" i="6"/>
  <c r="AB57" i="4"/>
  <c r="AB76" i="4" s="1"/>
  <c r="AE57" i="4"/>
  <c r="AE76" i="4" s="1"/>
  <c r="AH57" i="4"/>
  <c r="AH76" i="4" s="1"/>
  <c r="AK57" i="4"/>
  <c r="AN57" i="4"/>
  <c r="AN76" i="4" s="1"/>
  <c r="AQ57" i="4"/>
  <c r="AQ76" i="4" s="1"/>
  <c r="AT57" i="4"/>
  <c r="AW57" i="4"/>
  <c r="AZ57" i="4"/>
  <c r="BC57" i="4"/>
  <c r="BC76" i="4" s="1"/>
  <c r="BF57" i="4"/>
  <c r="BI57" i="4"/>
  <c r="BL57" i="4"/>
  <c r="Y57" i="4"/>
  <c r="Y76" i="4" s="1"/>
  <c r="AB57" i="2"/>
  <c r="AB78" i="2" s="1"/>
  <c r="AE57" i="2"/>
  <c r="AE78" i="2" s="1"/>
  <c r="AH57" i="2"/>
  <c r="AH78" i="2" s="1"/>
  <c r="AK57" i="2"/>
  <c r="AN57" i="2"/>
  <c r="AN78" i="2" s="1"/>
  <c r="AQ57" i="2"/>
  <c r="AQ78" i="2" s="1"/>
  <c r="AQ83" i="2" s="1"/>
  <c r="AT57" i="2"/>
  <c r="AT78" i="2" s="1"/>
  <c r="AT83" i="2" s="1"/>
  <c r="AW57" i="2"/>
  <c r="AW78" i="2" s="1"/>
  <c r="AW83" i="2" s="1"/>
  <c r="AZ57" i="2"/>
  <c r="AZ78" i="2" s="1"/>
  <c r="AZ83" i="2" s="1"/>
  <c r="BC57" i="2"/>
  <c r="BC78" i="2" s="1"/>
  <c r="BC83" i="2" s="1"/>
  <c r="BF57" i="2"/>
  <c r="BF78" i="2" s="1"/>
  <c r="BF83" i="2" s="1"/>
  <c r="BI57" i="2"/>
  <c r="BI78" i="2" s="1"/>
  <c r="BI83" i="2" s="1"/>
  <c r="BL57" i="2"/>
  <c r="BL78" i="2" s="1"/>
  <c r="BL83" i="2" s="1"/>
  <c r="AQ83" i="6" l="1"/>
  <c r="V78" i="6"/>
  <c r="Y78" i="6"/>
  <c r="BU78" i="6" s="1"/>
  <c r="BV78" i="6" s="1"/>
  <c r="BW78" i="6" s="1"/>
  <c r="BU77" i="13"/>
  <c r="BV77" i="13" s="1"/>
  <c r="BW77" i="13" s="1"/>
  <c r="BX78" i="6"/>
  <c r="BC82" i="13"/>
  <c r="BX77" i="13"/>
  <c r="AZ76" i="4"/>
  <c r="AZ81" i="4" s="1"/>
  <c r="AW76" i="4"/>
  <c r="AW81" i="4" s="1"/>
  <c r="AT76" i="4"/>
  <c r="BF76" i="4"/>
  <c r="BU76" i="4"/>
  <c r="BL76" i="4"/>
  <c r="BL81" i="4" s="1"/>
  <c r="BI76" i="4"/>
  <c r="BI81" i="4" s="1"/>
  <c r="AN81" i="4"/>
  <c r="AQ81" i="4"/>
  <c r="BC81" i="4"/>
  <c r="V57" i="4"/>
  <c r="V57" i="2"/>
  <c r="V57" i="6"/>
  <c r="V57" i="13"/>
  <c r="BU57" i="13"/>
  <c r="BU78" i="2"/>
  <c r="BX57" i="13"/>
  <c r="BX78" i="2"/>
  <c r="BX76" i="4" l="1"/>
  <c r="BF81" i="4"/>
  <c r="V76" i="4"/>
  <c r="P76" i="4" s="1"/>
  <c r="AT81" i="4"/>
  <c r="BX81" i="4"/>
  <c r="V78" i="2"/>
  <c r="P78" i="2" s="1"/>
  <c r="BV57" i="13"/>
  <c r="BW57" i="13" s="1"/>
  <c r="BS78" i="2" l="1"/>
  <c r="BO78" i="2"/>
  <c r="BV76" i="4"/>
  <c r="BW76" i="4" s="1"/>
  <c r="BS76" i="4"/>
  <c r="P81" i="4"/>
  <c r="BO76" i="4"/>
  <c r="BY76" i="4" s="1"/>
  <c r="BZ76" i="4" s="1"/>
  <c r="S76" i="4"/>
  <c r="BT76" i="4"/>
  <c r="P83" i="2"/>
  <c r="BO83" i="2" s="1"/>
  <c r="BY78" i="2"/>
  <c r="BZ78" i="2" s="1"/>
  <c r="BV78" i="2"/>
  <c r="BW78" i="2" s="1"/>
  <c r="S78" i="2"/>
  <c r="BT78" i="2"/>
  <c r="BS81" i="4" l="1"/>
  <c r="S81" i="4"/>
  <c r="BO81" i="4"/>
  <c r="BY81" i="4" s="1"/>
  <c r="BZ81" i="4" s="1"/>
  <c r="BT81" i="4"/>
  <c r="AN57" i="13"/>
  <c r="AN77" i="13" s="1"/>
  <c r="P77" i="13" s="1"/>
  <c r="BT77" i="13" l="1"/>
  <c r="BO77" i="13"/>
  <c r="BY77" i="13" s="1"/>
  <c r="BZ77" i="13" s="1"/>
  <c r="BS77" i="13"/>
  <c r="S77" i="13"/>
  <c r="P63" i="13"/>
  <c r="BO63" i="13" l="1"/>
  <c r="BY63" i="13" s="1"/>
  <c r="BZ63" i="13" s="1"/>
  <c r="BT63" i="13"/>
  <c r="BS63" i="13"/>
  <c r="P82" i="13" l="1"/>
  <c r="BO82" i="13" s="1"/>
  <c r="P65" i="6" l="1"/>
  <c r="AN57" i="6"/>
  <c r="AN78" i="6" s="1"/>
  <c r="P78" i="6" l="1"/>
  <c r="BO65" i="6"/>
  <c r="BY65" i="6" s="1"/>
  <c r="BZ65" i="6" s="1"/>
  <c r="BS65" i="6"/>
  <c r="BT65" i="6"/>
  <c r="BO78" i="6" l="1"/>
  <c r="BS78" i="6"/>
  <c r="BY78" i="6"/>
  <c r="BZ78" i="6" s="1"/>
  <c r="S78" i="6"/>
  <c r="BT78" i="6"/>
  <c r="P83" i="6"/>
  <c r="BO83" i="6" s="1"/>
  <c r="AN82" i="13" l="1"/>
  <c r="BT82" i="13" s="1"/>
  <c r="P64" i="13"/>
  <c r="P62" i="13"/>
  <c r="P61" i="13"/>
  <c r="P60" i="13"/>
  <c r="BO61" i="13" l="1"/>
  <c r="BY61" i="13" s="1"/>
  <c r="BZ61" i="13" s="1"/>
  <c r="BT61" i="13"/>
  <c r="BS61" i="13"/>
  <c r="BO64" i="13"/>
  <c r="BY64" i="13" s="1"/>
  <c r="BZ64" i="13" s="1"/>
  <c r="BT64" i="13"/>
  <c r="BS64" i="13"/>
  <c r="BO62" i="13"/>
  <c r="BY62" i="13" s="1"/>
  <c r="BZ62" i="13" s="1"/>
  <c r="BT62" i="13"/>
  <c r="BS62" i="13"/>
  <c r="BX82" i="13"/>
  <c r="BO60" i="13"/>
  <c r="BY60" i="13" s="1"/>
  <c r="BZ60" i="13" s="1"/>
  <c r="BT60" i="13"/>
  <c r="BS60" i="13"/>
  <c r="P57" i="13"/>
  <c r="BO57" i="13" l="1"/>
  <c r="BY57" i="13" s="1"/>
  <c r="BZ57" i="13" s="1"/>
  <c r="BS57" i="13"/>
  <c r="BT57" i="13"/>
  <c r="S57" i="13"/>
  <c r="S82" i="13" l="1"/>
  <c r="V82" i="13"/>
  <c r="BS82" i="13" s="1"/>
  <c r="BY82" i="13" l="1"/>
  <c r="BZ82" i="13" s="1"/>
  <c r="P63" i="4" l="1"/>
  <c r="AN83" i="6"/>
  <c r="BT83" i="6" s="1"/>
  <c r="AT83" i="6"/>
  <c r="P64" i="6"/>
  <c r="P63" i="6"/>
  <c r="P60" i="6"/>
  <c r="P61" i="6"/>
  <c r="P62" i="6"/>
  <c r="BO63" i="4" l="1"/>
  <c r="BY63" i="4" s="1"/>
  <c r="BZ63" i="4" s="1"/>
  <c r="BT63" i="4"/>
  <c r="BS63" i="4"/>
  <c r="BO62" i="6"/>
  <c r="BY62" i="6" s="1"/>
  <c r="BZ62" i="6" s="1"/>
  <c r="BT62" i="6"/>
  <c r="BS62" i="6"/>
  <c r="BO61" i="6"/>
  <c r="BY61" i="6" s="1"/>
  <c r="BZ61" i="6" s="1"/>
  <c r="BT61" i="6"/>
  <c r="BS61" i="6"/>
  <c r="BO64" i="6"/>
  <c r="BY64" i="6" s="1"/>
  <c r="BZ64" i="6" s="1"/>
  <c r="BT64" i="6"/>
  <c r="BS64" i="6"/>
  <c r="BO63" i="6"/>
  <c r="BY63" i="6" s="1"/>
  <c r="BZ63" i="6" s="1"/>
  <c r="BT63" i="6"/>
  <c r="BS63" i="6"/>
  <c r="BX83" i="6"/>
  <c r="BO60" i="6"/>
  <c r="BY60" i="6" s="1"/>
  <c r="BZ60" i="6" s="1"/>
  <c r="BT60" i="6"/>
  <c r="BS60" i="6"/>
  <c r="P57" i="6"/>
  <c r="S57" i="6" s="1"/>
  <c r="P61" i="4"/>
  <c r="P60" i="4"/>
  <c r="P62" i="4"/>
  <c r="BO62" i="4" l="1"/>
  <c r="BY62" i="4" s="1"/>
  <c r="BZ62" i="4" s="1"/>
  <c r="BT62" i="4"/>
  <c r="BS62" i="4"/>
  <c r="BO60" i="4"/>
  <c r="BY60" i="4" s="1"/>
  <c r="BZ60" i="4" s="1"/>
  <c r="BT60" i="4"/>
  <c r="BS60" i="4"/>
  <c r="BO61" i="4"/>
  <c r="BY61" i="4" s="1"/>
  <c r="BZ61" i="4" s="1"/>
  <c r="BT61" i="4"/>
  <c r="BS61" i="4"/>
  <c r="BO57" i="6"/>
  <c r="P57" i="4"/>
  <c r="S57" i="4" l="1"/>
  <c r="BO57" i="4"/>
  <c r="P63" i="2" l="1"/>
  <c r="P62" i="2"/>
  <c r="P61" i="2"/>
  <c r="BO63" i="2" l="1"/>
  <c r="BY63" i="2" s="1"/>
  <c r="BZ63" i="2" s="1"/>
  <c r="BT63" i="2"/>
  <c r="BS63" i="2"/>
  <c r="BO62" i="2"/>
  <c r="BY62" i="2" s="1"/>
  <c r="BZ62" i="2" s="1"/>
  <c r="BT62" i="2"/>
  <c r="BS62" i="2"/>
  <c r="BO61" i="2"/>
  <c r="BY61" i="2" s="1"/>
  <c r="BZ61" i="2" s="1"/>
  <c r="BS61" i="2"/>
  <c r="BT61" i="2"/>
  <c r="AN83" i="2"/>
  <c r="BT83" i="2" s="1"/>
  <c r="P64" i="2"/>
  <c r="P60" i="2"/>
  <c r="BO64" i="2" l="1"/>
  <c r="BY64" i="2" s="1"/>
  <c r="BZ64" i="2" s="1"/>
  <c r="BS64" i="2"/>
  <c r="BT64" i="2"/>
  <c r="BO60" i="2"/>
  <c r="BY60" i="2" s="1"/>
  <c r="BZ60" i="2" s="1"/>
  <c r="BT60" i="2"/>
  <c r="BS60" i="2"/>
  <c r="BX83" i="2"/>
  <c r="P57" i="2"/>
  <c r="S57" i="2" l="1"/>
  <c r="BO57" i="2"/>
  <c r="V83" i="6" l="1"/>
  <c r="BS83" i="6" s="1"/>
  <c r="S83" i="6" l="1"/>
  <c r="BY83" i="6"/>
  <c r="BZ83" i="6" s="1"/>
  <c r="V83" i="2" l="1"/>
  <c r="BS83" i="2" s="1"/>
  <c r="BY83" i="2" l="1"/>
  <c r="BZ83" i="2" s="1"/>
  <c r="S83" i="2"/>
</calcChain>
</file>

<file path=xl/sharedStrings.xml><?xml version="1.0" encoding="utf-8"?>
<sst xmlns="http://schemas.openxmlformats.org/spreadsheetml/2006/main" count="2562" uniqueCount="278">
  <si>
    <t>I</t>
  </si>
  <si>
    <t>А</t>
  </si>
  <si>
    <t>Т</t>
  </si>
  <si>
    <t>II</t>
  </si>
  <si>
    <t>Жами:</t>
  </si>
  <si>
    <t>%</t>
  </si>
  <si>
    <t>1.00</t>
  </si>
  <si>
    <t>1.01</t>
  </si>
  <si>
    <t>1.02</t>
  </si>
  <si>
    <t>2.00</t>
  </si>
  <si>
    <t>2.01</t>
  </si>
  <si>
    <t>2.02</t>
  </si>
  <si>
    <t>2.03</t>
  </si>
  <si>
    <t>1.</t>
  </si>
  <si>
    <t>2.</t>
  </si>
  <si>
    <t>3.</t>
  </si>
  <si>
    <t>4.</t>
  </si>
  <si>
    <t>5.</t>
  </si>
  <si>
    <t>6.</t>
  </si>
  <si>
    <t>7.</t>
  </si>
  <si>
    <t>8.</t>
  </si>
  <si>
    <t>________________</t>
  </si>
  <si>
    <t>М</t>
  </si>
  <si>
    <t>1.03</t>
  </si>
  <si>
    <t>1.04</t>
  </si>
  <si>
    <t>1.05</t>
  </si>
  <si>
    <t>1.06</t>
  </si>
  <si>
    <t>1.07</t>
  </si>
  <si>
    <t>1.08</t>
  </si>
  <si>
    <t>1.09</t>
  </si>
  <si>
    <t>1.10</t>
  </si>
  <si>
    <t>ITM1103</t>
  </si>
  <si>
    <t>PTM2103</t>
  </si>
  <si>
    <t>MKI2103</t>
  </si>
  <si>
    <t>ZMSH1103</t>
  </si>
  <si>
    <t>O'MM1205</t>
  </si>
  <si>
    <t>MUSH1410</t>
  </si>
  <si>
    <t>ZAP1103</t>
  </si>
  <si>
    <t>ZAG1103</t>
  </si>
  <si>
    <t>AXM1410</t>
  </si>
  <si>
    <t>KXM1105</t>
  </si>
  <si>
    <t>MTA1103</t>
  </si>
  <si>
    <t>KAS1410</t>
  </si>
  <si>
    <t>FIM1409</t>
  </si>
  <si>
    <t>KMI1409</t>
  </si>
  <si>
    <t>PZM1409</t>
  </si>
  <si>
    <t>KAS1417</t>
  </si>
  <si>
    <t>JMM1103</t>
  </si>
  <si>
    <t>JMM1105</t>
  </si>
  <si>
    <t>3.00</t>
  </si>
  <si>
    <t>3.01</t>
  </si>
  <si>
    <t>3.02</t>
  </si>
  <si>
    <t>3.03</t>
  </si>
  <si>
    <t>ZMSH1205</t>
  </si>
  <si>
    <t>MTA1105</t>
  </si>
  <si>
    <t>MUT1103</t>
  </si>
  <si>
    <t>O‘ZBEKISTON DАVLАT KONSERVАTORIYASI</t>
  </si>
  <si>
    <t>“TАSDIQLАYMАN”</t>
  </si>
  <si>
    <t>O‘zbekiston davlat
konservatoriyasi rektori</t>
  </si>
  <si>
    <t>______________    K.Urinbayev</t>
  </si>
  <si>
    <t>202____yil  «____»__________</t>
  </si>
  <si>
    <t>m.o‘.</t>
  </si>
  <si>
    <t>Ta’lim shakli - kunduzgi</t>
  </si>
  <si>
    <t>O‘qish muddati - 2 yil</t>
  </si>
  <si>
    <t>Akademik daraja - MAGISTR</t>
  </si>
  <si>
    <t>I. O‘QUV JARAYONI JADVALI</t>
  </si>
  <si>
    <t>II. O‘QUV RЕJASI</t>
  </si>
  <si>
    <t>O‘zDK o‘quv ishlari bo‘yicha prorektor</t>
  </si>
  <si>
    <t>F.Abdullayev</t>
  </si>
  <si>
    <t>M.To‘rajanov</t>
  </si>
  <si>
    <t>Kafedra mudiri</t>
  </si>
  <si>
    <t>O‘zbekiston davlat konservatoriyasi
Kengashida muhokama etilgan va tasdiqlangan
202___ yil “____”_________dagi ___-sonli bayonnoma</t>
  </si>
  <si>
    <t>Mutaxassislik:</t>
  </si>
  <si>
    <t>Sentyabr</t>
  </si>
  <si>
    <t>Oktyabr</t>
  </si>
  <si>
    <t>Noyabr</t>
  </si>
  <si>
    <t>Dekabr</t>
  </si>
  <si>
    <t>Yanvar</t>
  </si>
  <si>
    <t>Fevral</t>
  </si>
  <si>
    <t>Mart</t>
  </si>
  <si>
    <t>Aprel</t>
  </si>
  <si>
    <t>May</t>
  </si>
  <si>
    <t>Iyun</t>
  </si>
  <si>
    <t>Iyul</t>
  </si>
  <si>
    <t>Avgust</t>
  </si>
  <si>
    <t>Haftalar</t>
  </si>
  <si>
    <t>Kurs</t>
  </si>
  <si>
    <t>Jami</t>
  </si>
  <si>
    <t>Nazariy ta’lim va ilmiy faoliyat</t>
  </si>
  <si>
    <t>Ilmiy  amaliyot (stajirovka)</t>
  </si>
  <si>
    <t>Ilmiy-tadqiqot va magistrlik dissertatsiyasini tayyorlash</t>
  </si>
  <si>
    <t>Attestatsiyalar</t>
  </si>
  <si>
    <t>Kredit tizimga 
kirish</t>
  </si>
  <si>
    <t>Ta’tillar</t>
  </si>
  <si>
    <t>Hammasi</t>
  </si>
  <si>
    <t>O‘quv jarayoni</t>
  </si>
  <si>
    <t>Nazariy va amaliy ta’lim</t>
  </si>
  <si>
    <t>Davlat 
attestatsiyasi</t>
  </si>
  <si>
    <t>Ilmiy amaliyot
(tajriba orttirish)</t>
  </si>
  <si>
    <t>Ilmiy-tadqiqot ishi va magistrlik dissertatsiyasini tayyorlash hamda himoya qilish</t>
  </si>
  <si>
    <t>Attestatsiya</t>
  </si>
  <si>
    <t>Ta’til</t>
  </si>
  <si>
    <t>D</t>
  </si>
  <si>
    <t>M</t>
  </si>
  <si>
    <t>A</t>
  </si>
  <si>
    <t>T</t>
  </si>
  <si>
    <t>K</t>
  </si>
  <si>
    <t>Fanning malakaviy
kodi</t>
  </si>
  <si>
    <t>T/r</t>
  </si>
  <si>
    <t>Umumiy
yuklama
hajmi</t>
  </si>
  <si>
    <t>Soat</t>
  </si>
  <si>
    <t>Majburiy fanlar</t>
  </si>
  <si>
    <t>Tanlov fanlar</t>
  </si>
  <si>
    <t>Talabaning o‘quv yuklamasi soatlarda</t>
  </si>
  <si>
    <t>Auditoriya mashg‘ulotlari, soatlarda</t>
  </si>
  <si>
    <t>Ma’ruza</t>
  </si>
  <si>
    <t>Amaliy</t>
  </si>
  <si>
    <t>Yakka mashg‘ulot</t>
  </si>
  <si>
    <t>Seminar</t>
  </si>
  <si>
    <t>Kurs loyihasi (ishi)</t>
  </si>
  <si>
    <t>Mustaqil
ta’lim</t>
  </si>
  <si>
    <t>Semestrdagi auditoriya mashg‘ulotlari
haftalarining soni</t>
  </si>
  <si>
    <t>Kredit taqsimoti</t>
  </si>
  <si>
    <t>Jami kreditlar</t>
  </si>
  <si>
    <t>1-kurs</t>
  </si>
  <si>
    <t>2-kurs</t>
  </si>
  <si>
    <t>O‘quv fanlari va ilmiy faoliyat 
turlarining nomlari</t>
  </si>
  <si>
    <t>70211002- Musiqa san’ati</t>
  </si>
  <si>
    <t>70211501 - Fortepiano (organ)</t>
  </si>
  <si>
    <t>Davlat attestatsiyasi</t>
  </si>
  <si>
    <t>Tanlov fanlar 1-kurs</t>
  </si>
  <si>
    <t>Tanlov fanlar 2-kurs</t>
  </si>
  <si>
    <t>Ilmiy faoliyat</t>
  </si>
  <si>
    <t>Jami:</t>
  </si>
  <si>
    <t>Ilmiy-pedagogik ish</t>
  </si>
  <si>
    <t>Ilmiy amaliyot (stajirovka)</t>
  </si>
  <si>
    <t>Etnosolfedjio</t>
  </si>
  <si>
    <t>Murakkab solfedjio</t>
  </si>
  <si>
    <t>Zamonaviy axborot-kommunikatsiya texnologiyalari</t>
  </si>
  <si>
    <t>Amaliy xorijiy til</t>
  </si>
  <si>
    <t>Maqomot va zamonaviy kompozitorlik ijodiyoti</t>
  </si>
  <si>
    <t>Magistrlik dissertatsiyasini himoya qilish (shu jumladan, ijro dastur taqdimoti)</t>
  </si>
  <si>
    <t>Ilmiy tadqiqot metodologiyasi</t>
  </si>
  <si>
    <t>Mutaxassilik fanlarni o‘qitish metodikasi</t>
  </si>
  <si>
    <t>Oliy ta’lim muassasasi mutaxassislik fanlarining dasturlarini ishlab chiqishda kadrlar buyurtmachilarining talablarini e’tiborga oladi.</t>
  </si>
  <si>
    <t>O‘quv reja asosida oliy ta’lim muassasasi har yili ishchi o‘quv rejasini tuzadi. Bunda oliy ta’lim muassasasiga talabalar yuklamasining haftalik hajmini saqlagan holda bloklar tarkibidagi fanlar hajmini 10 foizgacha o‘zgartirish huquqi beriladi.</t>
  </si>
  <si>
    <t>*Tanlov fanlari tarkibi va mazmuni soha bo‘yicha respublika hamda xorijdagi yetakchi mutaxassis-olimlarning mualliflik kurslari va muammoli ma’ruzalari asosida fan, madaniyat va san’atning zamonaviy yutuqlari, kadrlar buyurtmachilari talablari asosida shakllantiriladi.</t>
  </si>
  <si>
    <t>O‘quv rejaga kiritiladigan mutaxassislikka oid fanlarning amaliy mashg‘ulotlari oliy ta’lim muassasasi hamda bazaviy  tashkilot va korxonalarda o‘tkaziladi.</t>
  </si>
  <si>
    <t>Nazariya va amaliyot yaxlitligini ta’minlash uchun magistrantlarning ilmiy amaliyot (stajirovka)lari Respublika va xorijiy davlat bazaviy tashkilot va korxonalarida o‘tkaziladi.</t>
  </si>
  <si>
    <t>Izoh:</t>
  </si>
  <si>
    <t>Musiqashunoslik</t>
  </si>
  <si>
    <t>Zamonaviy musiqa shakli</t>
  </si>
  <si>
    <t>Zamonaviy polifoniya</t>
  </si>
  <si>
    <t>Zamonaviy garmoniya</t>
  </si>
  <si>
    <t>Musiqiy uslublar tarixi</t>
  </si>
  <si>
    <t>Musiqiy tanqidning ilmiy asoslari</t>
  </si>
  <si>
    <t>XXI asr jahon musiqasi madaniyati</t>
  </si>
  <si>
    <t>XXI asr O‘zbekiston musiqa madaniyati</t>
  </si>
  <si>
    <t>Magistrlik dissertatsiyasiga ilmiy maslahatchi sifatida tanlangan mutaxassisga (shu jumladan xorijiy) har o‘quv yilida  jami 6 soat hajmida maslahat soatlari buyruq asosida ajratilishi mumkin.</t>
  </si>
  <si>
    <t>Akademik xonandalik mahorati</t>
  </si>
  <si>
    <t>Opera tayyorlov mashg‘uloti mahorati</t>
  </si>
  <si>
    <t>Kamer xonandalik mahorati</t>
  </si>
  <si>
    <t>Mashg‘ulotlar uchun jo‘rnavozlik soatlari quyidagicha belgilanadi:</t>
  </si>
  <si>
    <t xml:space="preserve"> ­ Opera tayyorlov mashg‘uloti mahorati faniga pedagogik soatlar o‘quv rejasida ko‘rsatilgan umumiy vaqtning 200% hisobidan (dirijor va rejissyorni ishini hisobga olgan holda);</t>
  </si>
  <si>
    <t xml:space="preserve">  - “Akademik xonandalik ijrochiligi”dan bitiruv ishi (ijro dasturi)ga jo‘rnavozlar uchun 50% hisobidan;</t>
  </si>
  <si>
    <t xml:space="preserve">  - Opera tayyorlov mashg‘uloti mahorati, Akademik xonandalik mahorati, Kamer xonandalik mahorati, fanlariga umumiy vaqtning 100% hisobidan.</t>
  </si>
  <si>
    <t xml:space="preserve"> - Bitiruvchilarga diplom dasturlarini tayyorlab, ijro etish uchun orkestr bilan ishlashga 10 soatgacha (har bir asar uchun) vaqt ajratilishi 10-15 tagacha qo‘shimcha ijrochilar taklif qilinishi ko‘zda tutiladi.</t>
  </si>
  <si>
    <t>Magistrlik dissertatsiyasida ijro dastur notasi va ularning matn ko‘rinishidagi yozma tahlilini himoya qilish ko‘zda tutiladi.</t>
  </si>
  <si>
    <t>Fortepiano (organ)da ijrochilik mahorati</t>
  </si>
  <si>
    <t>Konsertmeysterlik mahorati va konsermeysterning amaliy ishi</t>
  </si>
  <si>
    <t>Kamer ansambli san’ati</t>
  </si>
  <si>
    <t>Puflama va zarbli cholg‘u mahorati</t>
  </si>
  <si>
    <t>­Puflama va zarbli cholg‘u mahorati faniga jo‘rnavozlik soatlari o‘quv rejasida ko‘rsatilgan umumiy vaqtning 100% hisobidan.</t>
  </si>
  <si>
    <t>S.Qosimxo‘jayeva</t>
  </si>
  <si>
    <t>Ch.Ergasheva</t>
  </si>
  <si>
    <t>M.Fayziyeva</t>
  </si>
  <si>
    <t>R.Polatxanova</t>
  </si>
  <si>
    <t>T.Myakushko</t>
  </si>
  <si>
    <t>J.Radjabov</t>
  </si>
  <si>
    <t>Soatlarning kurs, semestr 
va haftalar bo‘yicha taqsimoti</t>
  </si>
  <si>
    <t>Kreditlarning kurs, semestr 
va haftalar bo‘yicha taqsimoti</t>
  </si>
  <si>
    <t>70210901- Bastakorlik san’ati</t>
  </si>
  <si>
    <t>KOM1409</t>
  </si>
  <si>
    <t>Kompozitorlik mahorati</t>
  </si>
  <si>
    <t>Zamonaviy partituralarni o‘qish va cholg‘ulashtirish</t>
  </si>
  <si>
    <t>AJK1103</t>
  </si>
  <si>
    <t>Aranjirovka (xalq kuylari asosida)</t>
  </si>
  <si>
    <t>1.11</t>
  </si>
  <si>
    <t xml:space="preserve">O‘quv rejaga kiritiladigan mutaxassislikka oid fanlarning amaliy mashg‘ulotlari oliy ta’lim muassasasi hamda bazaviy  tashkilot va korxonalarda o‘tkaziladi. </t>
  </si>
  <si>
    <t>Nazariya va amaliyot yaxlitligini ta’minlash uchun magistrantlarning ilmiy amaliyot (stajirovka)lari Respublika yoki xorijiy davlat bazaviy tashkilot va korxonalarida o‘tkaziladi.</t>
  </si>
  <si>
    <t>Magistrlik dissertatsiyasida ijodiy asarlar notasi va ularning matn ko‘rinishidagi yozma tahlilini himoya qilish ko‘zda tutiladi.</t>
  </si>
  <si>
    <t>XDM1409</t>
  </si>
  <si>
    <t>Xor dirijorligi mahorati</t>
  </si>
  <si>
    <t>YXM1203</t>
  </si>
  <si>
    <t>Yakka xonandalik mahorati</t>
  </si>
  <si>
    <t>XAM1203</t>
  </si>
  <si>
    <t>Xor aranjirovkasi mahorati</t>
  </si>
  <si>
    <t>XIM1411</t>
  </si>
  <si>
    <t>Xor bilan ishlash mahorati</t>
  </si>
  <si>
    <t xml:space="preserve">Mashg‘ulotlar uchun jo‘rnavozlik soatlari quyidagicha belgilanadi: </t>
  </si>
  <si>
    <t xml:space="preserve"> - Xor dirijorligi mahorati fani bo‘yicha o‘quv rejada ko‘rsatilgan umumiy vaqtning 200% hisobidan belgilanadi;</t>
  </si>
  <si>
    <t xml:space="preserve"> -Xor bilan ishlash mahorati fani bo‘yicha o‘quv rejasida ko‘rsatilgan soatlarga asoslangan holda 100% miqdorida soatlar ajratiladi. Xor bilan ishlash mahorati fanida auditoriya soatlari bilan birgalikda hafta mobaynida 2-4 soatgacha mustaqil ta’lim soatlari qo‘shib o‘tiladi.</t>
  </si>
  <si>
    <t>O'CHM1409</t>
  </si>
  <si>
    <t>O‘zbek xalq cholg‘ulari orkestri dirijorlik mahorati</t>
  </si>
  <si>
    <t>ORM1414</t>
  </si>
  <si>
    <t>Orkestr mashg‘uloti</t>
  </si>
  <si>
    <t>ZPCH1103</t>
  </si>
  <si>
    <t xml:space="preserve"> ­O‘zbek xalq cholg‘ulari orkestri dirijorlik mahorati faniga jo‘rnavozlik soatlari o‘quv rejasida ko‘rsatilgan umumiy vaqtning 200% hisobidan.</t>
  </si>
  <si>
    <t>O'DM1409</t>
  </si>
  <si>
    <t>ORM1409</t>
  </si>
  <si>
    <t>OTM1205</t>
  </si>
  <si>
    <t>MRM1410</t>
  </si>
  <si>
    <t>FOT1310</t>
  </si>
  <si>
    <t>MFM1103</t>
  </si>
  <si>
    <t>ES2103</t>
  </si>
  <si>
    <t>MS2103</t>
  </si>
  <si>
    <t>ZAT2205</t>
  </si>
  <si>
    <t>XT2205</t>
  </si>
  <si>
    <t>ZAG1205</t>
  </si>
  <si>
    <t>ZAP1205</t>
  </si>
  <si>
    <t>Musiqiy ovoz rejissyorligi mahorati</t>
  </si>
  <si>
    <t>Fonogramma tahlili</t>
  </si>
  <si>
    <t>Kompyuter musiqasi texnologiyasi</t>
  </si>
  <si>
    <t>O'MM1103</t>
  </si>
  <si>
    <t>70210101- Ovoz rejissyorligi: musiqiy ovoz rejissyorligi</t>
  </si>
  <si>
    <t>70211301- Dirijyorlik: o‘zbek xalq cholg‘ulari orkestri dirijyorligi</t>
  </si>
  <si>
    <t>Opera-simfoniya dirijorlik mahorati</t>
  </si>
  <si>
    <t>Opera tayyorlovi  mashg‘uloti</t>
  </si>
  <si>
    <t>70211301- Dirijyorlik: opera-simfoniya dirijyorligi</t>
  </si>
  <si>
    <t>OTM1419</t>
  </si>
  <si>
    <t>70211401-Vokal san’ati: akademik  xonandalik</t>
  </si>
  <si>
    <t>70211502-Cholg‘u ijrochiligi: puflama va zarbli cholg‘ular</t>
  </si>
  <si>
    <t>Kvalifikatsiya - Musiqashunos, pedagog, tadqiqotchi</t>
  </si>
  <si>
    <t>Kvalifikatsiya - Kompozitor, pedagog, tadqiqotchi</t>
  </si>
  <si>
    <t>Kvalifikatsiya - Ovoz rejissori, pedagog-tadqiqotchi</t>
  </si>
  <si>
    <t>Kvalifikatsiya - Sozanda, pedagog, tadqiqotchi</t>
  </si>
  <si>
    <t>Kvalifikatsiya - Dirijor, pedagog, tadqiqotchi</t>
  </si>
  <si>
    <t>Kvalifikatsiya - Xonanda, pedagog, tadqiqotchi</t>
  </si>
  <si>
    <t>Fakultet dekani</t>
  </si>
  <si>
    <t>ISHCHI O‘QUV RЕJA</t>
  </si>
  <si>
    <t>I.Mirtalipova</t>
  </si>
  <si>
    <t>M.Kazakbayeva</t>
  </si>
  <si>
    <t>Kafedra mudiri v.v.b</t>
  </si>
  <si>
    <t>X.Tursunova</t>
  </si>
  <si>
    <t>A.Axmedov</t>
  </si>
  <si>
    <t>S.Kadirova</t>
  </si>
  <si>
    <t>G‘.Abrarov</t>
  </si>
  <si>
    <t>Pedagogik texnologiyalar va pedagogik mahorat</t>
  </si>
  <si>
    <t xml:space="preserve">  ZPCH1103</t>
  </si>
  <si>
    <t>KMT1413</t>
  </si>
  <si>
    <t>70211301- Dirijyorlik: xor dirijyorligi</t>
  </si>
  <si>
    <t xml:space="preserve"> ­Opera-simfoniya dirijorlik mahorati faniga jo‘rnavozlik soatlari o‘quv rejasida ko‘rsatilgan umumiy vaqtning 200% hisobidan.</t>
  </si>
  <si>
    <t>O‘ZBEKISTON RESPUBLIKАSI MАDАNIYAT VАZIRLIGI</t>
  </si>
  <si>
    <t>2025-2026 o‘quv yili</t>
  </si>
  <si>
    <t>O‘quv-uslubiy boshqarma boshlig‘i</t>
  </si>
  <si>
    <t>70211502-Cholg‘u ijrochiligi: xalq cholg‘ulari</t>
  </si>
  <si>
    <t>Xalq cholg‘ularida ijrochilik mahorati</t>
  </si>
  <si>
    <t>XIM1409</t>
  </si>
  <si>
    <t>Ansamblda ijrochilik mahorati</t>
  </si>
  <si>
    <t>AIM1409</t>
  </si>
  <si>
    <t>KMA1308</t>
  </si>
  <si>
    <t>Kompozitsiya asoslari</t>
  </si>
  <si>
    <t>B.Mirpayazov</t>
  </si>
  <si>
    <t>­Xalq cholg‘ularida ijrochilik mahorati faniga jo‘rnavozlik soatlari o‘quv rejasida ko‘rsatilgan umumiy vaqtning 100% hisobidan.</t>
  </si>
  <si>
    <t>70211502-Cholg‘u ijrochiligi: torli cholg‘ular</t>
  </si>
  <si>
    <t>Torli cholg‘ularda ijrochilik mahorati</t>
  </si>
  <si>
    <t>TIM1409</t>
  </si>
  <si>
    <t>Kamer ansambli san'ati</t>
  </si>
  <si>
    <t>Kvartet</t>
  </si>
  <si>
    <t>KVT1410</t>
  </si>
  <si>
    <t>KAS11409</t>
  </si>
  <si>
    <t>O'MM1203</t>
  </si>
  <si>
    <t>B.Kurbanov</t>
  </si>
  <si>
    <t>­Torli cholg‘ularida ijrochilik mahorati, Kamer ansambli san’ati, Kvartet fanlariga jo‘rnavozlik (illustratorlik)  soatlari o‘quv rejasida ko‘rsatilgan umumiy vaqtning 100% hisobidan.</t>
  </si>
  <si>
    <t>­Arfa, Kontrabas ixtisosligi talabalari “Kvartet", "Kamer ansambli san’ati" fanlaridan ozod etiladi, bu fanlar o‘rniga “Ansambl sinfi” fani o‘tiladi.</t>
  </si>
  <si>
    <t>G.Muxamedova</t>
  </si>
  <si>
    <t>2025-2026 o‘quv yili fan dasturlari ro‘yxati</t>
  </si>
  <si>
    <t>70211301- Dirijyorlik: o‘zbek xalq cholg‘ulari orkestri dirijyorligi : opera-simfoniya dirijyorligi</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</si>
</sst>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6" x14ac:knownFonts="1">
    <font>
      <sz val="11"/>
      <color theme="1"/>
      <name val="Calibri"/>
      <family val="2"/>
      <scheme val="minor"/>
    </font>
    <font>
      <b/>
      <sz val="22"/>
      <name val="Times New Roman"/>
      <family val="1"/>
      <charset val="204"/>
    </font>
    <font>
      <b/>
      <sz val="18"/>
      <name val="Times New Roman"/>
      <family val="1"/>
      <charset val="204"/>
    </font>
    <font>
      <b/>
      <i/>
      <sz val="18"/>
      <name val="Times New Roman"/>
      <family val="1"/>
      <charset val="204"/>
    </font>
    <font>
      <b/>
      <sz val="14"/>
      <name val="Times New Roman"/>
      <family val="1"/>
      <charset val="204"/>
    </font>
    <font>
      <b/>
      <sz val="12"/>
      <name val="Times New Roman"/>
      <family val="1"/>
      <charset val="204"/>
    </font>
    <font>
      <sz val="12"/>
      <name val="Times New Roman"/>
      <family val="1"/>
      <charset val="204"/>
    </font>
    <font>
      <sz val="14"/>
      <name val="Times New Roman"/>
      <family val="1"/>
      <charset val="204"/>
    </font>
    <font>
      <b/>
      <sz val="16"/>
      <name val="Times New Roman"/>
      <family val="1"/>
      <charset val="204"/>
    </font>
    <font>
      <sz val="11"/>
      <name val="Times New Roman"/>
      <family val="1"/>
      <charset val="204"/>
    </font>
    <font>
      <sz val="16"/>
      <name val="Times New Roman"/>
      <family val="1"/>
      <charset val="204"/>
    </font>
    <font>
      <sz val="11"/>
      <name val="Calibri"/>
      <family val="2"/>
      <scheme val="minor"/>
    </font>
    <font>
      <sz val="9"/>
      <name val="Times New Roman"/>
      <family val="1"/>
      <charset val="204"/>
    </font>
    <font>
      <sz val="10"/>
      <name val="Times New Roman"/>
      <family val="1"/>
      <charset val="204"/>
    </font>
    <font>
      <sz val="10"/>
      <name val="Calibri"/>
      <family val="2"/>
      <scheme val="minor"/>
    </font>
    <font>
      <b/>
      <sz val="11"/>
      <name val="Times New Roman"/>
      <family val="1"/>
      <charset val="204"/>
    </font>
    <font>
      <b/>
      <sz val="10"/>
      <name val="Times New Roman"/>
      <family val="1"/>
      <charset val="204"/>
    </font>
    <font>
      <b/>
      <sz val="26"/>
      <name val="Times New Roman"/>
      <family val="1"/>
      <charset val="204"/>
    </font>
    <font>
      <sz val="18"/>
      <name val="Times New Roman"/>
      <family val="1"/>
      <charset val="204"/>
    </font>
    <font>
      <sz val="18"/>
      <name val="Calibri"/>
      <family val="2"/>
      <scheme val="minor"/>
    </font>
    <font>
      <sz val="12"/>
      <name val="Calibri"/>
      <family val="2"/>
      <scheme val="minor"/>
    </font>
    <font>
      <sz val="13"/>
      <name val="Times New Roman"/>
      <family val="1"/>
      <charset val="204"/>
    </font>
    <font>
      <sz val="9"/>
      <name val="Calibri"/>
      <family val="2"/>
      <scheme val="minor"/>
    </font>
    <font>
      <i/>
      <sz val="12"/>
      <name val="Times New Roman"/>
      <family val="1"/>
      <charset val="204"/>
    </font>
    <font>
      <b/>
      <i/>
      <sz val="12"/>
      <name val="Times New Roman"/>
      <family val="1"/>
      <charset val="204"/>
    </font>
    <font>
      <sz val="8"/>
      <name val="Times New Roman"/>
      <family val="1"/>
      <charset val="204"/>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2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71">
    <xf numFmtId="0" fontId="0" fillId="0" borderId="0" xfId="0"/>
    <xf numFmtId="0" fontId="6" fillId="0" borderId="0" xfId="0" applyFont="1" applyAlignment="1">
      <alignment horizontal="center" vertical="center"/>
    </xf>
    <xf numFmtId="0" fontId="11" fillId="0" borderId="0" xfId="0" applyFont="1"/>
    <xf numFmtId="0" fontId="12" fillId="0" borderId="0" xfId="0" applyFont="1" applyAlignment="1">
      <alignment horizontal="left" vertical="center"/>
    </xf>
    <xf numFmtId="0" fontId="16" fillId="0" borderId="0" xfId="0" applyFont="1" applyAlignment="1">
      <alignment horizontal="center" vertical="center"/>
    </xf>
    <xf numFmtId="0" fontId="13" fillId="0" borderId="0" xfId="0" applyFont="1" applyAlignment="1">
      <alignment horizontal="right" vertical="center"/>
    </xf>
    <xf numFmtId="0" fontId="4" fillId="0" borderId="0" xfId="0" applyFont="1" applyAlignment="1">
      <alignment horizontal="right" vertical="center"/>
    </xf>
    <xf numFmtId="0" fontId="16" fillId="0" borderId="0" xfId="0" applyFont="1" applyAlignment="1">
      <alignment vertical="center" wrapText="1"/>
    </xf>
    <xf numFmtId="0" fontId="1" fillId="0" borderId="0" xfId="0" applyFont="1" applyAlignment="1">
      <alignment vertical="center"/>
    </xf>
    <xf numFmtId="0" fontId="4" fillId="0" borderId="0" xfId="0" applyFont="1" applyAlignment="1">
      <alignment vertical="center" wrapText="1"/>
    </xf>
    <xf numFmtId="0" fontId="13" fillId="0" borderId="0" xfId="0" applyFont="1" applyAlignment="1">
      <alignment horizontal="center" vertical="center"/>
    </xf>
    <xf numFmtId="0" fontId="13" fillId="0" borderId="0" xfId="0" applyFont="1" applyAlignment="1">
      <alignment vertical="center"/>
    </xf>
    <xf numFmtId="0" fontId="16" fillId="0" borderId="0" xfId="0" applyFont="1" applyAlignment="1">
      <alignment vertical="center"/>
    </xf>
    <xf numFmtId="0" fontId="17" fillId="0" borderId="0" xfId="0" applyFont="1" applyAlignment="1">
      <alignment horizontal="center" vertical="center"/>
    </xf>
    <xf numFmtId="49" fontId="6" fillId="0" borderId="2" xfId="0" applyNumberFormat="1" applyFont="1" applyBorder="1" applyAlignment="1">
      <alignment horizontal="center" vertical="center"/>
    </xf>
    <xf numFmtId="0" fontId="7" fillId="0" borderId="2" xfId="0" applyFont="1" applyBorder="1" applyAlignment="1">
      <alignment horizontal="center" vertical="center"/>
    </xf>
    <xf numFmtId="0" fontId="12" fillId="0" borderId="0" xfId="0" applyFont="1" applyAlignment="1">
      <alignment horizontal="center" vertical="center"/>
    </xf>
    <xf numFmtId="0" fontId="5" fillId="0" borderId="0" xfId="0" applyFont="1" applyAlignment="1">
      <alignment horizontal="right" vertical="center" wrapText="1"/>
    </xf>
    <xf numFmtId="0" fontId="5" fillId="0" borderId="0" xfId="0" applyFont="1" applyAlignment="1">
      <alignment horizontal="center" vertical="center"/>
    </xf>
    <xf numFmtId="0" fontId="5" fillId="0" borderId="5" xfId="0" applyFont="1" applyBorder="1" applyAlignment="1">
      <alignment vertical="center"/>
    </xf>
    <xf numFmtId="2" fontId="5" fillId="0" borderId="0" xfId="0" applyNumberFormat="1" applyFont="1" applyAlignment="1">
      <alignment horizontal="center" vertical="center"/>
    </xf>
    <xf numFmtId="0" fontId="18" fillId="0" borderId="0" xfId="0" applyFont="1" applyAlignment="1">
      <alignment horizontal="center" vertical="center"/>
    </xf>
    <xf numFmtId="0" fontId="2" fillId="0" borderId="0" xfId="0" applyFont="1" applyAlignment="1">
      <alignment horizontal="center"/>
    </xf>
    <xf numFmtId="1" fontId="2" fillId="0" borderId="0" xfId="0" applyNumberFormat="1" applyFont="1" applyAlignment="1">
      <alignment horizontal="center" vertical="center"/>
    </xf>
    <xf numFmtId="0" fontId="19" fillId="0" borderId="0" xfId="0" applyFont="1"/>
    <xf numFmtId="0" fontId="5" fillId="0" borderId="0" xfId="0" applyFont="1" applyAlignment="1">
      <alignment horizontal="center"/>
    </xf>
    <xf numFmtId="1" fontId="5" fillId="0" borderId="0" xfId="0" applyNumberFormat="1" applyFont="1" applyAlignment="1">
      <alignment horizontal="center" vertical="center"/>
    </xf>
    <xf numFmtId="49" fontId="4" fillId="0" borderId="0" xfId="0" applyNumberFormat="1" applyFont="1" applyAlignment="1" applyProtection="1">
      <alignment horizontal="left" vertical="center"/>
      <protection locked="0"/>
    </xf>
    <xf numFmtId="0" fontId="12" fillId="0" borderId="0" xfId="0" applyFont="1" applyAlignment="1" applyProtection="1">
      <alignment horizontal="center" vertical="center"/>
      <protection locked="0"/>
    </xf>
    <xf numFmtId="0" fontId="7" fillId="0" borderId="0" xfId="0" applyFont="1" applyAlignment="1" applyProtection="1">
      <alignment horizontal="center" vertical="center"/>
      <protection locked="0"/>
    </xf>
    <xf numFmtId="0" fontId="20" fillId="0" borderId="0" xfId="0" applyFont="1"/>
    <xf numFmtId="0" fontId="21" fillId="0" borderId="0" xfId="0" applyFont="1" applyAlignment="1" applyProtection="1">
      <alignment horizontal="center" vertical="center"/>
      <protection locked="0"/>
    </xf>
    <xf numFmtId="0" fontId="15" fillId="0" borderId="0" xfId="0" applyFont="1" applyAlignment="1">
      <alignment vertical="center"/>
    </xf>
    <xf numFmtId="0" fontId="9" fillId="0" borderId="0" xfId="0" applyFont="1" applyAlignment="1">
      <alignment vertical="center"/>
    </xf>
    <xf numFmtId="0" fontId="12" fillId="0" borderId="0" xfId="0" applyFont="1" applyAlignment="1">
      <alignment vertical="center"/>
    </xf>
    <xf numFmtId="49" fontId="9" fillId="0" borderId="0" xfId="0" applyNumberFormat="1" applyFont="1" applyAlignment="1">
      <alignment vertical="center"/>
    </xf>
    <xf numFmtId="0" fontId="9" fillId="0" borderId="0" xfId="0" applyFont="1" applyAlignment="1">
      <alignment vertical="center" wrapText="1"/>
    </xf>
    <xf numFmtId="0" fontId="8" fillId="0" borderId="0" xfId="0" applyFont="1" applyAlignment="1">
      <alignment horizontal="center" vertical="center"/>
    </xf>
    <xf numFmtId="0" fontId="9" fillId="0" borderId="0" xfId="0" applyFont="1" applyAlignment="1">
      <alignment horizontal="center" vertical="center"/>
    </xf>
    <xf numFmtId="49" fontId="9" fillId="0" borderId="0" xfId="0" applyNumberFormat="1" applyFont="1" applyAlignment="1">
      <alignment horizontal="center" vertical="center"/>
    </xf>
    <xf numFmtId="49" fontId="15" fillId="0" borderId="0" xfId="0" applyNumberFormat="1" applyFont="1" applyAlignment="1">
      <alignment horizontal="center" vertical="center"/>
    </xf>
    <xf numFmtId="0" fontId="7" fillId="0" borderId="0" xfId="0" applyFont="1"/>
    <xf numFmtId="0" fontId="8" fillId="0" borderId="0" xfId="0" applyFont="1" applyAlignment="1">
      <alignment vertical="center" wrapText="1"/>
    </xf>
    <xf numFmtId="0" fontId="8" fillId="0" borderId="0" xfId="0" applyFont="1" applyAlignment="1">
      <alignment vertical="center"/>
    </xf>
    <xf numFmtId="0" fontId="10" fillId="0" borderId="0" xfId="0" applyFont="1" applyAlignment="1">
      <alignment horizontal="left" vertical="center"/>
    </xf>
    <xf numFmtId="0" fontId="8" fillId="0" borderId="0" xfId="0" applyFont="1" applyAlignment="1">
      <alignment wrapText="1"/>
    </xf>
    <xf numFmtId="0" fontId="12" fillId="0" borderId="0" xfId="0" applyFont="1" applyAlignment="1">
      <alignment horizontal="left" vertical="center" wrapText="1"/>
    </xf>
    <xf numFmtId="0" fontId="8" fillId="0" borderId="0" xfId="0" applyFont="1" applyAlignment="1">
      <alignment horizontal="left" vertical="top"/>
    </xf>
    <xf numFmtId="0" fontId="8" fillId="0" borderId="0" xfId="0" applyFont="1" applyAlignment="1">
      <alignment vertical="top"/>
    </xf>
    <xf numFmtId="0" fontId="4" fillId="0" borderId="0" xfId="0" applyFont="1" applyAlignment="1">
      <alignment vertical="top" wrapText="1"/>
    </xf>
    <xf numFmtId="0" fontId="4" fillId="0" borderId="0" xfId="0" applyFont="1" applyAlignment="1">
      <alignment vertical="center"/>
    </xf>
    <xf numFmtId="0" fontId="12" fillId="0" borderId="0" xfId="0" applyFont="1" applyAlignment="1">
      <alignment horizontal="left" vertical="top" wrapText="1"/>
    </xf>
    <xf numFmtId="0" fontId="4" fillId="0" borderId="0" xfId="0" applyFont="1" applyAlignment="1">
      <alignment horizontal="left" vertical="center"/>
    </xf>
    <xf numFmtId="0" fontId="4" fillId="0" borderId="0" xfId="0" applyFont="1" applyAlignment="1">
      <alignment horizontal="left" vertical="center" wrapText="1"/>
    </xf>
    <xf numFmtId="0" fontId="7" fillId="0" borderId="0" xfId="0" applyFont="1" applyAlignment="1">
      <alignment horizontal="left" vertical="center"/>
    </xf>
    <xf numFmtId="0" fontId="4" fillId="0" borderId="0" xfId="0" applyFont="1" applyAlignment="1">
      <alignment vertical="top"/>
    </xf>
    <xf numFmtId="0" fontId="4" fillId="0" borderId="0" xfId="0" applyFont="1" applyAlignment="1">
      <alignment horizontal="left" vertical="top"/>
    </xf>
    <xf numFmtId="0" fontId="7" fillId="0" borderId="0" xfId="0" applyFont="1" applyAlignment="1">
      <alignment horizontal="center" vertical="center"/>
    </xf>
    <xf numFmtId="0" fontId="22" fillId="0" borderId="0" xfId="0" applyFont="1"/>
    <xf numFmtId="0" fontId="13" fillId="0" borderId="0" xfId="0" applyFont="1" applyAlignment="1" applyProtection="1">
      <alignment horizontal="center" vertical="center"/>
      <protection locked="0"/>
    </xf>
    <xf numFmtId="164" fontId="5" fillId="0" borderId="0" xfId="0" applyNumberFormat="1" applyFont="1" applyAlignment="1">
      <alignment horizontal="center" vertical="center"/>
    </xf>
    <xf numFmtId="0" fontId="9" fillId="0" borderId="0" xfId="0" applyFont="1"/>
    <xf numFmtId="0" fontId="4" fillId="0" borderId="0" xfId="0" applyFont="1"/>
    <xf numFmtId="0" fontId="25" fillId="0" borderId="0" xfId="0" applyFont="1" applyAlignment="1" applyProtection="1">
      <alignment horizontal="center" vertical="center"/>
      <protection locked="0"/>
    </xf>
    <xf numFmtId="0" fontId="13" fillId="0" borderId="0" xfId="0" applyFont="1" applyAlignment="1">
      <alignment horizontal="left" vertical="top" wrapText="1"/>
    </xf>
    <xf numFmtId="0" fontId="14" fillId="0" borderId="0" xfId="0" applyFont="1"/>
    <xf numFmtId="0" fontId="4" fillId="0" borderId="0" xfId="0" applyFont="1" applyAlignment="1">
      <alignment horizontal="center" vertical="center" wrapText="1"/>
    </xf>
    <xf numFmtId="0" fontId="1" fillId="0" borderId="0" xfId="0" applyFont="1" applyAlignment="1">
      <alignment horizontal="center" vertical="center" wrapText="1"/>
    </xf>
    <xf numFmtId="0" fontId="8" fillId="0" borderId="0" xfId="0" applyFont="1" applyAlignment="1">
      <alignment horizontal="left" vertical="center" wrapText="1"/>
    </xf>
    <xf numFmtId="0" fontId="8" fillId="0" borderId="0" xfId="0" applyFont="1" applyAlignment="1">
      <alignment horizontal="center" vertical="center" wrapText="1"/>
    </xf>
    <xf numFmtId="0" fontId="15" fillId="0" borderId="0" xfId="0" applyFont="1" applyAlignment="1">
      <alignment horizontal="center" vertical="center"/>
    </xf>
    <xf numFmtId="0" fontId="6" fillId="0" borderId="2" xfId="0" applyFont="1" applyBorder="1" applyAlignment="1">
      <alignment horizontal="center" vertical="center"/>
    </xf>
    <xf numFmtId="0" fontId="5" fillId="0" borderId="2" xfId="0" applyFont="1" applyBorder="1" applyAlignment="1">
      <alignment horizontal="center" vertical="center"/>
    </xf>
    <xf numFmtId="0" fontId="5"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right" vertical="center"/>
    </xf>
    <xf numFmtId="0" fontId="4" fillId="0" borderId="0" xfId="0" applyFont="1" applyAlignment="1">
      <alignment horizontal="center" vertical="center"/>
    </xf>
    <xf numFmtId="0" fontId="8" fillId="0" borderId="0" xfId="0" applyFont="1" applyAlignment="1">
      <alignment horizontal="center" wrapText="1"/>
    </xf>
    <xf numFmtId="0" fontId="21" fillId="0" borderId="0" xfId="0" applyFont="1" applyAlignment="1" applyProtection="1">
      <alignment horizontal="left" vertical="center" wrapText="1"/>
      <protection locked="0"/>
    </xf>
    <xf numFmtId="0" fontId="4" fillId="0" borderId="0" xfId="0" applyFont="1" applyAlignment="1" applyProtection="1">
      <alignment horizontal="center" vertical="center" wrapText="1"/>
      <protection locked="0"/>
    </xf>
    <xf numFmtId="0" fontId="8" fillId="0" borderId="0" xfId="0" applyFont="1" applyAlignment="1">
      <alignment horizontal="left" vertical="center"/>
    </xf>
    <xf numFmtId="0" fontId="4" fillId="0" borderId="0" xfId="0" applyFont="1" applyAlignment="1">
      <alignment horizontal="left" vertical="top" wrapText="1"/>
    </xf>
    <xf numFmtId="0" fontId="8" fillId="0" borderId="0" xfId="0" applyFont="1" applyAlignment="1">
      <alignment horizontal="left" wrapText="1"/>
    </xf>
    <xf numFmtId="0" fontId="11" fillId="0" borderId="0" xfId="0" applyFont="1" applyAlignment="1">
      <alignment horizontal="center"/>
    </xf>
    <xf numFmtId="0" fontId="24" fillId="0" borderId="2" xfId="0" applyFont="1" applyBorder="1" applyAlignment="1">
      <alignment horizontal="center" vertical="center"/>
    </xf>
    <xf numFmtId="0" fontId="5" fillId="0" borderId="2" xfId="0" applyFont="1" applyBorder="1" applyAlignment="1">
      <alignment horizontal="left" vertical="center" wrapText="1"/>
    </xf>
    <xf numFmtId="0" fontId="12" fillId="0" borderId="2" xfId="0" applyFont="1" applyBorder="1" applyAlignment="1">
      <alignment horizontal="center" vertical="center"/>
    </xf>
    <xf numFmtId="0" fontId="7" fillId="2" borderId="2" xfId="0" applyFont="1" applyFill="1" applyBorder="1" applyAlignment="1">
      <alignment horizontal="center" vertical="center"/>
    </xf>
    <xf numFmtId="49" fontId="6" fillId="2" borderId="2" xfId="0" applyNumberFormat="1" applyFont="1" applyFill="1" applyBorder="1" applyAlignment="1">
      <alignment horizontal="center" vertical="center"/>
    </xf>
    <xf numFmtId="0" fontId="6" fillId="2" borderId="2" xfId="0" applyFont="1" applyFill="1" applyBorder="1" applyAlignment="1">
      <alignment horizontal="center" vertical="center"/>
    </xf>
    <xf numFmtId="0" fontId="6" fillId="2" borderId="2" xfId="0" applyFont="1" applyFill="1" applyBorder="1" applyAlignment="1">
      <alignment horizontal="left" vertical="center"/>
    </xf>
    <xf numFmtId="0" fontId="11" fillId="2" borderId="0" xfId="0" applyFont="1" applyFill="1"/>
    <xf numFmtId="0" fontId="6" fillId="2" borderId="2" xfId="0" applyFont="1" applyFill="1" applyBorder="1" applyAlignment="1">
      <alignment horizontal="left" vertical="center" wrapText="1"/>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xf>
    <xf numFmtId="0" fontId="6" fillId="3" borderId="2" xfId="0" applyFont="1" applyFill="1" applyBorder="1" applyAlignment="1">
      <alignment horizontal="left" vertical="center"/>
    </xf>
    <xf numFmtId="0" fontId="6" fillId="4" borderId="2" xfId="0" applyFont="1" applyFill="1" applyBorder="1" applyAlignment="1">
      <alignment horizontal="left" vertical="center"/>
    </xf>
    <xf numFmtId="0" fontId="6" fillId="2" borderId="2" xfId="0" applyFont="1" applyFill="1" applyBorder="1" applyAlignment="1">
      <alignment horizontal="center" vertical="center"/>
    </xf>
    <xf numFmtId="0" fontId="7" fillId="0" borderId="26" xfId="0" applyFont="1" applyBorder="1" applyAlignment="1">
      <alignment horizontal="center" vertical="center"/>
    </xf>
    <xf numFmtId="0" fontId="6" fillId="4" borderId="2" xfId="0" applyFont="1" applyFill="1" applyBorder="1" applyAlignment="1">
      <alignment horizontal="left" vertical="center" wrapText="1"/>
    </xf>
    <xf numFmtId="0" fontId="6" fillId="2" borderId="2" xfId="0" applyFont="1" applyFill="1" applyBorder="1" applyAlignment="1">
      <alignment horizontal="left"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6" fillId="0" borderId="2" xfId="0" applyFont="1" applyBorder="1" applyAlignment="1">
      <alignment horizontal="center" vertical="center"/>
    </xf>
    <xf numFmtId="1" fontId="5" fillId="0" borderId="2" xfId="0" applyNumberFormat="1" applyFont="1" applyBorder="1" applyAlignment="1">
      <alignment horizontal="center" vertical="center"/>
    </xf>
    <xf numFmtId="0" fontId="5" fillId="0" borderId="2" xfId="0" applyFont="1" applyBorder="1" applyAlignment="1">
      <alignment horizontal="center" vertical="center"/>
    </xf>
    <xf numFmtId="0" fontId="1" fillId="0" borderId="2" xfId="0" applyFont="1" applyBorder="1" applyAlignment="1">
      <alignment horizontal="center" vertical="center"/>
    </xf>
    <xf numFmtId="0" fontId="6" fillId="2" borderId="2" xfId="0" applyFont="1" applyFill="1" applyBorder="1" applyAlignment="1">
      <alignment horizontal="center" vertical="center"/>
    </xf>
    <xf numFmtId="0" fontId="5" fillId="2" borderId="2" xfId="0" applyFont="1" applyFill="1" applyBorder="1" applyAlignment="1">
      <alignment horizontal="center" vertical="center"/>
    </xf>
    <xf numFmtId="164" fontId="5" fillId="2" borderId="2" xfId="0" applyNumberFormat="1" applyFont="1" applyFill="1" applyBorder="1" applyAlignment="1">
      <alignment horizontal="center" vertical="center"/>
    </xf>
    <xf numFmtId="0" fontId="3" fillId="0" borderId="2" xfId="0" applyFont="1" applyBorder="1" applyAlignment="1">
      <alignment horizontal="center" vertical="center" wrapText="1"/>
    </xf>
    <xf numFmtId="1" fontId="5" fillId="2" borderId="2" xfId="0" applyNumberFormat="1" applyFont="1" applyFill="1" applyBorder="1" applyAlignment="1">
      <alignment horizontal="center" vertical="center"/>
    </xf>
    <xf numFmtId="0" fontId="3" fillId="0" borderId="2" xfId="0" applyFont="1" applyBorder="1" applyAlignment="1">
      <alignment horizontal="center" vertical="center"/>
    </xf>
    <xf numFmtId="0" fontId="5" fillId="2" borderId="10"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11" xfId="0" applyFont="1" applyFill="1" applyBorder="1" applyAlignment="1">
      <alignment horizontal="center" vertical="center"/>
    </xf>
    <xf numFmtId="164" fontId="5" fillId="2" borderId="10" xfId="0" applyNumberFormat="1" applyFont="1" applyFill="1" applyBorder="1" applyAlignment="1">
      <alignment horizontal="center" vertical="center"/>
    </xf>
    <xf numFmtId="164" fontId="5" fillId="2" borderId="12" xfId="0" applyNumberFormat="1" applyFont="1" applyFill="1" applyBorder="1" applyAlignment="1">
      <alignment horizontal="center" vertical="center"/>
    </xf>
    <xf numFmtId="164" fontId="5" fillId="2" borderId="11" xfId="0" applyNumberFormat="1" applyFont="1" applyFill="1" applyBorder="1" applyAlignment="1">
      <alignment horizontal="center" vertical="center"/>
    </xf>
    <xf numFmtId="0" fontId="6" fillId="2" borderId="10" xfId="0" applyFont="1" applyFill="1" applyBorder="1" applyAlignment="1">
      <alignment horizontal="center" vertical="center"/>
    </xf>
    <xf numFmtId="0" fontId="6" fillId="2" borderId="12" xfId="0" applyFont="1" applyFill="1" applyBorder="1" applyAlignment="1">
      <alignment horizontal="center" vertical="center"/>
    </xf>
    <xf numFmtId="0" fontId="6" fillId="2" borderId="11" xfId="0" applyFont="1" applyFill="1" applyBorder="1" applyAlignment="1">
      <alignment horizontal="center" vertical="center"/>
    </xf>
    <xf numFmtId="1" fontId="5" fillId="2" borderId="10" xfId="0" applyNumberFormat="1" applyFont="1" applyFill="1" applyBorder="1" applyAlignment="1">
      <alignment horizontal="center" vertical="center"/>
    </xf>
    <xf numFmtId="1" fontId="5" fillId="2" borderId="12" xfId="0" applyNumberFormat="1" applyFont="1" applyFill="1" applyBorder="1" applyAlignment="1">
      <alignment horizontal="center" vertical="center"/>
    </xf>
    <xf numFmtId="1" fontId="5" fillId="2" borderId="11" xfId="0" applyNumberFormat="1" applyFont="1" applyFill="1" applyBorder="1" applyAlignment="1">
      <alignment horizontal="center" vertical="center"/>
    </xf>
    <xf numFmtId="0" fontId="13" fillId="2" borderId="2" xfId="0" applyFont="1" applyFill="1" applyBorder="1" applyAlignment="1">
      <alignment horizontal="center" vertical="center"/>
    </xf>
    <xf numFmtId="164" fontId="6" fillId="0" borderId="2" xfId="0" applyNumberFormat="1" applyFont="1" applyBorder="1" applyAlignment="1">
      <alignment horizontal="center" vertical="center"/>
    </xf>
    <xf numFmtId="164" fontId="6" fillId="2" borderId="2" xfId="0" applyNumberFormat="1" applyFont="1" applyFill="1" applyBorder="1" applyAlignment="1">
      <alignment horizontal="center" vertical="center"/>
    </xf>
    <xf numFmtId="0" fontId="11" fillId="2" borderId="2" xfId="0" applyFont="1" applyFill="1" applyBorder="1" applyAlignment="1">
      <alignment horizontal="center"/>
    </xf>
    <xf numFmtId="0" fontId="13" fillId="0" borderId="2" xfId="0" applyFont="1" applyBorder="1" applyAlignment="1">
      <alignment horizontal="center" vertical="center"/>
    </xf>
    <xf numFmtId="164" fontId="5" fillId="0" borderId="2" xfId="0" applyNumberFormat="1" applyFont="1" applyBorder="1" applyAlignment="1">
      <alignment horizontal="center" vertical="center"/>
    </xf>
    <xf numFmtId="0" fontId="5" fillId="0" borderId="2" xfId="0" applyFont="1" applyBorder="1" applyAlignment="1">
      <alignment horizontal="center" vertical="center" wrapText="1"/>
    </xf>
    <xf numFmtId="0" fontId="5" fillId="0" borderId="2" xfId="0" applyFont="1" applyBorder="1" applyAlignment="1">
      <alignment horizontal="center" vertical="center" textRotation="90" wrapText="1"/>
    </xf>
    <xf numFmtId="0" fontId="5" fillId="0" borderId="2" xfId="0" applyFont="1" applyBorder="1" applyAlignment="1">
      <alignment horizontal="center" vertical="center" textRotation="90"/>
    </xf>
    <xf numFmtId="2" fontId="5" fillId="0" borderId="2" xfId="0" applyNumberFormat="1" applyFont="1" applyBorder="1" applyAlignment="1">
      <alignment horizontal="center" vertical="center" textRotation="90" wrapText="1"/>
    </xf>
    <xf numFmtId="0" fontId="7" fillId="2" borderId="25" xfId="0" applyFont="1" applyFill="1" applyBorder="1" applyAlignment="1">
      <alignment horizontal="center" vertical="center"/>
    </xf>
    <xf numFmtId="0" fontId="7" fillId="2" borderId="26" xfId="0" applyFont="1" applyFill="1" applyBorder="1" applyAlignment="1">
      <alignment horizontal="center" vertical="center"/>
    </xf>
    <xf numFmtId="0" fontId="4" fillId="0" borderId="2" xfId="0" applyFont="1" applyBorder="1" applyAlignment="1">
      <alignment horizontal="center" vertical="center"/>
    </xf>
    <xf numFmtId="0" fontId="4" fillId="0" borderId="0" xfId="0" applyFont="1" applyAlignment="1">
      <alignment horizontal="center" vertical="center" wrapText="1"/>
    </xf>
    <xf numFmtId="0" fontId="1" fillId="0" borderId="0" xfId="0" applyFont="1" applyAlignment="1">
      <alignment horizontal="center" vertical="center" wrapText="1"/>
    </xf>
    <xf numFmtId="0" fontId="8" fillId="0" borderId="0" xfId="0" applyFont="1" applyAlignment="1">
      <alignment horizontal="left" vertical="center" wrapText="1"/>
    </xf>
    <xf numFmtId="0" fontId="8" fillId="0" borderId="0" xfId="0" applyFont="1" applyAlignment="1">
      <alignment horizontal="center" vertical="center" wrapText="1"/>
    </xf>
    <xf numFmtId="0" fontId="15" fillId="0" borderId="0" xfId="0" applyFont="1" applyAlignment="1">
      <alignment horizontal="center" vertical="center"/>
    </xf>
    <xf numFmtId="0" fontId="5" fillId="0" borderId="20" xfId="0" applyFont="1" applyBorder="1" applyAlignment="1">
      <alignment horizontal="center" vertical="center"/>
    </xf>
    <xf numFmtId="0" fontId="6" fillId="0" borderId="19" xfId="0" applyFont="1" applyBorder="1" applyAlignment="1">
      <alignment horizontal="center" vertical="center"/>
    </xf>
    <xf numFmtId="0" fontId="6" fillId="0" borderId="20" xfId="0" applyFont="1" applyBorder="1" applyAlignment="1">
      <alignment horizontal="center" vertical="center"/>
    </xf>
    <xf numFmtId="0" fontId="5" fillId="0" borderId="19" xfId="0" applyFont="1" applyBorder="1" applyAlignment="1">
      <alignment horizontal="center" vertical="center"/>
    </xf>
    <xf numFmtId="1" fontId="5" fillId="0" borderId="11" xfId="0" applyNumberFormat="1" applyFont="1" applyBorder="1" applyAlignment="1">
      <alignment horizontal="center" vertical="center"/>
    </xf>
    <xf numFmtId="0" fontId="6" fillId="0" borderId="2" xfId="0" applyFont="1" applyBorder="1" applyAlignment="1">
      <alignment horizontal="left" vertical="center"/>
    </xf>
    <xf numFmtId="0" fontId="6" fillId="0" borderId="19" xfId="0" applyFont="1" applyBorder="1" applyAlignment="1">
      <alignment horizontal="left" vertical="center"/>
    </xf>
    <xf numFmtId="164" fontId="5" fillId="0" borderId="19" xfId="0" applyNumberFormat="1" applyFont="1" applyBorder="1" applyAlignment="1">
      <alignment horizontal="center" vertical="center"/>
    </xf>
    <xf numFmtId="0" fontId="5" fillId="0" borderId="11" xfId="0" applyFont="1" applyBorder="1" applyAlignment="1">
      <alignment horizontal="center" vertical="center"/>
    </xf>
    <xf numFmtId="0" fontId="1" fillId="0" borderId="0" xfId="0" applyFont="1" applyAlignment="1">
      <alignment horizontal="center" vertical="center"/>
    </xf>
    <xf numFmtId="0" fontId="1" fillId="0" borderId="1" xfId="0" applyFont="1" applyBorder="1" applyAlignment="1">
      <alignment horizontal="center" vertical="center"/>
    </xf>
    <xf numFmtId="0" fontId="5" fillId="0" borderId="19"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11" xfId="0" applyFont="1" applyBorder="1" applyAlignment="1">
      <alignment horizontal="center" vertical="center" textRotation="90"/>
    </xf>
    <xf numFmtId="2" fontId="5" fillId="0" borderId="19" xfId="0" applyNumberFormat="1" applyFont="1" applyBorder="1" applyAlignment="1">
      <alignment horizontal="center" vertical="center" textRotation="90" wrapText="1"/>
    </xf>
    <xf numFmtId="0" fontId="13" fillId="0" borderId="2" xfId="0" applyFont="1" applyBorder="1" applyAlignment="1">
      <alignment horizontal="center" vertical="center" wrapText="1"/>
    </xf>
    <xf numFmtId="0" fontId="15" fillId="0" borderId="6" xfId="0" applyFont="1" applyBorder="1" applyAlignment="1">
      <alignment horizontal="center" vertical="center"/>
    </xf>
    <xf numFmtId="0" fontId="4" fillId="0" borderId="2" xfId="0" applyFont="1" applyBorder="1" applyAlignment="1">
      <alignment horizontal="center" vertical="center" wrapText="1"/>
    </xf>
    <xf numFmtId="0" fontId="15" fillId="0" borderId="0" xfId="0" applyFont="1" applyAlignment="1">
      <alignment horizontal="center" vertical="center" wrapText="1"/>
    </xf>
    <xf numFmtId="0" fontId="15" fillId="0" borderId="7" xfId="0" applyFont="1" applyBorder="1" applyAlignment="1">
      <alignment horizontal="center" vertical="center" wrapText="1"/>
    </xf>
    <xf numFmtId="0" fontId="5" fillId="0" borderId="0" xfId="0" applyFont="1" applyAlignment="1">
      <alignment horizontal="center" vertical="center" wrapText="1"/>
    </xf>
    <xf numFmtId="0" fontId="5" fillId="0" borderId="7" xfId="0" applyFont="1" applyBorder="1" applyAlignment="1">
      <alignment horizontal="center" vertical="center" wrapText="1"/>
    </xf>
    <xf numFmtId="0" fontId="5" fillId="0" borderId="10" xfId="0" applyFont="1" applyBorder="1" applyAlignment="1">
      <alignment horizontal="center" vertical="center"/>
    </xf>
    <xf numFmtId="0" fontId="5" fillId="0" borderId="12" xfId="0" applyFont="1" applyBorder="1" applyAlignment="1">
      <alignment horizontal="center" vertical="center"/>
    </xf>
    <xf numFmtId="0" fontId="5" fillId="0" borderId="2" xfId="0" applyFont="1" applyBorder="1" applyAlignment="1">
      <alignment horizontal="righ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left" vertical="center"/>
    </xf>
    <xf numFmtId="0" fontId="2" fillId="0" borderId="0" xfId="0" applyFont="1" applyAlignment="1">
      <alignment horizontal="right" vertical="center"/>
    </xf>
    <xf numFmtId="0" fontId="3" fillId="0" borderId="0" xfId="0" applyFont="1" applyAlignment="1">
      <alignment horizontal="center" vertical="center"/>
    </xf>
    <xf numFmtId="0" fontId="3" fillId="0" borderId="0" xfId="0" applyFont="1" applyAlignment="1">
      <alignment horizontal="center" vertical="center" wrapText="1"/>
    </xf>
    <xf numFmtId="2" fontId="5" fillId="0" borderId="11" xfId="0" applyNumberFormat="1" applyFont="1" applyBorder="1" applyAlignment="1">
      <alignment horizontal="center" vertical="center" textRotation="90" wrapText="1"/>
    </xf>
    <xf numFmtId="0" fontId="4" fillId="0" borderId="0" xfId="0" applyFont="1" applyAlignment="1">
      <alignment horizontal="center" vertical="center"/>
    </xf>
    <xf numFmtId="0" fontId="23" fillId="0" borderId="2" xfId="0" applyFont="1" applyBorder="1" applyAlignment="1">
      <alignment horizontal="left" vertical="center"/>
    </xf>
    <xf numFmtId="0" fontId="23" fillId="0" borderId="19" xfId="0" applyFont="1" applyBorder="1" applyAlignment="1">
      <alignment horizontal="left" vertical="center"/>
    </xf>
    <xf numFmtId="0" fontId="6" fillId="0" borderId="2" xfId="0" applyFont="1" applyBorder="1" applyAlignment="1">
      <alignment horizontal="left" vertical="center" wrapText="1"/>
    </xf>
    <xf numFmtId="0" fontId="6" fillId="0" borderId="19" xfId="0" applyFont="1" applyBorder="1" applyAlignment="1">
      <alignment horizontal="left" vertical="center" wrapText="1"/>
    </xf>
    <xf numFmtId="0" fontId="5" fillId="0" borderId="2" xfId="0" applyFont="1" applyBorder="1" applyAlignment="1">
      <alignment horizontal="left" vertical="center" wrapText="1"/>
    </xf>
    <xf numFmtId="0" fontId="5" fillId="0" borderId="19" xfId="0" applyFont="1" applyBorder="1" applyAlignment="1">
      <alignment horizontal="left" vertical="center" wrapText="1"/>
    </xf>
    <xf numFmtId="0" fontId="5" fillId="0" borderId="2" xfId="0" applyFont="1" applyBorder="1" applyAlignment="1">
      <alignment horizontal="right" vertical="center" wrapText="1"/>
    </xf>
    <xf numFmtId="0" fontId="5" fillId="0" borderId="19" xfId="0" applyFont="1" applyBorder="1" applyAlignment="1">
      <alignment horizontal="right" vertical="center" wrapText="1"/>
    </xf>
    <xf numFmtId="0" fontId="4" fillId="0" borderId="0" xfId="0" applyFont="1" applyAlignment="1">
      <alignment horizontal="left"/>
    </xf>
    <xf numFmtId="0" fontId="8" fillId="0" borderId="0" xfId="0" applyFont="1" applyAlignment="1">
      <alignment horizontal="center" wrapText="1"/>
    </xf>
    <xf numFmtId="0" fontId="21" fillId="0" borderId="0" xfId="0" applyFont="1" applyAlignment="1" applyProtection="1">
      <alignment horizontal="left" vertical="center" wrapText="1"/>
      <protection locked="0"/>
    </xf>
    <xf numFmtId="0" fontId="21" fillId="0" borderId="0" xfId="0" applyFont="1" applyAlignment="1" applyProtection="1">
      <alignment horizontal="left" vertical="center"/>
      <protection locked="0"/>
    </xf>
    <xf numFmtId="0" fontId="0" fillId="0" borderId="0" xfId="0" applyAlignment="1">
      <alignment horizontal="left" vertical="center"/>
    </xf>
    <xf numFmtId="0" fontId="4" fillId="0" borderId="13" xfId="0" applyFont="1" applyBorder="1" applyAlignment="1" applyProtection="1">
      <alignment horizontal="center" vertical="center"/>
      <protection locked="0"/>
    </xf>
    <xf numFmtId="0" fontId="4" fillId="0" borderId="14" xfId="0" applyFont="1" applyBorder="1" applyAlignment="1" applyProtection="1">
      <alignment horizontal="center" vertical="center"/>
      <protection locked="0"/>
    </xf>
    <xf numFmtId="0" fontId="4" fillId="0" borderId="15" xfId="0" applyFont="1" applyBorder="1" applyAlignment="1" applyProtection="1">
      <alignment horizontal="center" vertical="center"/>
      <protection locked="0"/>
    </xf>
    <xf numFmtId="0" fontId="4" fillId="0" borderId="23" xfId="0" applyFont="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4" fillId="0" borderId="24" xfId="0" applyFont="1" applyBorder="1" applyAlignment="1" applyProtection="1">
      <alignment horizontal="center" vertical="center"/>
      <protection locked="0"/>
    </xf>
    <xf numFmtId="0" fontId="4" fillId="0" borderId="23" xfId="0" applyFont="1" applyBorder="1" applyAlignment="1" applyProtection="1">
      <alignment horizontal="center" vertical="center" wrapText="1"/>
      <protection locked="0"/>
    </xf>
    <xf numFmtId="0" fontId="4" fillId="0" borderId="0" xfId="0" applyFont="1" applyAlignment="1" applyProtection="1">
      <alignment horizontal="center" vertical="center" wrapText="1"/>
      <protection locked="0"/>
    </xf>
    <xf numFmtId="0" fontId="4" fillId="0" borderId="24" xfId="0" applyFont="1" applyBorder="1" applyAlignment="1" applyProtection="1">
      <alignment horizontal="center" vertical="center" wrapText="1"/>
      <protection locked="0"/>
    </xf>
    <xf numFmtId="0" fontId="4" fillId="0" borderId="16" xfId="0" applyFont="1" applyBorder="1" applyAlignment="1" applyProtection="1">
      <alignment horizontal="center" vertical="center" wrapText="1"/>
      <protection locked="0"/>
    </xf>
    <xf numFmtId="0" fontId="4" fillId="0" borderId="17" xfId="0" applyFont="1" applyBorder="1" applyAlignment="1" applyProtection="1">
      <alignment horizontal="center" vertical="center" wrapText="1"/>
      <protection locked="0"/>
    </xf>
    <xf numFmtId="0" fontId="4" fillId="0" borderId="18" xfId="0" applyFont="1" applyBorder="1" applyAlignment="1" applyProtection="1">
      <alignment horizontal="center" vertical="center" wrapText="1"/>
      <protection locked="0"/>
    </xf>
    <xf numFmtId="0" fontId="8" fillId="0" borderId="0" xfId="0" applyFont="1" applyAlignment="1">
      <alignment horizontal="left" vertical="center"/>
    </xf>
    <xf numFmtId="0" fontId="4" fillId="0" borderId="0" xfId="0" applyFont="1" applyAlignment="1">
      <alignment horizontal="left" vertical="top" wrapText="1"/>
    </xf>
    <xf numFmtId="0" fontId="4" fillId="0" borderId="0" xfId="0" applyFont="1" applyAlignment="1">
      <alignment horizontal="center" vertical="top" wrapText="1"/>
    </xf>
    <xf numFmtId="0" fontId="8" fillId="0" borderId="0" xfId="0" applyFont="1" applyAlignment="1">
      <alignment horizontal="left" wrapText="1"/>
    </xf>
    <xf numFmtId="0" fontId="21" fillId="0" borderId="0" xfId="0" applyFont="1" applyAlignment="1">
      <alignment horizontal="left" vertical="center"/>
    </xf>
    <xf numFmtId="164" fontId="6" fillId="0" borderId="19" xfId="0" applyNumberFormat="1" applyFont="1" applyBorder="1" applyAlignment="1">
      <alignment horizontal="center" vertical="center"/>
    </xf>
    <xf numFmtId="0" fontId="5" fillId="0" borderId="5" xfId="0" applyFont="1" applyBorder="1" applyAlignment="1">
      <alignment horizontal="center" vertical="center" textRotation="90" wrapText="1"/>
    </xf>
    <xf numFmtId="0" fontId="5" fillId="0" borderId="4" xfId="0" applyFont="1" applyBorder="1" applyAlignment="1">
      <alignment horizontal="center" vertical="center" textRotation="90" wrapText="1"/>
    </xf>
    <xf numFmtId="0" fontId="5" fillId="0" borderId="0" xfId="0" applyFont="1" applyAlignment="1">
      <alignment horizontal="center" vertical="center" textRotation="90" wrapText="1"/>
    </xf>
    <xf numFmtId="0" fontId="5" fillId="0" borderId="7" xfId="0" applyFont="1" applyBorder="1" applyAlignment="1">
      <alignment horizontal="center" vertical="center" textRotation="90" wrapText="1"/>
    </xf>
    <xf numFmtId="0" fontId="5" fillId="0" borderId="1" xfId="0" applyFont="1" applyBorder="1" applyAlignment="1">
      <alignment horizontal="center" vertical="center" textRotation="90" wrapText="1"/>
    </xf>
    <xf numFmtId="0" fontId="5" fillId="0" borderId="9" xfId="0" applyFont="1" applyBorder="1" applyAlignment="1">
      <alignment horizontal="center" vertical="center" textRotation="90" wrapText="1"/>
    </xf>
    <xf numFmtId="2" fontId="5" fillId="0" borderId="3" xfId="0" applyNumberFormat="1" applyFont="1" applyBorder="1" applyAlignment="1">
      <alignment horizontal="center" vertical="center" textRotation="90" wrapText="1"/>
    </xf>
    <xf numFmtId="2" fontId="5" fillId="0" borderId="5" xfId="0" applyNumberFormat="1" applyFont="1" applyBorder="1" applyAlignment="1">
      <alignment horizontal="center" vertical="center" textRotation="90" wrapText="1"/>
    </xf>
    <xf numFmtId="2" fontId="5" fillId="0" borderId="4" xfId="0" applyNumberFormat="1" applyFont="1" applyBorder="1" applyAlignment="1">
      <alignment horizontal="center" vertical="center" textRotation="90" wrapText="1"/>
    </xf>
    <xf numFmtId="2" fontId="5" fillId="0" borderId="6" xfId="0" applyNumberFormat="1" applyFont="1" applyBorder="1" applyAlignment="1">
      <alignment horizontal="center" vertical="center" textRotation="90" wrapText="1"/>
    </xf>
    <xf numFmtId="2" fontId="5" fillId="0" borderId="0" xfId="0" applyNumberFormat="1" applyFont="1" applyAlignment="1">
      <alignment horizontal="center" vertical="center" textRotation="90" wrapText="1"/>
    </xf>
    <xf numFmtId="2" fontId="5" fillId="0" borderId="7" xfId="0" applyNumberFormat="1" applyFont="1" applyBorder="1" applyAlignment="1">
      <alignment horizontal="center" vertical="center" textRotation="90" wrapText="1"/>
    </xf>
    <xf numFmtId="2" fontId="5" fillId="0" borderId="8" xfId="0" applyNumberFormat="1" applyFont="1" applyBorder="1" applyAlignment="1">
      <alignment horizontal="center" vertical="center" textRotation="90" wrapText="1"/>
    </xf>
    <xf numFmtId="2" fontId="5" fillId="0" borderId="1" xfId="0" applyNumberFormat="1" applyFont="1" applyBorder="1" applyAlignment="1">
      <alignment horizontal="center" vertical="center" textRotation="90" wrapText="1"/>
    </xf>
    <xf numFmtId="2" fontId="5" fillId="0" borderId="9" xfId="0" applyNumberFormat="1" applyFont="1" applyBorder="1" applyAlignment="1">
      <alignment horizontal="center" vertical="center" textRotation="90" wrapText="1"/>
    </xf>
    <xf numFmtId="0" fontId="5" fillId="0" borderId="3" xfId="0" applyFont="1" applyBorder="1" applyAlignment="1">
      <alignment horizontal="center" vertical="center" textRotation="90"/>
    </xf>
    <xf numFmtId="0" fontId="5" fillId="0" borderId="5" xfId="0" applyFont="1" applyBorder="1" applyAlignment="1">
      <alignment horizontal="center" vertical="center" textRotation="90"/>
    </xf>
    <xf numFmtId="0" fontId="5" fillId="0" borderId="4" xfId="0" applyFont="1" applyBorder="1" applyAlignment="1">
      <alignment horizontal="center" vertical="center" textRotation="90"/>
    </xf>
    <xf numFmtId="0" fontId="5" fillId="0" borderId="6" xfId="0" applyFont="1" applyBorder="1" applyAlignment="1">
      <alignment horizontal="center" vertical="center" textRotation="90"/>
    </xf>
    <xf numFmtId="0" fontId="5" fillId="0" borderId="0" xfId="0" applyFont="1" applyAlignment="1">
      <alignment horizontal="center" vertical="center" textRotation="90"/>
    </xf>
    <xf numFmtId="0" fontId="5" fillId="0" borderId="7" xfId="0" applyFont="1" applyBorder="1" applyAlignment="1">
      <alignment horizontal="center" vertical="center" textRotation="90"/>
    </xf>
    <xf numFmtId="0" fontId="5" fillId="0" borderId="8" xfId="0" applyFont="1" applyBorder="1" applyAlignment="1">
      <alignment horizontal="center" vertical="center" textRotation="90"/>
    </xf>
    <xf numFmtId="0" fontId="5" fillId="0" borderId="1" xfId="0" applyFont="1" applyBorder="1" applyAlignment="1">
      <alignment horizontal="center" vertical="center" textRotation="90"/>
    </xf>
    <xf numFmtId="0" fontId="5" fillId="0" borderId="9" xfId="0" applyFont="1" applyBorder="1" applyAlignment="1">
      <alignment horizontal="center" vertical="center" textRotation="90"/>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textRotation="90" wrapText="1"/>
    </xf>
    <xf numFmtId="0" fontId="5" fillId="0" borderId="6" xfId="0" applyFont="1" applyBorder="1" applyAlignment="1">
      <alignment horizontal="center" vertical="center" textRotation="90" wrapText="1"/>
    </xf>
    <xf numFmtId="0" fontId="5" fillId="0" borderId="8" xfId="0" applyFont="1" applyBorder="1" applyAlignment="1">
      <alignment horizontal="center" vertical="center" textRotation="90" wrapText="1"/>
    </xf>
    <xf numFmtId="0" fontId="6" fillId="2" borderId="2" xfId="0" applyFont="1" applyFill="1" applyBorder="1" applyAlignment="1">
      <alignment horizontal="left" vertical="center"/>
    </xf>
    <xf numFmtId="0" fontId="6" fillId="2" borderId="19" xfId="0" applyFont="1" applyFill="1" applyBorder="1" applyAlignment="1">
      <alignment horizontal="left"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12" fillId="0" borderId="2" xfId="0" applyFont="1" applyBorder="1" applyAlignment="1">
      <alignment horizontal="center" vertical="center"/>
    </xf>
    <xf numFmtId="0" fontId="6" fillId="0" borderId="10" xfId="0" applyFont="1" applyBorder="1" applyAlignment="1">
      <alignment horizontal="left" vertical="center" wrapText="1"/>
    </xf>
    <xf numFmtId="0" fontId="6" fillId="0" borderId="12" xfId="0" applyFont="1" applyBorder="1" applyAlignment="1">
      <alignment horizontal="left" vertical="center" wrapText="1"/>
    </xf>
    <xf numFmtId="0" fontId="6" fillId="0" borderId="22" xfId="0" applyFont="1" applyBorder="1" applyAlignment="1">
      <alignment horizontal="left" vertical="center" wrapText="1"/>
    </xf>
    <xf numFmtId="0" fontId="6" fillId="0" borderId="10" xfId="0" applyFont="1" applyBorder="1" applyAlignment="1">
      <alignment horizontal="left" vertical="center"/>
    </xf>
    <xf numFmtId="0" fontId="6" fillId="0" borderId="12" xfId="0" applyFont="1" applyBorder="1" applyAlignment="1">
      <alignment horizontal="left" vertical="center"/>
    </xf>
    <xf numFmtId="0" fontId="6" fillId="0" borderId="22" xfId="0" applyFont="1" applyBorder="1" applyAlignment="1">
      <alignment horizontal="left" vertical="center"/>
    </xf>
    <xf numFmtId="0" fontId="6" fillId="0" borderId="21" xfId="0" applyFont="1" applyBorder="1" applyAlignment="1">
      <alignment horizontal="center" vertical="center"/>
    </xf>
    <xf numFmtId="0" fontId="6" fillId="0" borderId="12" xfId="0" applyFont="1" applyBorder="1" applyAlignment="1">
      <alignment horizontal="center" vertical="center"/>
    </xf>
    <xf numFmtId="0" fontId="11" fillId="0" borderId="10" xfId="0" applyFont="1" applyBorder="1" applyAlignment="1">
      <alignment horizontal="center"/>
    </xf>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alignment horizontal="center"/>
    </xf>
    <xf numFmtId="0" fontId="6" fillId="2" borderId="10" xfId="0" applyFont="1" applyFill="1" applyBorder="1" applyAlignment="1">
      <alignment horizontal="left" vertical="center"/>
    </xf>
    <xf numFmtId="0" fontId="6" fillId="2" borderId="12" xfId="0" applyFont="1" applyFill="1" applyBorder="1" applyAlignment="1">
      <alignment horizontal="left" vertical="center"/>
    </xf>
    <xf numFmtId="0" fontId="6" fillId="2" borderId="22" xfId="0" applyFont="1" applyFill="1" applyBorder="1" applyAlignment="1">
      <alignment horizontal="left" vertical="center"/>
    </xf>
    <xf numFmtId="0" fontId="5" fillId="2" borderId="20" xfId="0" applyFont="1" applyFill="1" applyBorder="1" applyAlignment="1">
      <alignment horizontal="center" vertical="center"/>
    </xf>
    <xf numFmtId="0" fontId="5" fillId="2" borderId="19" xfId="0" applyFont="1" applyFill="1" applyBorder="1" applyAlignment="1">
      <alignment horizontal="center" vertical="center"/>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164" fontId="5" fillId="0" borderId="10" xfId="0" applyNumberFormat="1" applyFont="1" applyBorder="1" applyAlignment="1">
      <alignment horizontal="center" vertical="center"/>
    </xf>
    <xf numFmtId="164" fontId="5" fillId="0" borderId="12" xfId="0" applyNumberFormat="1" applyFont="1" applyBorder="1" applyAlignment="1">
      <alignment horizontal="center" vertical="center"/>
    </xf>
    <xf numFmtId="164" fontId="5" fillId="0" borderId="22" xfId="0" applyNumberFormat="1" applyFont="1" applyBorder="1" applyAlignment="1">
      <alignment horizontal="center" vertical="center"/>
    </xf>
    <xf numFmtId="1" fontId="5" fillId="0" borderId="12" xfId="0" applyNumberFormat="1" applyFont="1" applyBorder="1" applyAlignment="1">
      <alignment horizontal="center" vertical="center"/>
    </xf>
  </cellXfs>
  <cellStyles count="1">
    <cellStyle name="Обычный" xfId="0" builtinId="0"/>
  </cellStyles>
  <dxfs count="21">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87"/>
  <sheetViews>
    <sheetView tabSelected="1" view="pageBreakPreview" topLeftCell="A46" zoomScale="70" zoomScaleNormal="55" zoomScaleSheetLayoutView="70" workbookViewId="0">
      <selection activeCell="A77" sqref="A77:BH78"/>
    </sheetView>
  </sheetViews>
  <sheetFormatPr defaultColWidth="9.140625" defaultRowHeight="18.75" x14ac:dyDescent="0.25"/>
  <cols>
    <col min="1" max="2" width="9.140625" style="57"/>
    <col min="3" max="3" width="12.28515625" style="2" customWidth="1"/>
    <col min="4" max="4" width="21.28515625" style="58" customWidth="1"/>
    <col min="5" max="5" width="54.7109375" style="2" bestFit="1" customWidth="1"/>
    <col min="6" max="60" width="3.85546875" style="2" customWidth="1"/>
    <col min="61" max="16384" width="9.140625" style="2"/>
  </cols>
  <sheetData>
    <row r="1" spans="1:60" ht="15" x14ac:dyDescent="0.25">
      <c r="A1" s="107" t="s">
        <v>276</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c r="AR1" s="107"/>
      <c r="AS1" s="107"/>
      <c r="AT1" s="107"/>
      <c r="AU1" s="107"/>
      <c r="AV1" s="107"/>
      <c r="AW1" s="107"/>
      <c r="AX1" s="107"/>
      <c r="AY1" s="107"/>
      <c r="AZ1" s="107"/>
      <c r="BA1" s="107"/>
      <c r="BB1" s="107"/>
      <c r="BC1" s="107"/>
      <c r="BD1" s="107"/>
    </row>
    <row r="2" spans="1:60" ht="15" x14ac:dyDescent="0.25">
      <c r="A2" s="107"/>
      <c r="B2" s="107"/>
      <c r="C2" s="107"/>
      <c r="D2" s="107"/>
      <c r="E2" s="107"/>
      <c r="F2" s="107"/>
      <c r="G2" s="107"/>
      <c r="H2" s="107"/>
      <c r="I2" s="107"/>
      <c r="J2" s="107"/>
      <c r="K2" s="107"/>
      <c r="L2" s="107"/>
      <c r="M2" s="107"/>
      <c r="N2" s="107"/>
      <c r="O2" s="107"/>
      <c r="P2" s="107"/>
      <c r="Q2" s="107"/>
      <c r="R2" s="107"/>
      <c r="S2" s="107"/>
      <c r="T2" s="107"/>
      <c r="U2" s="107"/>
      <c r="V2" s="107"/>
      <c r="W2" s="107"/>
      <c r="X2" s="107"/>
      <c r="Y2" s="107"/>
      <c r="Z2" s="107"/>
      <c r="AA2" s="107"/>
      <c r="AB2" s="107"/>
      <c r="AC2" s="107"/>
      <c r="AD2" s="107"/>
      <c r="AE2" s="107"/>
      <c r="AF2" s="107"/>
      <c r="AG2" s="107"/>
      <c r="AH2" s="107"/>
      <c r="AI2" s="107"/>
      <c r="AJ2" s="107"/>
      <c r="AK2" s="107"/>
      <c r="AL2" s="107"/>
      <c r="AM2" s="107"/>
      <c r="AN2" s="107"/>
      <c r="AO2" s="107"/>
      <c r="AP2" s="107"/>
      <c r="AQ2" s="107"/>
      <c r="AR2" s="107"/>
      <c r="AS2" s="107"/>
      <c r="AT2" s="107"/>
      <c r="AU2" s="107"/>
      <c r="AV2" s="107"/>
      <c r="AW2" s="107"/>
      <c r="AX2" s="107"/>
      <c r="AY2" s="107"/>
      <c r="AZ2" s="107"/>
      <c r="BA2" s="107"/>
      <c r="BB2" s="107"/>
      <c r="BC2" s="107"/>
      <c r="BD2" s="107"/>
    </row>
    <row r="3" spans="1:60" ht="14.25" customHeight="1" x14ac:dyDescent="0.25">
      <c r="A3" s="111" t="s">
        <v>127</v>
      </c>
      <c r="B3" s="111"/>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row>
    <row r="4" spans="1:60" ht="14.25" customHeight="1" x14ac:dyDescent="0.25">
      <c r="A4" s="111"/>
      <c r="B4" s="111"/>
      <c r="C4" s="111"/>
      <c r="D4" s="111"/>
      <c r="E4" s="111"/>
      <c r="F4" s="111"/>
      <c r="G4" s="111"/>
      <c r="H4" s="111"/>
      <c r="I4" s="111"/>
      <c r="J4" s="111"/>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c r="AY4" s="111"/>
      <c r="AZ4" s="111"/>
      <c r="BA4" s="111"/>
      <c r="BB4" s="111"/>
      <c r="BC4" s="111"/>
      <c r="BD4" s="111"/>
      <c r="BE4" s="111"/>
      <c r="BF4" s="111"/>
      <c r="BG4" s="111"/>
      <c r="BH4" s="111"/>
    </row>
    <row r="5" spans="1:60" ht="14.25" customHeight="1" x14ac:dyDescent="0.25">
      <c r="A5" s="106" t="s">
        <v>108</v>
      </c>
      <c r="B5" s="106"/>
      <c r="C5" s="106"/>
      <c r="D5" s="133" t="s">
        <v>107</v>
      </c>
      <c r="E5" s="132" t="s">
        <v>126</v>
      </c>
      <c r="F5" s="132" t="s">
        <v>113</v>
      </c>
      <c r="G5" s="132"/>
      <c r="H5" s="132"/>
      <c r="I5" s="132"/>
      <c r="J5" s="132"/>
      <c r="K5" s="132"/>
      <c r="L5" s="132"/>
      <c r="M5" s="132"/>
      <c r="N5" s="132"/>
      <c r="O5" s="132"/>
      <c r="P5" s="132"/>
      <c r="Q5" s="132"/>
      <c r="R5" s="132"/>
      <c r="S5" s="132"/>
      <c r="T5" s="132"/>
      <c r="U5" s="132"/>
      <c r="V5" s="132"/>
      <c r="W5" s="132"/>
      <c r="X5" s="132"/>
      <c r="Y5" s="132"/>
      <c r="Z5" s="132"/>
      <c r="AA5" s="132"/>
      <c r="AB5" s="132"/>
      <c r="AC5" s="132"/>
      <c r="AD5" s="132"/>
      <c r="AE5" s="132"/>
      <c r="AF5" s="132"/>
      <c r="AG5" s="132" t="s">
        <v>179</v>
      </c>
      <c r="AH5" s="132"/>
      <c r="AI5" s="132"/>
      <c r="AJ5" s="132"/>
      <c r="AK5" s="132"/>
      <c r="AL5" s="132"/>
      <c r="AM5" s="132"/>
      <c r="AN5" s="132"/>
      <c r="AO5" s="132"/>
      <c r="AP5" s="132"/>
      <c r="AQ5" s="132"/>
      <c r="AR5" s="132"/>
      <c r="AS5" s="132" t="s">
        <v>180</v>
      </c>
      <c r="AT5" s="132"/>
      <c r="AU5" s="132"/>
      <c r="AV5" s="132"/>
      <c r="AW5" s="132"/>
      <c r="AX5" s="132"/>
      <c r="AY5" s="132"/>
      <c r="AZ5" s="132"/>
      <c r="BA5" s="132"/>
      <c r="BB5" s="132"/>
      <c r="BC5" s="132"/>
      <c r="BD5" s="132"/>
      <c r="BE5" s="134" t="s">
        <v>123</v>
      </c>
      <c r="BF5" s="134"/>
      <c r="BG5" s="134"/>
      <c r="BH5" s="134"/>
    </row>
    <row r="6" spans="1:60" ht="14.25" customHeight="1" x14ac:dyDescent="0.25">
      <c r="A6" s="106"/>
      <c r="B6" s="106"/>
      <c r="C6" s="106"/>
      <c r="D6" s="134"/>
      <c r="E6" s="132"/>
      <c r="F6" s="132"/>
      <c r="G6" s="132"/>
      <c r="H6" s="132"/>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4"/>
      <c r="BF6" s="134"/>
      <c r="BG6" s="134"/>
      <c r="BH6" s="134"/>
    </row>
    <row r="7" spans="1:60" ht="14.25" customHeight="1" x14ac:dyDescent="0.25">
      <c r="A7" s="106"/>
      <c r="B7" s="106"/>
      <c r="C7" s="106"/>
      <c r="D7" s="134"/>
      <c r="E7" s="132"/>
      <c r="F7" s="132" t="s">
        <v>109</v>
      </c>
      <c r="G7" s="132"/>
      <c r="H7" s="132"/>
      <c r="I7" s="132"/>
      <c r="J7" s="132"/>
      <c r="K7" s="132"/>
      <c r="L7" s="132" t="s">
        <v>114</v>
      </c>
      <c r="M7" s="132"/>
      <c r="N7" s="132"/>
      <c r="O7" s="132"/>
      <c r="P7" s="132"/>
      <c r="Q7" s="132"/>
      <c r="R7" s="132"/>
      <c r="S7" s="132"/>
      <c r="T7" s="132"/>
      <c r="U7" s="132"/>
      <c r="V7" s="132"/>
      <c r="W7" s="132"/>
      <c r="X7" s="132"/>
      <c r="Y7" s="132"/>
      <c r="Z7" s="132"/>
      <c r="AA7" s="132"/>
      <c r="AB7" s="132"/>
      <c r="AC7" s="132"/>
      <c r="AD7" s="135" t="s">
        <v>120</v>
      </c>
      <c r="AE7" s="135"/>
      <c r="AF7" s="135"/>
      <c r="AG7" s="106" t="s">
        <v>124</v>
      </c>
      <c r="AH7" s="106"/>
      <c r="AI7" s="106"/>
      <c r="AJ7" s="106"/>
      <c r="AK7" s="106"/>
      <c r="AL7" s="106"/>
      <c r="AM7" s="106" t="s">
        <v>125</v>
      </c>
      <c r="AN7" s="106"/>
      <c r="AO7" s="106"/>
      <c r="AP7" s="106"/>
      <c r="AQ7" s="106"/>
      <c r="AR7" s="106"/>
      <c r="AS7" s="106" t="s">
        <v>124</v>
      </c>
      <c r="AT7" s="106"/>
      <c r="AU7" s="106"/>
      <c r="AV7" s="106"/>
      <c r="AW7" s="106"/>
      <c r="AX7" s="106"/>
      <c r="AY7" s="106" t="s">
        <v>125</v>
      </c>
      <c r="AZ7" s="106"/>
      <c r="BA7" s="106"/>
      <c r="BB7" s="106"/>
      <c r="BC7" s="106"/>
      <c r="BD7" s="106"/>
      <c r="BE7" s="134"/>
      <c r="BF7" s="134"/>
      <c r="BG7" s="134"/>
      <c r="BH7" s="134"/>
    </row>
    <row r="8" spans="1:60" ht="14.25" customHeight="1" x14ac:dyDescent="0.25">
      <c r="A8" s="106"/>
      <c r="B8" s="106"/>
      <c r="C8" s="106"/>
      <c r="D8" s="134"/>
      <c r="E8" s="132"/>
      <c r="F8" s="132"/>
      <c r="G8" s="132"/>
      <c r="H8" s="132"/>
      <c r="I8" s="132"/>
      <c r="J8" s="132"/>
      <c r="K8" s="132"/>
      <c r="L8" s="132"/>
      <c r="M8" s="132"/>
      <c r="N8" s="132"/>
      <c r="O8" s="132"/>
      <c r="P8" s="132"/>
      <c r="Q8" s="132"/>
      <c r="R8" s="132"/>
      <c r="S8" s="132"/>
      <c r="T8" s="132"/>
      <c r="U8" s="132"/>
      <c r="V8" s="132"/>
      <c r="W8" s="132"/>
      <c r="X8" s="132"/>
      <c r="Y8" s="132"/>
      <c r="Z8" s="132"/>
      <c r="AA8" s="132"/>
      <c r="AB8" s="132"/>
      <c r="AC8" s="132"/>
      <c r="AD8" s="135"/>
      <c r="AE8" s="135"/>
      <c r="AF8" s="135"/>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34"/>
      <c r="BF8" s="134"/>
      <c r="BG8" s="134"/>
      <c r="BH8" s="134"/>
    </row>
    <row r="9" spans="1:60" ht="14.25" customHeight="1" x14ac:dyDescent="0.25">
      <c r="A9" s="106"/>
      <c r="B9" s="106"/>
      <c r="C9" s="106"/>
      <c r="D9" s="134"/>
      <c r="E9" s="132"/>
      <c r="F9" s="132"/>
      <c r="G9" s="132"/>
      <c r="H9" s="132"/>
      <c r="I9" s="132"/>
      <c r="J9" s="132"/>
      <c r="K9" s="132"/>
      <c r="L9" s="135" t="s">
        <v>87</v>
      </c>
      <c r="M9" s="135"/>
      <c r="N9" s="135"/>
      <c r="O9" s="135" t="s">
        <v>115</v>
      </c>
      <c r="P9" s="135"/>
      <c r="Q9" s="135"/>
      <c r="R9" s="135" t="s">
        <v>116</v>
      </c>
      <c r="S9" s="135"/>
      <c r="T9" s="135"/>
      <c r="U9" s="135" t="s">
        <v>117</v>
      </c>
      <c r="V9" s="135"/>
      <c r="W9" s="135"/>
      <c r="X9" s="135" t="s">
        <v>118</v>
      </c>
      <c r="Y9" s="135"/>
      <c r="Z9" s="135"/>
      <c r="AA9" s="135" t="s">
        <v>119</v>
      </c>
      <c r="AB9" s="135"/>
      <c r="AC9" s="135"/>
      <c r="AD9" s="135"/>
      <c r="AE9" s="135"/>
      <c r="AF9" s="135"/>
      <c r="AG9" s="106">
        <v>1</v>
      </c>
      <c r="AH9" s="106"/>
      <c r="AI9" s="106"/>
      <c r="AJ9" s="106">
        <v>2</v>
      </c>
      <c r="AK9" s="106"/>
      <c r="AL9" s="106"/>
      <c r="AM9" s="106">
        <v>3</v>
      </c>
      <c r="AN9" s="106"/>
      <c r="AO9" s="106"/>
      <c r="AP9" s="106">
        <v>4</v>
      </c>
      <c r="AQ9" s="106"/>
      <c r="AR9" s="106"/>
      <c r="AS9" s="106">
        <v>1</v>
      </c>
      <c r="AT9" s="106"/>
      <c r="AU9" s="106"/>
      <c r="AV9" s="106">
        <v>2</v>
      </c>
      <c r="AW9" s="106"/>
      <c r="AX9" s="106"/>
      <c r="AY9" s="106">
        <v>3</v>
      </c>
      <c r="AZ9" s="106"/>
      <c r="BA9" s="106"/>
      <c r="BB9" s="106">
        <v>4</v>
      </c>
      <c r="BC9" s="106"/>
      <c r="BD9" s="106"/>
      <c r="BE9" s="134"/>
      <c r="BF9" s="134"/>
      <c r="BG9" s="134"/>
      <c r="BH9" s="134"/>
    </row>
    <row r="10" spans="1:60" ht="14.25" customHeight="1" x14ac:dyDescent="0.25">
      <c r="A10" s="106"/>
      <c r="B10" s="106"/>
      <c r="C10" s="106"/>
      <c r="D10" s="134"/>
      <c r="E10" s="132"/>
      <c r="F10" s="132"/>
      <c r="G10" s="132"/>
      <c r="H10" s="132"/>
      <c r="I10" s="132"/>
      <c r="J10" s="132"/>
      <c r="K10" s="132"/>
      <c r="L10" s="135"/>
      <c r="M10" s="135"/>
      <c r="N10" s="135"/>
      <c r="O10" s="135"/>
      <c r="P10" s="135"/>
      <c r="Q10" s="135"/>
      <c r="R10" s="135"/>
      <c r="S10" s="135"/>
      <c r="T10" s="135"/>
      <c r="U10" s="135"/>
      <c r="V10" s="135"/>
      <c r="W10" s="135"/>
      <c r="X10" s="135"/>
      <c r="Y10" s="135"/>
      <c r="Z10" s="135"/>
      <c r="AA10" s="135"/>
      <c r="AB10" s="135"/>
      <c r="AC10" s="135"/>
      <c r="AD10" s="135"/>
      <c r="AE10" s="135"/>
      <c r="AF10" s="135"/>
      <c r="AG10" s="106"/>
      <c r="AH10" s="106"/>
      <c r="AI10" s="106"/>
      <c r="AJ10" s="106"/>
      <c r="AK10" s="106"/>
      <c r="AL10" s="106"/>
      <c r="AM10" s="106"/>
      <c r="AN10" s="106"/>
      <c r="AO10" s="106"/>
      <c r="AP10" s="106"/>
      <c r="AQ10" s="106"/>
      <c r="AR10" s="106"/>
      <c r="AS10" s="106"/>
      <c r="AT10" s="106"/>
      <c r="AU10" s="106"/>
      <c r="AV10" s="106"/>
      <c r="AW10" s="106"/>
      <c r="AX10" s="106"/>
      <c r="AY10" s="106"/>
      <c r="AZ10" s="106"/>
      <c r="BA10" s="106"/>
      <c r="BB10" s="106"/>
      <c r="BC10" s="106"/>
      <c r="BD10" s="106"/>
      <c r="BE10" s="134"/>
      <c r="BF10" s="134"/>
      <c r="BG10" s="134"/>
      <c r="BH10" s="134"/>
    </row>
    <row r="11" spans="1:60" ht="14.25" customHeight="1" x14ac:dyDescent="0.25">
      <c r="A11" s="106"/>
      <c r="B11" s="106"/>
      <c r="C11" s="106"/>
      <c r="D11" s="134"/>
      <c r="E11" s="132"/>
      <c r="F11" s="132"/>
      <c r="G11" s="132"/>
      <c r="H11" s="132"/>
      <c r="I11" s="132"/>
      <c r="J11" s="132"/>
      <c r="K11" s="132"/>
      <c r="L11" s="135"/>
      <c r="M11" s="135"/>
      <c r="N11" s="135"/>
      <c r="O11" s="135"/>
      <c r="P11" s="135"/>
      <c r="Q11" s="135"/>
      <c r="R11" s="135"/>
      <c r="S11" s="135"/>
      <c r="T11" s="135"/>
      <c r="U11" s="135"/>
      <c r="V11" s="135"/>
      <c r="W11" s="135"/>
      <c r="X11" s="135"/>
      <c r="Y11" s="135"/>
      <c r="Z11" s="135"/>
      <c r="AA11" s="135"/>
      <c r="AB11" s="135"/>
      <c r="AC11" s="135"/>
      <c r="AD11" s="135"/>
      <c r="AE11" s="135"/>
      <c r="AF11" s="135"/>
      <c r="AG11" s="132" t="s">
        <v>121</v>
      </c>
      <c r="AH11" s="132"/>
      <c r="AI11" s="132"/>
      <c r="AJ11" s="132"/>
      <c r="AK11" s="132"/>
      <c r="AL11" s="132"/>
      <c r="AM11" s="132"/>
      <c r="AN11" s="132"/>
      <c r="AO11" s="132"/>
      <c r="AP11" s="132"/>
      <c r="AQ11" s="132"/>
      <c r="AR11" s="132"/>
      <c r="AS11" s="132" t="s">
        <v>122</v>
      </c>
      <c r="AT11" s="132"/>
      <c r="AU11" s="132"/>
      <c r="AV11" s="132"/>
      <c r="AW11" s="132"/>
      <c r="AX11" s="132"/>
      <c r="AY11" s="132"/>
      <c r="AZ11" s="132"/>
      <c r="BA11" s="132"/>
      <c r="BB11" s="132"/>
      <c r="BC11" s="132"/>
      <c r="BD11" s="132"/>
      <c r="BE11" s="134"/>
      <c r="BF11" s="134"/>
      <c r="BG11" s="134"/>
      <c r="BH11" s="134"/>
    </row>
    <row r="12" spans="1:60" ht="14.25" customHeight="1" x14ac:dyDescent="0.25">
      <c r="A12" s="106"/>
      <c r="B12" s="106"/>
      <c r="C12" s="106"/>
      <c r="D12" s="134"/>
      <c r="E12" s="132"/>
      <c r="F12" s="132"/>
      <c r="G12" s="132"/>
      <c r="H12" s="132"/>
      <c r="I12" s="132"/>
      <c r="J12" s="132"/>
      <c r="K12" s="132"/>
      <c r="L12" s="135"/>
      <c r="M12" s="135"/>
      <c r="N12" s="135"/>
      <c r="O12" s="135"/>
      <c r="P12" s="135"/>
      <c r="Q12" s="135"/>
      <c r="R12" s="135"/>
      <c r="S12" s="135"/>
      <c r="T12" s="135"/>
      <c r="U12" s="135"/>
      <c r="V12" s="135"/>
      <c r="W12" s="135"/>
      <c r="X12" s="135"/>
      <c r="Y12" s="135"/>
      <c r="Z12" s="135"/>
      <c r="AA12" s="135"/>
      <c r="AB12" s="135"/>
      <c r="AC12" s="135"/>
      <c r="AD12" s="135"/>
      <c r="AE12" s="135"/>
      <c r="AF12" s="135"/>
      <c r="AG12" s="132"/>
      <c r="AH12" s="132"/>
      <c r="AI12" s="132"/>
      <c r="AJ12" s="132"/>
      <c r="AK12" s="132"/>
      <c r="AL12" s="132"/>
      <c r="AM12" s="132"/>
      <c r="AN12" s="132"/>
      <c r="AO12" s="132"/>
      <c r="AP12" s="132"/>
      <c r="AQ12" s="132"/>
      <c r="AR12" s="132"/>
      <c r="AS12" s="132"/>
      <c r="AT12" s="132"/>
      <c r="AU12" s="132"/>
      <c r="AV12" s="132"/>
      <c r="AW12" s="132"/>
      <c r="AX12" s="132"/>
      <c r="AY12" s="132"/>
      <c r="AZ12" s="132"/>
      <c r="BA12" s="132"/>
      <c r="BB12" s="132"/>
      <c r="BC12" s="132"/>
      <c r="BD12" s="132"/>
      <c r="BE12" s="134"/>
      <c r="BF12" s="134"/>
      <c r="BG12" s="134"/>
      <c r="BH12" s="134"/>
    </row>
    <row r="13" spans="1:60" ht="14.25" customHeight="1" x14ac:dyDescent="0.25">
      <c r="A13" s="106"/>
      <c r="B13" s="106"/>
      <c r="C13" s="106"/>
      <c r="D13" s="134"/>
      <c r="E13" s="132"/>
      <c r="F13" s="132"/>
      <c r="G13" s="132"/>
      <c r="H13" s="132"/>
      <c r="I13" s="132"/>
      <c r="J13" s="132"/>
      <c r="K13" s="132"/>
      <c r="L13" s="135"/>
      <c r="M13" s="135"/>
      <c r="N13" s="135"/>
      <c r="O13" s="135"/>
      <c r="P13" s="135"/>
      <c r="Q13" s="135"/>
      <c r="R13" s="135"/>
      <c r="S13" s="135"/>
      <c r="T13" s="135"/>
      <c r="U13" s="135"/>
      <c r="V13" s="135"/>
      <c r="W13" s="135"/>
      <c r="X13" s="135"/>
      <c r="Y13" s="135"/>
      <c r="Z13" s="135"/>
      <c r="AA13" s="135"/>
      <c r="AB13" s="135"/>
      <c r="AC13" s="135"/>
      <c r="AD13" s="135"/>
      <c r="AE13" s="135"/>
      <c r="AF13" s="135"/>
      <c r="AG13" s="106">
        <v>15</v>
      </c>
      <c r="AH13" s="106"/>
      <c r="AI13" s="106"/>
      <c r="AJ13" s="106">
        <v>15</v>
      </c>
      <c r="AK13" s="106"/>
      <c r="AL13" s="106"/>
      <c r="AM13" s="106">
        <v>15</v>
      </c>
      <c r="AN13" s="106"/>
      <c r="AO13" s="106"/>
      <c r="AP13" s="106">
        <v>15</v>
      </c>
      <c r="AQ13" s="106"/>
      <c r="AR13" s="106"/>
      <c r="AS13" s="106">
        <v>15</v>
      </c>
      <c r="AT13" s="106"/>
      <c r="AU13" s="106"/>
      <c r="AV13" s="106">
        <v>15</v>
      </c>
      <c r="AW13" s="106"/>
      <c r="AX13" s="106"/>
      <c r="AY13" s="106">
        <v>15</v>
      </c>
      <c r="AZ13" s="106"/>
      <c r="BA13" s="106"/>
      <c r="BB13" s="106">
        <v>15</v>
      </c>
      <c r="BC13" s="106"/>
      <c r="BD13" s="106"/>
      <c r="BE13" s="134"/>
      <c r="BF13" s="134"/>
      <c r="BG13" s="134"/>
      <c r="BH13" s="134"/>
    </row>
    <row r="14" spans="1:60" ht="14.25" customHeight="1" x14ac:dyDescent="0.25">
      <c r="A14" s="106"/>
      <c r="B14" s="106"/>
      <c r="C14" s="106"/>
      <c r="D14" s="134"/>
      <c r="E14" s="132"/>
      <c r="F14" s="106" t="s">
        <v>110</v>
      </c>
      <c r="G14" s="106"/>
      <c r="H14" s="106"/>
      <c r="I14" s="106" t="s">
        <v>5</v>
      </c>
      <c r="J14" s="106"/>
      <c r="K14" s="106"/>
      <c r="L14" s="135"/>
      <c r="M14" s="135"/>
      <c r="N14" s="135"/>
      <c r="O14" s="135"/>
      <c r="P14" s="135"/>
      <c r="Q14" s="135"/>
      <c r="R14" s="135"/>
      <c r="S14" s="135"/>
      <c r="T14" s="135"/>
      <c r="U14" s="135"/>
      <c r="V14" s="135"/>
      <c r="W14" s="135"/>
      <c r="X14" s="135"/>
      <c r="Y14" s="135"/>
      <c r="Z14" s="135"/>
      <c r="AA14" s="135"/>
      <c r="AB14" s="135"/>
      <c r="AC14" s="135"/>
      <c r="AD14" s="135"/>
      <c r="AE14" s="135"/>
      <c r="AF14" s="135"/>
      <c r="AG14" s="106"/>
      <c r="AH14" s="106"/>
      <c r="AI14" s="106"/>
      <c r="AJ14" s="106"/>
      <c r="AK14" s="106"/>
      <c r="AL14" s="106"/>
      <c r="AM14" s="106"/>
      <c r="AN14" s="106"/>
      <c r="AO14" s="106"/>
      <c r="AP14" s="106"/>
      <c r="AQ14" s="106"/>
      <c r="AR14" s="106"/>
      <c r="AS14" s="106"/>
      <c r="AT14" s="106"/>
      <c r="AU14" s="106"/>
      <c r="AV14" s="106"/>
      <c r="AW14" s="106"/>
      <c r="AX14" s="106"/>
      <c r="AY14" s="106"/>
      <c r="AZ14" s="106"/>
      <c r="BA14" s="106"/>
      <c r="BB14" s="106"/>
      <c r="BC14" s="106"/>
      <c r="BD14" s="106"/>
      <c r="BE14" s="134"/>
      <c r="BF14" s="134"/>
      <c r="BG14" s="134"/>
      <c r="BH14" s="134"/>
    </row>
    <row r="15" spans="1:60" ht="14.25" customHeight="1" x14ac:dyDescent="0.25">
      <c r="A15" s="106" t="s">
        <v>6</v>
      </c>
      <c r="B15" s="106"/>
      <c r="C15" s="106"/>
      <c r="D15" s="87"/>
      <c r="E15" s="86" t="s">
        <v>111</v>
      </c>
      <c r="F15" s="106">
        <f>SUM(L15+AD15)</f>
        <v>390</v>
      </c>
      <c r="G15" s="106"/>
      <c r="H15" s="106"/>
      <c r="I15" s="131">
        <f>F15/3600*100</f>
        <v>10.833333333333334</v>
      </c>
      <c r="J15" s="131"/>
      <c r="K15" s="131"/>
      <c r="L15" s="106">
        <f t="shared" ref="L15" si="0">SUM(AG15+AJ15+AM15+AP15)*15</f>
        <v>150</v>
      </c>
      <c r="M15" s="106"/>
      <c r="N15" s="106"/>
      <c r="O15" s="106">
        <f>SUM(O27:Q29)</f>
        <v>80</v>
      </c>
      <c r="P15" s="106"/>
      <c r="Q15" s="106"/>
      <c r="R15" s="106">
        <f>SUM(R27:T29)</f>
        <v>30</v>
      </c>
      <c r="S15" s="106"/>
      <c r="T15" s="106"/>
      <c r="U15" s="106">
        <f>SUM(U27:W29)</f>
        <v>0</v>
      </c>
      <c r="V15" s="106"/>
      <c r="W15" s="106"/>
      <c r="X15" s="106">
        <f>SUM(X27:Z29)</f>
        <v>40</v>
      </c>
      <c r="Y15" s="106"/>
      <c r="Z15" s="106"/>
      <c r="AA15" s="106">
        <f>SUM(AA27:AC29)</f>
        <v>0</v>
      </c>
      <c r="AB15" s="106"/>
      <c r="AC15" s="106"/>
      <c r="AD15" s="106">
        <f>SUM(AD27:AF29)</f>
        <v>240</v>
      </c>
      <c r="AE15" s="106"/>
      <c r="AF15" s="106"/>
      <c r="AG15" s="106">
        <f>SUM(AG27:AI29)</f>
        <v>8</v>
      </c>
      <c r="AH15" s="106"/>
      <c r="AI15" s="106"/>
      <c r="AJ15" s="106">
        <f>SUM(AJ27:AL29)</f>
        <v>2</v>
      </c>
      <c r="AK15" s="106"/>
      <c r="AL15" s="106"/>
      <c r="AM15" s="106">
        <f>SUM(AM27:AO29)</f>
        <v>0</v>
      </c>
      <c r="AN15" s="106"/>
      <c r="AO15" s="106"/>
      <c r="AP15" s="106">
        <f>SUM(AP27:AR29)</f>
        <v>0</v>
      </c>
      <c r="AQ15" s="106"/>
      <c r="AR15" s="106"/>
      <c r="AS15" s="106">
        <f>SUM(AS27:AU29)</f>
        <v>11</v>
      </c>
      <c r="AT15" s="106"/>
      <c r="AU15" s="106"/>
      <c r="AV15" s="106">
        <f>SUM(AV27:AX29)</f>
        <v>2</v>
      </c>
      <c r="AW15" s="106"/>
      <c r="AX15" s="106"/>
      <c r="AY15" s="106">
        <f>SUM(AY27:BA29)</f>
        <v>0</v>
      </c>
      <c r="AZ15" s="106"/>
      <c r="BA15" s="106"/>
      <c r="BB15" s="106">
        <f>SUM(BB27:BD29)</f>
        <v>0</v>
      </c>
      <c r="BC15" s="106"/>
      <c r="BD15" s="106"/>
      <c r="BE15" s="105">
        <f>SUM(F15/30)</f>
        <v>13</v>
      </c>
      <c r="BF15" s="105"/>
      <c r="BG15" s="105"/>
      <c r="BH15" s="105"/>
    </row>
    <row r="16" spans="1:60" s="92" customFormat="1" ht="16.5" customHeight="1" x14ac:dyDescent="0.25">
      <c r="A16" s="88">
        <v>1</v>
      </c>
      <c r="B16" s="88">
        <v>1</v>
      </c>
      <c r="C16" s="89" t="s">
        <v>8</v>
      </c>
      <c r="D16" s="90" t="s">
        <v>213</v>
      </c>
      <c r="E16" s="96" t="s">
        <v>143</v>
      </c>
      <c r="F16" s="109">
        <f t="shared" ref="F16" si="1">SUM(L16+AD16)</f>
        <v>90</v>
      </c>
      <c r="G16" s="109"/>
      <c r="H16" s="109"/>
      <c r="I16" s="110"/>
      <c r="J16" s="110"/>
      <c r="K16" s="110"/>
      <c r="L16" s="109">
        <f t="shared" ref="L16:L29" si="2">SUM(AG16+AJ16+AM16+AP16)*15</f>
        <v>30</v>
      </c>
      <c r="M16" s="109"/>
      <c r="N16" s="109"/>
      <c r="O16" s="108">
        <v>16</v>
      </c>
      <c r="P16" s="108"/>
      <c r="Q16" s="108"/>
      <c r="R16" s="108">
        <v>14</v>
      </c>
      <c r="S16" s="108"/>
      <c r="T16" s="108"/>
      <c r="U16" s="108"/>
      <c r="V16" s="108"/>
      <c r="W16" s="108"/>
      <c r="X16" s="108"/>
      <c r="Y16" s="108"/>
      <c r="Z16" s="108"/>
      <c r="AA16" s="108"/>
      <c r="AB16" s="108"/>
      <c r="AC16" s="108"/>
      <c r="AD16" s="108">
        <v>60</v>
      </c>
      <c r="AE16" s="108"/>
      <c r="AF16" s="108"/>
      <c r="AG16" s="108"/>
      <c r="AH16" s="108"/>
      <c r="AI16" s="108"/>
      <c r="AJ16" s="108"/>
      <c r="AK16" s="108"/>
      <c r="AL16" s="108"/>
      <c r="AM16" s="108">
        <v>2</v>
      </c>
      <c r="AN16" s="108"/>
      <c r="AO16" s="108"/>
      <c r="AP16" s="108"/>
      <c r="AQ16" s="108"/>
      <c r="AR16" s="108"/>
      <c r="AS16" s="108"/>
      <c r="AT16" s="108"/>
      <c r="AU16" s="108"/>
      <c r="AV16" s="108"/>
      <c r="AW16" s="108"/>
      <c r="AX16" s="108"/>
      <c r="AY16" s="108">
        <v>3</v>
      </c>
      <c r="AZ16" s="108"/>
      <c r="BA16" s="108"/>
      <c r="BB16" s="108"/>
      <c r="BC16" s="108"/>
      <c r="BD16" s="108"/>
      <c r="BE16" s="112">
        <f t="shared" ref="BE16:BE29" si="3">SUM(F16/30)</f>
        <v>3</v>
      </c>
      <c r="BF16" s="112"/>
      <c r="BG16" s="112"/>
      <c r="BH16" s="112"/>
    </row>
    <row r="17" spans="1:60" s="92" customFormat="1" ht="16.5" customHeight="1" x14ac:dyDescent="0.25">
      <c r="A17" s="88">
        <v>2</v>
      </c>
      <c r="B17" s="88">
        <v>2</v>
      </c>
      <c r="C17" s="89" t="s">
        <v>23</v>
      </c>
      <c r="D17" s="90" t="s">
        <v>36</v>
      </c>
      <c r="E17" s="96" t="s">
        <v>150</v>
      </c>
      <c r="F17" s="109">
        <f t="shared" ref="F17:F22" si="4">SUM(L17+AD17)</f>
        <v>300</v>
      </c>
      <c r="G17" s="109"/>
      <c r="H17" s="109"/>
      <c r="I17" s="110"/>
      <c r="J17" s="110"/>
      <c r="K17" s="110"/>
      <c r="L17" s="109">
        <f t="shared" si="2"/>
        <v>120</v>
      </c>
      <c r="M17" s="109"/>
      <c r="N17" s="109"/>
      <c r="O17" s="108"/>
      <c r="P17" s="108"/>
      <c r="Q17" s="108"/>
      <c r="R17" s="108"/>
      <c r="S17" s="108"/>
      <c r="T17" s="108"/>
      <c r="U17" s="108">
        <v>120</v>
      </c>
      <c r="V17" s="108"/>
      <c r="W17" s="108"/>
      <c r="X17" s="108"/>
      <c r="Y17" s="108"/>
      <c r="Z17" s="108"/>
      <c r="AA17" s="108"/>
      <c r="AB17" s="108"/>
      <c r="AC17" s="108"/>
      <c r="AD17" s="108">
        <v>180</v>
      </c>
      <c r="AE17" s="108"/>
      <c r="AF17" s="108"/>
      <c r="AG17" s="108">
        <v>2</v>
      </c>
      <c r="AH17" s="108"/>
      <c r="AI17" s="108"/>
      <c r="AJ17" s="108">
        <v>2</v>
      </c>
      <c r="AK17" s="108"/>
      <c r="AL17" s="108"/>
      <c r="AM17" s="108">
        <v>2</v>
      </c>
      <c r="AN17" s="108"/>
      <c r="AO17" s="108"/>
      <c r="AP17" s="108">
        <v>2</v>
      </c>
      <c r="AQ17" s="108"/>
      <c r="AR17" s="108"/>
      <c r="AS17" s="108">
        <v>3</v>
      </c>
      <c r="AT17" s="108"/>
      <c r="AU17" s="108"/>
      <c r="AV17" s="108">
        <v>3</v>
      </c>
      <c r="AW17" s="108"/>
      <c r="AX17" s="108"/>
      <c r="AY17" s="108">
        <v>2</v>
      </c>
      <c r="AZ17" s="108"/>
      <c r="BA17" s="108"/>
      <c r="BB17" s="108">
        <v>2</v>
      </c>
      <c r="BC17" s="108"/>
      <c r="BD17" s="108"/>
      <c r="BE17" s="112">
        <f t="shared" si="3"/>
        <v>10</v>
      </c>
      <c r="BF17" s="112"/>
      <c r="BG17" s="112"/>
      <c r="BH17" s="112"/>
    </row>
    <row r="18" spans="1:60" s="92" customFormat="1" ht="16.5" customHeight="1" x14ac:dyDescent="0.25">
      <c r="A18" s="102">
        <v>3</v>
      </c>
      <c r="B18" s="102">
        <v>3</v>
      </c>
      <c r="C18" s="89" t="s">
        <v>24</v>
      </c>
      <c r="D18" s="90" t="s">
        <v>53</v>
      </c>
      <c r="E18" s="96" t="s">
        <v>151</v>
      </c>
      <c r="F18" s="109">
        <f t="shared" si="4"/>
        <v>150</v>
      </c>
      <c r="G18" s="109"/>
      <c r="H18" s="109"/>
      <c r="I18" s="110"/>
      <c r="J18" s="110"/>
      <c r="K18" s="110"/>
      <c r="L18" s="109">
        <f t="shared" si="2"/>
        <v>60</v>
      </c>
      <c r="M18" s="109"/>
      <c r="N18" s="109"/>
      <c r="O18" s="108">
        <v>20</v>
      </c>
      <c r="P18" s="108"/>
      <c r="Q18" s="108"/>
      <c r="R18" s="108">
        <v>20</v>
      </c>
      <c r="S18" s="108"/>
      <c r="T18" s="108"/>
      <c r="U18" s="108">
        <v>10</v>
      </c>
      <c r="V18" s="108"/>
      <c r="W18" s="108"/>
      <c r="X18" s="108">
        <v>10</v>
      </c>
      <c r="Y18" s="108"/>
      <c r="Z18" s="108"/>
      <c r="AA18" s="108"/>
      <c r="AB18" s="108"/>
      <c r="AC18" s="108"/>
      <c r="AD18" s="108">
        <v>90</v>
      </c>
      <c r="AE18" s="108"/>
      <c r="AF18" s="108"/>
      <c r="AG18" s="108">
        <v>2</v>
      </c>
      <c r="AH18" s="108"/>
      <c r="AI18" s="108"/>
      <c r="AJ18" s="108">
        <v>2</v>
      </c>
      <c r="AK18" s="108"/>
      <c r="AL18" s="108"/>
      <c r="AM18" s="108"/>
      <c r="AN18" s="108"/>
      <c r="AO18" s="108"/>
      <c r="AP18" s="108"/>
      <c r="AQ18" s="108"/>
      <c r="AR18" s="108"/>
      <c r="AS18" s="108">
        <v>3</v>
      </c>
      <c r="AT18" s="108"/>
      <c r="AU18" s="108"/>
      <c r="AV18" s="108">
        <v>2</v>
      </c>
      <c r="AW18" s="108"/>
      <c r="AX18" s="108"/>
      <c r="AY18" s="108"/>
      <c r="AZ18" s="108"/>
      <c r="BA18" s="108"/>
      <c r="BB18" s="108"/>
      <c r="BC18" s="108"/>
      <c r="BD18" s="108"/>
      <c r="BE18" s="112">
        <f t="shared" si="3"/>
        <v>5</v>
      </c>
      <c r="BF18" s="112"/>
      <c r="BG18" s="112"/>
      <c r="BH18" s="112"/>
    </row>
    <row r="19" spans="1:60" ht="16.5" customHeight="1" x14ac:dyDescent="0.25">
      <c r="A19" s="103"/>
      <c r="B19" s="103"/>
      <c r="C19" s="14" t="s">
        <v>27</v>
      </c>
      <c r="D19" s="71" t="s">
        <v>34</v>
      </c>
      <c r="E19" s="96" t="s">
        <v>151</v>
      </c>
      <c r="F19" s="106">
        <f>SUM(L19+AD19)</f>
        <v>90</v>
      </c>
      <c r="G19" s="106"/>
      <c r="H19" s="106"/>
      <c r="I19" s="127"/>
      <c r="J19" s="127"/>
      <c r="K19" s="127"/>
      <c r="L19" s="106">
        <f>SUM(AG19+AJ19+AM19+AP19)*15</f>
        <v>30</v>
      </c>
      <c r="M19" s="106"/>
      <c r="N19" s="106"/>
      <c r="O19" s="104">
        <v>10</v>
      </c>
      <c r="P19" s="104"/>
      <c r="Q19" s="104"/>
      <c r="R19" s="104">
        <v>10</v>
      </c>
      <c r="S19" s="104"/>
      <c r="T19" s="104"/>
      <c r="U19" s="104"/>
      <c r="V19" s="104"/>
      <c r="W19" s="104"/>
      <c r="X19" s="104">
        <v>10</v>
      </c>
      <c r="Y19" s="104"/>
      <c r="Z19" s="104"/>
      <c r="AA19" s="104"/>
      <c r="AB19" s="104"/>
      <c r="AC19" s="104"/>
      <c r="AD19" s="104">
        <v>60</v>
      </c>
      <c r="AE19" s="104"/>
      <c r="AF19" s="104"/>
      <c r="AG19" s="104">
        <v>2</v>
      </c>
      <c r="AH19" s="104"/>
      <c r="AI19" s="104"/>
      <c r="AJ19" s="104"/>
      <c r="AK19" s="104"/>
      <c r="AL19" s="104"/>
      <c r="AM19" s="104"/>
      <c r="AN19" s="104"/>
      <c r="AO19" s="104"/>
      <c r="AP19" s="104"/>
      <c r="AQ19" s="104"/>
      <c r="AR19" s="104"/>
      <c r="AS19" s="104">
        <v>3</v>
      </c>
      <c r="AT19" s="104"/>
      <c r="AU19" s="104"/>
      <c r="AV19" s="104"/>
      <c r="AW19" s="104"/>
      <c r="AX19" s="104"/>
      <c r="AY19" s="104"/>
      <c r="AZ19" s="104"/>
      <c r="BA19" s="104"/>
      <c r="BB19" s="104"/>
      <c r="BC19" s="104"/>
      <c r="BD19" s="104"/>
      <c r="BE19" s="105">
        <f>SUM(F19/30)</f>
        <v>3</v>
      </c>
      <c r="BF19" s="105"/>
      <c r="BG19" s="105"/>
      <c r="BH19" s="105"/>
    </row>
    <row r="20" spans="1:60" s="92" customFormat="1" ht="16.5" customHeight="1" x14ac:dyDescent="0.25">
      <c r="A20" s="102">
        <v>4</v>
      </c>
      <c r="B20" s="102">
        <v>4</v>
      </c>
      <c r="C20" s="89" t="s">
        <v>25</v>
      </c>
      <c r="D20" s="90" t="s">
        <v>219</v>
      </c>
      <c r="E20" s="96" t="s">
        <v>152</v>
      </c>
      <c r="F20" s="109">
        <f t="shared" si="4"/>
        <v>150</v>
      </c>
      <c r="G20" s="109"/>
      <c r="H20" s="109"/>
      <c r="I20" s="110"/>
      <c r="J20" s="110"/>
      <c r="K20" s="110"/>
      <c r="L20" s="109">
        <f t="shared" si="2"/>
        <v>60</v>
      </c>
      <c r="M20" s="109"/>
      <c r="N20" s="109"/>
      <c r="O20" s="108">
        <v>20</v>
      </c>
      <c r="P20" s="108"/>
      <c r="Q20" s="108"/>
      <c r="R20" s="108">
        <v>20</v>
      </c>
      <c r="S20" s="108"/>
      <c r="T20" s="108"/>
      <c r="U20" s="108">
        <v>10</v>
      </c>
      <c r="V20" s="108"/>
      <c r="W20" s="108"/>
      <c r="X20" s="108">
        <v>10</v>
      </c>
      <c r="Y20" s="108"/>
      <c r="Z20" s="108"/>
      <c r="AA20" s="109"/>
      <c r="AB20" s="109"/>
      <c r="AC20" s="109"/>
      <c r="AD20" s="108">
        <v>90</v>
      </c>
      <c r="AE20" s="108"/>
      <c r="AF20" s="108"/>
      <c r="AG20" s="108"/>
      <c r="AH20" s="108"/>
      <c r="AI20" s="108"/>
      <c r="AJ20" s="108"/>
      <c r="AK20" s="108"/>
      <c r="AL20" s="108"/>
      <c r="AM20" s="108">
        <v>2</v>
      </c>
      <c r="AN20" s="108"/>
      <c r="AO20" s="108"/>
      <c r="AP20" s="108">
        <v>2</v>
      </c>
      <c r="AQ20" s="108"/>
      <c r="AR20" s="108"/>
      <c r="AS20" s="108"/>
      <c r="AT20" s="108"/>
      <c r="AU20" s="108"/>
      <c r="AV20" s="108"/>
      <c r="AW20" s="108"/>
      <c r="AX20" s="108"/>
      <c r="AY20" s="108">
        <v>2</v>
      </c>
      <c r="AZ20" s="108"/>
      <c r="BA20" s="108"/>
      <c r="BB20" s="108">
        <v>3</v>
      </c>
      <c r="BC20" s="108"/>
      <c r="BD20" s="108"/>
      <c r="BE20" s="112">
        <f t="shared" si="3"/>
        <v>5</v>
      </c>
      <c r="BF20" s="112"/>
      <c r="BG20" s="112"/>
      <c r="BH20" s="112"/>
    </row>
    <row r="21" spans="1:60" ht="16.5" customHeight="1" x14ac:dyDescent="0.25">
      <c r="A21" s="103"/>
      <c r="B21" s="103"/>
      <c r="C21" s="14" t="s">
        <v>28</v>
      </c>
      <c r="D21" s="71" t="s">
        <v>37</v>
      </c>
      <c r="E21" s="96" t="s">
        <v>152</v>
      </c>
      <c r="F21" s="106">
        <f>SUM(L21+AD21)</f>
        <v>90</v>
      </c>
      <c r="G21" s="106"/>
      <c r="H21" s="106"/>
      <c r="I21" s="127"/>
      <c r="J21" s="127"/>
      <c r="K21" s="127"/>
      <c r="L21" s="106">
        <f>SUM(AG21+AJ21+AM21+AP21)*15</f>
        <v>30</v>
      </c>
      <c r="M21" s="106"/>
      <c r="N21" s="106"/>
      <c r="O21" s="104">
        <v>10</v>
      </c>
      <c r="P21" s="104"/>
      <c r="Q21" s="104"/>
      <c r="R21" s="104">
        <v>10</v>
      </c>
      <c r="S21" s="104"/>
      <c r="T21" s="104"/>
      <c r="U21" s="104"/>
      <c r="V21" s="104"/>
      <c r="W21" s="104"/>
      <c r="X21" s="104">
        <v>10</v>
      </c>
      <c r="Y21" s="104"/>
      <c r="Z21" s="104"/>
      <c r="AA21" s="104"/>
      <c r="AB21" s="104"/>
      <c r="AC21" s="104"/>
      <c r="AD21" s="104">
        <v>60</v>
      </c>
      <c r="AE21" s="104"/>
      <c r="AF21" s="104"/>
      <c r="AG21" s="104">
        <v>2</v>
      </c>
      <c r="AH21" s="104"/>
      <c r="AI21" s="104"/>
      <c r="AJ21" s="104"/>
      <c r="AK21" s="104"/>
      <c r="AL21" s="104"/>
      <c r="AM21" s="104"/>
      <c r="AN21" s="104"/>
      <c r="AO21" s="104"/>
      <c r="AP21" s="104"/>
      <c r="AQ21" s="104"/>
      <c r="AR21" s="104"/>
      <c r="AS21" s="104">
        <v>3</v>
      </c>
      <c r="AT21" s="104"/>
      <c r="AU21" s="104"/>
      <c r="AV21" s="104"/>
      <c r="AW21" s="104"/>
      <c r="AX21" s="104"/>
      <c r="AY21" s="104"/>
      <c r="AZ21" s="104"/>
      <c r="BA21" s="104"/>
      <c r="BB21" s="104"/>
      <c r="BC21" s="104"/>
      <c r="BD21" s="104"/>
      <c r="BE21" s="105">
        <f>SUM(F21/30)</f>
        <v>3</v>
      </c>
      <c r="BF21" s="105"/>
      <c r="BG21" s="105"/>
      <c r="BH21" s="105"/>
    </row>
    <row r="22" spans="1:60" s="92" customFormat="1" ht="16.5" customHeight="1" x14ac:dyDescent="0.25">
      <c r="A22" s="102">
        <v>5</v>
      </c>
      <c r="B22" s="102">
        <v>5</v>
      </c>
      <c r="C22" s="89" t="s">
        <v>26</v>
      </c>
      <c r="D22" s="90" t="s">
        <v>218</v>
      </c>
      <c r="E22" s="96" t="s">
        <v>153</v>
      </c>
      <c r="F22" s="109">
        <f t="shared" si="4"/>
        <v>150</v>
      </c>
      <c r="G22" s="109"/>
      <c r="H22" s="109"/>
      <c r="I22" s="110"/>
      <c r="J22" s="110"/>
      <c r="K22" s="110"/>
      <c r="L22" s="109">
        <f t="shared" si="2"/>
        <v>60</v>
      </c>
      <c r="M22" s="109"/>
      <c r="N22" s="109"/>
      <c r="O22" s="108">
        <v>20</v>
      </c>
      <c r="P22" s="108"/>
      <c r="Q22" s="108"/>
      <c r="R22" s="108">
        <v>20</v>
      </c>
      <c r="S22" s="108"/>
      <c r="T22" s="108"/>
      <c r="U22" s="108">
        <v>10</v>
      </c>
      <c r="V22" s="108"/>
      <c r="W22" s="108"/>
      <c r="X22" s="108">
        <v>10</v>
      </c>
      <c r="Y22" s="108"/>
      <c r="Z22" s="108"/>
      <c r="AA22" s="109"/>
      <c r="AB22" s="109"/>
      <c r="AC22" s="109"/>
      <c r="AD22" s="108">
        <v>90</v>
      </c>
      <c r="AE22" s="108"/>
      <c r="AF22" s="108"/>
      <c r="AG22" s="108"/>
      <c r="AH22" s="108"/>
      <c r="AI22" s="108"/>
      <c r="AJ22" s="108"/>
      <c r="AK22" s="108"/>
      <c r="AL22" s="108"/>
      <c r="AM22" s="108">
        <v>2</v>
      </c>
      <c r="AN22" s="108"/>
      <c r="AO22" s="108"/>
      <c r="AP22" s="108">
        <v>2</v>
      </c>
      <c r="AQ22" s="108"/>
      <c r="AR22" s="108"/>
      <c r="AS22" s="108"/>
      <c r="AT22" s="108"/>
      <c r="AU22" s="108"/>
      <c r="AV22" s="108"/>
      <c r="AW22" s="108"/>
      <c r="AX22" s="108"/>
      <c r="AY22" s="108">
        <v>2</v>
      </c>
      <c r="AZ22" s="108"/>
      <c r="BA22" s="108"/>
      <c r="BB22" s="108">
        <v>3</v>
      </c>
      <c r="BC22" s="108"/>
      <c r="BD22" s="108"/>
      <c r="BE22" s="112">
        <f t="shared" si="3"/>
        <v>5</v>
      </c>
      <c r="BF22" s="112"/>
      <c r="BG22" s="112"/>
      <c r="BH22" s="112"/>
    </row>
    <row r="23" spans="1:60" ht="16.5" customHeight="1" x14ac:dyDescent="0.25">
      <c r="A23" s="103"/>
      <c r="B23" s="103"/>
      <c r="C23" s="14" t="s">
        <v>29</v>
      </c>
      <c r="D23" s="71" t="s">
        <v>38</v>
      </c>
      <c r="E23" s="96" t="s">
        <v>153</v>
      </c>
      <c r="F23" s="106">
        <f>SUM(L23+AD23)</f>
        <v>90</v>
      </c>
      <c r="G23" s="106"/>
      <c r="H23" s="106"/>
      <c r="I23" s="127"/>
      <c r="J23" s="127"/>
      <c r="K23" s="127"/>
      <c r="L23" s="106">
        <f>SUM(AG23+AJ23+AM23+AP23)*15</f>
        <v>30</v>
      </c>
      <c r="M23" s="106"/>
      <c r="N23" s="106"/>
      <c r="O23" s="104">
        <v>10</v>
      </c>
      <c r="P23" s="104"/>
      <c r="Q23" s="104"/>
      <c r="R23" s="104">
        <v>10</v>
      </c>
      <c r="S23" s="104"/>
      <c r="T23" s="104"/>
      <c r="U23" s="104"/>
      <c r="V23" s="104"/>
      <c r="W23" s="104"/>
      <c r="X23" s="104">
        <v>10</v>
      </c>
      <c r="Y23" s="104"/>
      <c r="Z23" s="104"/>
      <c r="AA23" s="104"/>
      <c r="AB23" s="104"/>
      <c r="AC23" s="104"/>
      <c r="AD23" s="104">
        <v>60</v>
      </c>
      <c r="AE23" s="104"/>
      <c r="AF23" s="104"/>
      <c r="AG23" s="104">
        <v>2</v>
      </c>
      <c r="AH23" s="104"/>
      <c r="AI23" s="104"/>
      <c r="AJ23" s="104"/>
      <c r="AK23" s="104"/>
      <c r="AL23" s="104"/>
      <c r="AM23" s="104"/>
      <c r="AN23" s="104"/>
      <c r="AO23" s="104"/>
      <c r="AP23" s="104"/>
      <c r="AQ23" s="104"/>
      <c r="AR23" s="104"/>
      <c r="AS23" s="104">
        <v>3</v>
      </c>
      <c r="AT23" s="104"/>
      <c r="AU23" s="104"/>
      <c r="AV23" s="104"/>
      <c r="AW23" s="104"/>
      <c r="AX23" s="104"/>
      <c r="AY23" s="104"/>
      <c r="AZ23" s="104"/>
      <c r="BA23" s="104"/>
      <c r="BB23" s="104"/>
      <c r="BC23" s="104"/>
      <c r="BD23" s="104"/>
      <c r="BE23" s="105">
        <f>SUM(F23/30)</f>
        <v>3</v>
      </c>
      <c r="BF23" s="105"/>
      <c r="BG23" s="105"/>
      <c r="BH23" s="105"/>
    </row>
    <row r="24" spans="1:60" s="92" customFormat="1" ht="16.5" customHeight="1" x14ac:dyDescent="0.25">
      <c r="A24" s="88">
        <v>6</v>
      </c>
      <c r="B24" s="88">
        <v>6</v>
      </c>
      <c r="C24" s="89" t="s">
        <v>27</v>
      </c>
      <c r="D24" s="90" t="s">
        <v>55</v>
      </c>
      <c r="E24" s="96" t="s">
        <v>154</v>
      </c>
      <c r="F24" s="109">
        <f>SUM(L24+AD24)</f>
        <v>90</v>
      </c>
      <c r="G24" s="109"/>
      <c r="H24" s="109"/>
      <c r="I24" s="110"/>
      <c r="J24" s="110"/>
      <c r="K24" s="110"/>
      <c r="L24" s="109">
        <f t="shared" si="2"/>
        <v>30</v>
      </c>
      <c r="M24" s="109"/>
      <c r="N24" s="109"/>
      <c r="O24" s="108">
        <v>10</v>
      </c>
      <c r="P24" s="108"/>
      <c r="Q24" s="108"/>
      <c r="R24" s="108">
        <v>10</v>
      </c>
      <c r="S24" s="108"/>
      <c r="T24" s="108"/>
      <c r="U24" s="108"/>
      <c r="V24" s="108"/>
      <c r="W24" s="108"/>
      <c r="X24" s="108">
        <v>10</v>
      </c>
      <c r="Y24" s="108"/>
      <c r="Z24" s="108"/>
      <c r="AA24" s="109"/>
      <c r="AB24" s="109"/>
      <c r="AC24" s="109"/>
      <c r="AD24" s="108">
        <v>60</v>
      </c>
      <c r="AE24" s="108"/>
      <c r="AF24" s="108"/>
      <c r="AG24" s="108"/>
      <c r="AH24" s="108"/>
      <c r="AI24" s="108"/>
      <c r="AJ24" s="108"/>
      <c r="AK24" s="108"/>
      <c r="AL24" s="108"/>
      <c r="AM24" s="108">
        <v>2</v>
      </c>
      <c r="AN24" s="108"/>
      <c r="AO24" s="108"/>
      <c r="AP24" s="108"/>
      <c r="AQ24" s="108"/>
      <c r="AR24" s="108"/>
      <c r="AS24" s="108"/>
      <c r="AT24" s="108"/>
      <c r="AU24" s="108"/>
      <c r="AV24" s="108"/>
      <c r="AW24" s="108"/>
      <c r="AX24" s="108"/>
      <c r="AY24" s="108">
        <v>3</v>
      </c>
      <c r="AZ24" s="108"/>
      <c r="BA24" s="108"/>
      <c r="BB24" s="108"/>
      <c r="BC24" s="108"/>
      <c r="BD24" s="108"/>
      <c r="BE24" s="112">
        <f t="shared" si="3"/>
        <v>3</v>
      </c>
      <c r="BF24" s="112"/>
      <c r="BG24" s="112"/>
      <c r="BH24" s="112"/>
    </row>
    <row r="25" spans="1:60" ht="16.5" customHeight="1" x14ac:dyDescent="0.25">
      <c r="A25" s="102">
        <v>7</v>
      </c>
      <c r="B25" s="102">
        <v>7</v>
      </c>
      <c r="C25" s="14" t="s">
        <v>29</v>
      </c>
      <c r="D25" s="71" t="s">
        <v>41</v>
      </c>
      <c r="E25" s="97" t="s">
        <v>155</v>
      </c>
      <c r="F25" s="106">
        <f>SUM(L25+AD25)</f>
        <v>90</v>
      </c>
      <c r="G25" s="106"/>
      <c r="H25" s="106"/>
      <c r="I25" s="127"/>
      <c r="J25" s="127"/>
      <c r="K25" s="127"/>
      <c r="L25" s="106">
        <f>SUM(AG25+AJ25+AM25+AP25)*15</f>
        <v>30</v>
      </c>
      <c r="M25" s="106"/>
      <c r="N25" s="106"/>
      <c r="O25" s="104"/>
      <c r="P25" s="104"/>
      <c r="Q25" s="104"/>
      <c r="R25" s="104">
        <v>30</v>
      </c>
      <c r="S25" s="104"/>
      <c r="T25" s="104"/>
      <c r="U25" s="104"/>
      <c r="V25" s="104"/>
      <c r="W25" s="104"/>
      <c r="X25" s="104"/>
      <c r="Y25" s="104"/>
      <c r="Z25" s="104"/>
      <c r="AA25" s="130"/>
      <c r="AB25" s="130"/>
      <c r="AC25" s="130"/>
      <c r="AD25" s="104">
        <v>60</v>
      </c>
      <c r="AE25" s="104"/>
      <c r="AF25" s="104"/>
      <c r="AG25" s="104"/>
      <c r="AH25" s="104"/>
      <c r="AI25" s="104"/>
      <c r="AJ25" s="104"/>
      <c r="AK25" s="104"/>
      <c r="AL25" s="104"/>
      <c r="AM25" s="104">
        <v>2</v>
      </c>
      <c r="AN25" s="104"/>
      <c r="AO25" s="104"/>
      <c r="AP25" s="104"/>
      <c r="AQ25" s="104"/>
      <c r="AR25" s="104"/>
      <c r="AS25" s="104"/>
      <c r="AT25" s="104"/>
      <c r="AU25" s="104"/>
      <c r="AV25" s="104"/>
      <c r="AW25" s="104"/>
      <c r="AX25" s="104"/>
      <c r="AY25" s="104">
        <v>3</v>
      </c>
      <c r="AZ25" s="104"/>
      <c r="BA25" s="104"/>
      <c r="BB25" s="104"/>
      <c r="BC25" s="104"/>
      <c r="BD25" s="104"/>
      <c r="BE25" s="105">
        <f>SUM(F25/30)</f>
        <v>3</v>
      </c>
      <c r="BF25" s="105"/>
      <c r="BG25" s="105"/>
      <c r="BH25" s="105"/>
    </row>
    <row r="26" spans="1:60" s="92" customFormat="1" ht="16.5" customHeight="1" x14ac:dyDescent="0.25">
      <c r="A26" s="103"/>
      <c r="B26" s="103"/>
      <c r="C26" s="89" t="s">
        <v>28</v>
      </c>
      <c r="D26" s="90" t="s">
        <v>54</v>
      </c>
      <c r="E26" s="97" t="s">
        <v>155</v>
      </c>
      <c r="F26" s="109">
        <f t="shared" ref="F26" si="5">SUM(L26+AD26)</f>
        <v>150</v>
      </c>
      <c r="G26" s="109"/>
      <c r="H26" s="109"/>
      <c r="I26" s="128"/>
      <c r="J26" s="128"/>
      <c r="K26" s="128"/>
      <c r="L26" s="109">
        <f>SUM(AG26+AJ26+AM26+AP26)*15</f>
        <v>60</v>
      </c>
      <c r="M26" s="109"/>
      <c r="N26" s="109"/>
      <c r="O26" s="108"/>
      <c r="P26" s="108"/>
      <c r="Q26" s="108"/>
      <c r="R26" s="108">
        <v>60</v>
      </c>
      <c r="S26" s="108"/>
      <c r="T26" s="108"/>
      <c r="U26" s="108"/>
      <c r="V26" s="108"/>
      <c r="W26" s="108"/>
      <c r="X26" s="108"/>
      <c r="Y26" s="108"/>
      <c r="Z26" s="108"/>
      <c r="AA26" s="126"/>
      <c r="AB26" s="126"/>
      <c r="AC26" s="126"/>
      <c r="AD26" s="108">
        <v>90</v>
      </c>
      <c r="AE26" s="108"/>
      <c r="AF26" s="108"/>
      <c r="AG26" s="108">
        <v>4</v>
      </c>
      <c r="AH26" s="108"/>
      <c r="AI26" s="108"/>
      <c r="AJ26" s="108"/>
      <c r="AK26" s="108"/>
      <c r="AL26" s="108"/>
      <c r="AM26" s="108"/>
      <c r="AN26" s="108"/>
      <c r="AO26" s="108"/>
      <c r="AP26" s="108"/>
      <c r="AQ26" s="108"/>
      <c r="AR26" s="108"/>
      <c r="AS26" s="108">
        <v>5</v>
      </c>
      <c r="AT26" s="108"/>
      <c r="AU26" s="108"/>
      <c r="AV26" s="108"/>
      <c r="AW26" s="108"/>
      <c r="AX26" s="108"/>
      <c r="AY26" s="108"/>
      <c r="AZ26" s="108"/>
      <c r="BA26" s="108"/>
      <c r="BB26" s="108"/>
      <c r="BC26" s="108"/>
      <c r="BD26" s="108"/>
      <c r="BE26" s="112">
        <f>SUM(F26/30)</f>
        <v>5</v>
      </c>
      <c r="BF26" s="112"/>
      <c r="BG26" s="112"/>
      <c r="BH26" s="112"/>
    </row>
    <row r="27" spans="1:60" s="92" customFormat="1" ht="15" customHeight="1" x14ac:dyDescent="0.25">
      <c r="A27" s="102">
        <v>8</v>
      </c>
      <c r="B27" s="102">
        <v>8</v>
      </c>
      <c r="C27" s="89" t="s">
        <v>30</v>
      </c>
      <c r="D27" s="90" t="s">
        <v>47</v>
      </c>
      <c r="E27" s="97" t="s">
        <v>156</v>
      </c>
      <c r="F27" s="109">
        <f>SUM(L27+AD27)</f>
        <v>90</v>
      </c>
      <c r="G27" s="109"/>
      <c r="H27" s="109"/>
      <c r="I27" s="110"/>
      <c r="J27" s="110"/>
      <c r="K27" s="110"/>
      <c r="L27" s="109">
        <f>SUM(AG27+AJ27+AM27+AP27)*15</f>
        <v>30</v>
      </c>
      <c r="M27" s="109"/>
      <c r="N27" s="109"/>
      <c r="O27" s="108">
        <v>16</v>
      </c>
      <c r="P27" s="108"/>
      <c r="Q27" s="108"/>
      <c r="R27" s="108">
        <v>6</v>
      </c>
      <c r="S27" s="108"/>
      <c r="T27" s="108"/>
      <c r="U27" s="108"/>
      <c r="V27" s="108"/>
      <c r="W27" s="108"/>
      <c r="X27" s="108">
        <v>8</v>
      </c>
      <c r="Y27" s="108"/>
      <c r="Z27" s="108"/>
      <c r="AA27" s="109"/>
      <c r="AB27" s="109"/>
      <c r="AC27" s="109"/>
      <c r="AD27" s="108">
        <v>60</v>
      </c>
      <c r="AE27" s="108"/>
      <c r="AF27" s="108"/>
      <c r="AG27" s="108">
        <v>2</v>
      </c>
      <c r="AH27" s="108"/>
      <c r="AI27" s="108"/>
      <c r="AJ27" s="108"/>
      <c r="AK27" s="108"/>
      <c r="AL27" s="108"/>
      <c r="AM27" s="108"/>
      <c r="AN27" s="108"/>
      <c r="AO27" s="108"/>
      <c r="AP27" s="108"/>
      <c r="AQ27" s="108"/>
      <c r="AR27" s="108"/>
      <c r="AS27" s="108">
        <v>3</v>
      </c>
      <c r="AT27" s="108"/>
      <c r="AU27" s="108"/>
      <c r="AV27" s="108"/>
      <c r="AW27" s="108"/>
      <c r="AX27" s="108"/>
      <c r="AY27" s="108"/>
      <c r="AZ27" s="108"/>
      <c r="BA27" s="108"/>
      <c r="BB27" s="108"/>
      <c r="BC27" s="108"/>
      <c r="BD27" s="108"/>
      <c r="BE27" s="112">
        <f>SUM(F27/30)</f>
        <v>3</v>
      </c>
      <c r="BF27" s="112"/>
      <c r="BG27" s="112"/>
      <c r="BH27" s="112"/>
    </row>
    <row r="28" spans="1:60" s="92" customFormat="1" ht="16.5" customHeight="1" x14ac:dyDescent="0.25">
      <c r="A28" s="103"/>
      <c r="B28" s="103"/>
      <c r="C28" s="89" t="s">
        <v>29</v>
      </c>
      <c r="D28" s="90" t="s">
        <v>48</v>
      </c>
      <c r="E28" s="97" t="s">
        <v>156</v>
      </c>
      <c r="F28" s="109">
        <f>SUM(L28+AD28)</f>
        <v>150</v>
      </c>
      <c r="G28" s="109"/>
      <c r="H28" s="109"/>
      <c r="I28" s="110"/>
      <c r="J28" s="110"/>
      <c r="K28" s="110"/>
      <c r="L28" s="109">
        <f t="shared" si="2"/>
        <v>60</v>
      </c>
      <c r="M28" s="109"/>
      <c r="N28" s="109"/>
      <c r="O28" s="108">
        <v>32</v>
      </c>
      <c r="P28" s="108"/>
      <c r="Q28" s="108"/>
      <c r="R28" s="108">
        <v>12</v>
      </c>
      <c r="S28" s="108"/>
      <c r="T28" s="108"/>
      <c r="U28" s="108"/>
      <c r="V28" s="108"/>
      <c r="W28" s="108"/>
      <c r="X28" s="108">
        <v>16</v>
      </c>
      <c r="Y28" s="108"/>
      <c r="Z28" s="108"/>
      <c r="AA28" s="109"/>
      <c r="AB28" s="109"/>
      <c r="AC28" s="109"/>
      <c r="AD28" s="108">
        <v>90</v>
      </c>
      <c r="AE28" s="108"/>
      <c r="AF28" s="108"/>
      <c r="AG28" s="108">
        <v>4</v>
      </c>
      <c r="AH28" s="108"/>
      <c r="AI28" s="108"/>
      <c r="AJ28" s="108"/>
      <c r="AK28" s="108"/>
      <c r="AL28" s="108"/>
      <c r="AM28" s="108"/>
      <c r="AN28" s="108"/>
      <c r="AO28" s="108"/>
      <c r="AP28" s="108"/>
      <c r="AQ28" s="108"/>
      <c r="AR28" s="108"/>
      <c r="AS28" s="108">
        <v>5</v>
      </c>
      <c r="AT28" s="108"/>
      <c r="AU28" s="108"/>
      <c r="AV28" s="108"/>
      <c r="AW28" s="108"/>
      <c r="AX28" s="108"/>
      <c r="AY28" s="108"/>
      <c r="AZ28" s="108"/>
      <c r="BA28" s="108"/>
      <c r="BB28" s="108"/>
      <c r="BC28" s="108"/>
      <c r="BD28" s="108"/>
      <c r="BE28" s="112">
        <f t="shared" si="3"/>
        <v>5</v>
      </c>
      <c r="BF28" s="112"/>
      <c r="BG28" s="112"/>
      <c r="BH28" s="112"/>
    </row>
    <row r="29" spans="1:60" s="92" customFormat="1" ht="16.5" customHeight="1" x14ac:dyDescent="0.25">
      <c r="A29" s="102">
        <v>9</v>
      </c>
      <c r="B29" s="102">
        <v>9</v>
      </c>
      <c r="C29" s="89" t="s">
        <v>30</v>
      </c>
      <c r="D29" s="90" t="s">
        <v>35</v>
      </c>
      <c r="E29" s="97" t="s">
        <v>157</v>
      </c>
      <c r="F29" s="109">
        <f>SUM(L29+AD29)</f>
        <v>150</v>
      </c>
      <c r="G29" s="109"/>
      <c r="H29" s="109"/>
      <c r="I29" s="110"/>
      <c r="J29" s="110"/>
      <c r="K29" s="110"/>
      <c r="L29" s="109">
        <f t="shared" si="2"/>
        <v>60</v>
      </c>
      <c r="M29" s="109"/>
      <c r="N29" s="109"/>
      <c r="O29" s="108">
        <v>32</v>
      </c>
      <c r="P29" s="108"/>
      <c r="Q29" s="108"/>
      <c r="R29" s="108">
        <v>12</v>
      </c>
      <c r="S29" s="108"/>
      <c r="T29" s="108"/>
      <c r="U29" s="108"/>
      <c r="V29" s="108"/>
      <c r="W29" s="108"/>
      <c r="X29" s="108">
        <v>16</v>
      </c>
      <c r="Y29" s="108"/>
      <c r="Z29" s="108"/>
      <c r="AA29" s="109"/>
      <c r="AB29" s="109"/>
      <c r="AC29" s="109"/>
      <c r="AD29" s="108">
        <v>90</v>
      </c>
      <c r="AE29" s="108"/>
      <c r="AF29" s="108"/>
      <c r="AG29" s="108">
        <v>2</v>
      </c>
      <c r="AH29" s="108"/>
      <c r="AI29" s="108"/>
      <c r="AJ29" s="108">
        <v>2</v>
      </c>
      <c r="AK29" s="108"/>
      <c r="AL29" s="108"/>
      <c r="AM29" s="108"/>
      <c r="AN29" s="108"/>
      <c r="AO29" s="108"/>
      <c r="AP29" s="108"/>
      <c r="AQ29" s="108"/>
      <c r="AR29" s="108"/>
      <c r="AS29" s="108">
        <v>3</v>
      </c>
      <c r="AT29" s="108"/>
      <c r="AU29" s="108"/>
      <c r="AV29" s="108">
        <v>2</v>
      </c>
      <c r="AW29" s="108"/>
      <c r="AX29" s="108"/>
      <c r="AY29" s="108"/>
      <c r="AZ29" s="108"/>
      <c r="BA29" s="108"/>
      <c r="BB29" s="108"/>
      <c r="BC29" s="108"/>
      <c r="BD29" s="108"/>
      <c r="BE29" s="112">
        <f t="shared" si="3"/>
        <v>5</v>
      </c>
      <c r="BF29" s="112"/>
      <c r="BG29" s="112"/>
      <c r="BH29" s="112"/>
    </row>
    <row r="30" spans="1:60" s="92" customFormat="1" ht="16.5" customHeight="1" x14ac:dyDescent="0.25">
      <c r="A30" s="103"/>
      <c r="B30" s="103"/>
      <c r="C30" s="89" t="s">
        <v>28</v>
      </c>
      <c r="D30" s="90" t="s">
        <v>223</v>
      </c>
      <c r="E30" s="97" t="s">
        <v>157</v>
      </c>
      <c r="F30" s="109">
        <f>SUM(L30+AD30)</f>
        <v>90</v>
      </c>
      <c r="G30" s="109"/>
      <c r="H30" s="109"/>
      <c r="I30" s="110"/>
      <c r="J30" s="110"/>
      <c r="K30" s="110"/>
      <c r="L30" s="109">
        <f>SUM(AG30+AJ30+AM30+AP30)*15</f>
        <v>30</v>
      </c>
      <c r="M30" s="109"/>
      <c r="N30" s="109"/>
      <c r="O30" s="108">
        <v>16</v>
      </c>
      <c r="P30" s="108"/>
      <c r="Q30" s="108"/>
      <c r="R30" s="108">
        <v>6</v>
      </c>
      <c r="S30" s="108"/>
      <c r="T30" s="108"/>
      <c r="U30" s="108"/>
      <c r="V30" s="108"/>
      <c r="W30" s="108"/>
      <c r="X30" s="108">
        <v>8</v>
      </c>
      <c r="Y30" s="108"/>
      <c r="Z30" s="108"/>
      <c r="AA30" s="109"/>
      <c r="AB30" s="109"/>
      <c r="AC30" s="109"/>
      <c r="AD30" s="108">
        <v>60</v>
      </c>
      <c r="AE30" s="108"/>
      <c r="AF30" s="108"/>
      <c r="AG30" s="108"/>
      <c r="AH30" s="108"/>
      <c r="AI30" s="108"/>
      <c r="AJ30" s="108"/>
      <c r="AK30" s="108"/>
      <c r="AL30" s="108"/>
      <c r="AM30" s="108">
        <v>2</v>
      </c>
      <c r="AN30" s="108"/>
      <c r="AO30" s="108"/>
      <c r="AP30" s="108"/>
      <c r="AQ30" s="108"/>
      <c r="AR30" s="108"/>
      <c r="AS30" s="108"/>
      <c r="AT30" s="108"/>
      <c r="AU30" s="108"/>
      <c r="AV30" s="108"/>
      <c r="AW30" s="108"/>
      <c r="AX30" s="108"/>
      <c r="AY30" s="108">
        <v>3</v>
      </c>
      <c r="AZ30" s="108"/>
      <c r="BA30" s="108"/>
      <c r="BB30" s="108"/>
      <c r="BC30" s="108"/>
      <c r="BD30" s="108"/>
      <c r="BE30" s="112">
        <f>SUM(F30/30)</f>
        <v>3</v>
      </c>
      <c r="BF30" s="112"/>
      <c r="BG30" s="112"/>
      <c r="BH30" s="112"/>
    </row>
    <row r="31" spans="1:60" s="92" customFormat="1" ht="16.5" customHeight="1" x14ac:dyDescent="0.25">
      <c r="A31" s="99">
        <v>10</v>
      </c>
      <c r="B31" s="99">
        <v>10</v>
      </c>
      <c r="C31" s="89" t="s">
        <v>7</v>
      </c>
      <c r="D31" s="98" t="s">
        <v>31</v>
      </c>
      <c r="E31" s="97" t="s">
        <v>142</v>
      </c>
      <c r="F31" s="109">
        <f>SUM(L31+AD31)</f>
        <v>90</v>
      </c>
      <c r="G31" s="109"/>
      <c r="H31" s="109"/>
      <c r="I31" s="110"/>
      <c r="J31" s="110"/>
      <c r="K31" s="110"/>
      <c r="L31" s="109">
        <f>SUM(AG31+AJ31+AM31+AP31)*15</f>
        <v>30</v>
      </c>
      <c r="M31" s="109"/>
      <c r="N31" s="109"/>
      <c r="O31" s="108">
        <v>16</v>
      </c>
      <c r="P31" s="108"/>
      <c r="Q31" s="108"/>
      <c r="R31" s="108">
        <v>14</v>
      </c>
      <c r="S31" s="108"/>
      <c r="T31" s="108"/>
      <c r="U31" s="108"/>
      <c r="V31" s="108"/>
      <c r="W31" s="108"/>
      <c r="X31" s="108"/>
      <c r="Y31" s="108"/>
      <c r="Z31" s="108"/>
      <c r="AA31" s="108"/>
      <c r="AB31" s="108"/>
      <c r="AC31" s="108"/>
      <c r="AD31" s="108">
        <v>60</v>
      </c>
      <c r="AE31" s="108"/>
      <c r="AF31" s="108"/>
      <c r="AG31" s="108">
        <v>2</v>
      </c>
      <c r="AH31" s="108"/>
      <c r="AI31" s="108"/>
      <c r="AJ31" s="108"/>
      <c r="AK31" s="108"/>
      <c r="AL31" s="108"/>
      <c r="AM31" s="108"/>
      <c r="AN31" s="108"/>
      <c r="AO31" s="108"/>
      <c r="AP31" s="108"/>
      <c r="AQ31" s="108"/>
      <c r="AR31" s="108"/>
      <c r="AS31" s="108">
        <v>3</v>
      </c>
      <c r="AT31" s="108"/>
      <c r="AU31" s="108"/>
      <c r="AV31" s="108"/>
      <c r="AW31" s="108"/>
      <c r="AX31" s="108"/>
      <c r="AY31" s="108"/>
      <c r="AZ31" s="108"/>
      <c r="BA31" s="108"/>
      <c r="BB31" s="108"/>
      <c r="BC31" s="108"/>
      <c r="BD31" s="108"/>
      <c r="BE31" s="112">
        <f>SUM(F31/30)</f>
        <v>3</v>
      </c>
      <c r="BF31" s="112"/>
      <c r="BG31" s="112"/>
      <c r="BH31" s="112"/>
    </row>
    <row r="32" spans="1:60" ht="16.5" customHeight="1" x14ac:dyDescent="0.25">
      <c r="A32" s="113" t="s">
        <v>181</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c r="AO32" s="113"/>
      <c r="AP32" s="113"/>
      <c r="AQ32" s="113"/>
      <c r="AR32" s="113"/>
      <c r="AS32" s="113"/>
      <c r="AT32" s="113"/>
      <c r="AU32" s="113"/>
      <c r="AV32" s="113"/>
      <c r="AW32" s="113"/>
      <c r="AX32" s="113"/>
      <c r="AY32" s="113"/>
      <c r="AZ32" s="113"/>
      <c r="BA32" s="113"/>
      <c r="BB32" s="113"/>
      <c r="BC32" s="113"/>
      <c r="BD32" s="113"/>
      <c r="BE32" s="113"/>
      <c r="BF32" s="113"/>
      <c r="BG32" s="113"/>
      <c r="BH32" s="113"/>
    </row>
    <row r="33" spans="1:60" ht="16.5" customHeight="1" x14ac:dyDescent="0.25">
      <c r="A33" s="113"/>
      <c r="B33" s="113"/>
      <c r="C33" s="113"/>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c r="AO33" s="113"/>
      <c r="AP33" s="113"/>
      <c r="AQ33" s="113"/>
      <c r="AR33" s="113"/>
      <c r="AS33" s="113"/>
      <c r="AT33" s="113"/>
      <c r="AU33" s="113"/>
      <c r="AV33" s="113"/>
      <c r="AW33" s="113"/>
      <c r="AX33" s="113"/>
      <c r="AY33" s="113"/>
      <c r="AZ33" s="113"/>
      <c r="BA33" s="113"/>
      <c r="BB33" s="113"/>
      <c r="BC33" s="113"/>
      <c r="BD33" s="113"/>
      <c r="BE33" s="113"/>
      <c r="BF33" s="113"/>
      <c r="BG33" s="113"/>
      <c r="BH33" s="113"/>
    </row>
    <row r="34" spans="1:60" s="92" customFormat="1" ht="16.5" customHeight="1" x14ac:dyDescent="0.25">
      <c r="A34" s="88">
        <v>11</v>
      </c>
      <c r="B34" s="88">
        <v>1</v>
      </c>
      <c r="C34" s="89" t="s">
        <v>23</v>
      </c>
      <c r="D34" s="90" t="s">
        <v>182</v>
      </c>
      <c r="E34" s="91" t="s">
        <v>183</v>
      </c>
      <c r="F34" s="109">
        <f t="shared" ref="F34:F36" si="6">SUM(L34+AD34)</f>
        <v>270</v>
      </c>
      <c r="G34" s="109"/>
      <c r="H34" s="109"/>
      <c r="I34" s="110"/>
      <c r="J34" s="110"/>
      <c r="K34" s="110"/>
      <c r="L34" s="109">
        <f t="shared" ref="L34:L36" si="7">SUM(AG34+AJ34+AM34+AP34)*15</f>
        <v>120</v>
      </c>
      <c r="M34" s="109"/>
      <c r="N34" s="109"/>
      <c r="O34" s="108"/>
      <c r="P34" s="108"/>
      <c r="Q34" s="108"/>
      <c r="R34" s="108"/>
      <c r="S34" s="108"/>
      <c r="T34" s="108"/>
      <c r="U34" s="108">
        <v>120</v>
      </c>
      <c r="V34" s="108"/>
      <c r="W34" s="108"/>
      <c r="X34" s="108"/>
      <c r="Y34" s="108"/>
      <c r="Z34" s="108"/>
      <c r="AA34" s="109"/>
      <c r="AB34" s="109"/>
      <c r="AC34" s="109"/>
      <c r="AD34" s="108">
        <v>150</v>
      </c>
      <c r="AE34" s="108"/>
      <c r="AF34" s="108"/>
      <c r="AG34" s="108">
        <v>2</v>
      </c>
      <c r="AH34" s="108"/>
      <c r="AI34" s="108"/>
      <c r="AJ34" s="108">
        <v>2</v>
      </c>
      <c r="AK34" s="108"/>
      <c r="AL34" s="108"/>
      <c r="AM34" s="108">
        <v>2</v>
      </c>
      <c r="AN34" s="108"/>
      <c r="AO34" s="108"/>
      <c r="AP34" s="108">
        <v>2</v>
      </c>
      <c r="AQ34" s="108"/>
      <c r="AR34" s="108"/>
      <c r="AS34" s="108">
        <v>3</v>
      </c>
      <c r="AT34" s="108"/>
      <c r="AU34" s="108"/>
      <c r="AV34" s="108">
        <v>2</v>
      </c>
      <c r="AW34" s="108"/>
      <c r="AX34" s="108"/>
      <c r="AY34" s="108">
        <v>2</v>
      </c>
      <c r="AZ34" s="108"/>
      <c r="BA34" s="108"/>
      <c r="BB34" s="108">
        <v>2</v>
      </c>
      <c r="BC34" s="108"/>
      <c r="BD34" s="108"/>
      <c r="BE34" s="112">
        <f t="shared" ref="BE34:BE36" si="8">SUM(F34/30)</f>
        <v>9</v>
      </c>
      <c r="BF34" s="112"/>
      <c r="BG34" s="112"/>
      <c r="BH34" s="112"/>
    </row>
    <row r="35" spans="1:60" s="92" customFormat="1" ht="16.5" customHeight="1" x14ac:dyDescent="0.25">
      <c r="A35" s="88">
        <v>12</v>
      </c>
      <c r="B35" s="88">
        <v>2</v>
      </c>
      <c r="C35" s="89" t="s">
        <v>24</v>
      </c>
      <c r="D35" s="90" t="s">
        <v>248</v>
      </c>
      <c r="E35" s="93" t="s">
        <v>184</v>
      </c>
      <c r="F35" s="109">
        <f t="shared" si="6"/>
        <v>90</v>
      </c>
      <c r="G35" s="109"/>
      <c r="H35" s="109"/>
      <c r="I35" s="110"/>
      <c r="J35" s="110"/>
      <c r="K35" s="110"/>
      <c r="L35" s="109">
        <f t="shared" si="7"/>
        <v>30</v>
      </c>
      <c r="M35" s="109"/>
      <c r="N35" s="109"/>
      <c r="O35" s="108"/>
      <c r="P35" s="108"/>
      <c r="Q35" s="108"/>
      <c r="R35" s="108"/>
      <c r="S35" s="108"/>
      <c r="T35" s="108"/>
      <c r="U35" s="108">
        <v>30</v>
      </c>
      <c r="V35" s="108"/>
      <c r="W35" s="108"/>
      <c r="X35" s="108"/>
      <c r="Y35" s="108"/>
      <c r="Z35" s="108"/>
      <c r="AA35" s="109"/>
      <c r="AB35" s="109"/>
      <c r="AC35" s="109"/>
      <c r="AD35" s="108">
        <v>60</v>
      </c>
      <c r="AE35" s="108"/>
      <c r="AF35" s="108"/>
      <c r="AG35" s="108">
        <v>2</v>
      </c>
      <c r="AH35" s="108"/>
      <c r="AI35" s="108"/>
      <c r="AJ35" s="108"/>
      <c r="AK35" s="108"/>
      <c r="AL35" s="108"/>
      <c r="AM35" s="108"/>
      <c r="AN35" s="108"/>
      <c r="AO35" s="108"/>
      <c r="AP35" s="108"/>
      <c r="AQ35" s="108"/>
      <c r="AR35" s="108"/>
      <c r="AS35" s="108">
        <v>3</v>
      </c>
      <c r="AT35" s="108"/>
      <c r="AU35" s="108"/>
      <c r="AV35" s="108"/>
      <c r="AW35" s="108"/>
      <c r="AX35" s="108"/>
      <c r="AY35" s="108"/>
      <c r="AZ35" s="108"/>
      <c r="BA35" s="108"/>
      <c r="BB35" s="108"/>
      <c r="BC35" s="108"/>
      <c r="BD35" s="108"/>
      <c r="BE35" s="112">
        <f t="shared" si="8"/>
        <v>3</v>
      </c>
      <c r="BF35" s="112"/>
      <c r="BG35" s="112"/>
      <c r="BH35" s="112"/>
    </row>
    <row r="36" spans="1:60" s="92" customFormat="1" ht="16.5" customHeight="1" x14ac:dyDescent="0.25">
      <c r="A36" s="88">
        <v>13</v>
      </c>
      <c r="B36" s="88">
        <v>3</v>
      </c>
      <c r="C36" s="89" t="s">
        <v>25</v>
      </c>
      <c r="D36" s="90" t="s">
        <v>185</v>
      </c>
      <c r="E36" s="91" t="s">
        <v>186</v>
      </c>
      <c r="F36" s="109">
        <f t="shared" si="6"/>
        <v>90</v>
      </c>
      <c r="G36" s="109"/>
      <c r="H36" s="109"/>
      <c r="I36" s="110"/>
      <c r="J36" s="110"/>
      <c r="K36" s="110"/>
      <c r="L36" s="109">
        <f t="shared" si="7"/>
        <v>30</v>
      </c>
      <c r="M36" s="109"/>
      <c r="N36" s="109"/>
      <c r="O36" s="108"/>
      <c r="P36" s="108"/>
      <c r="Q36" s="108"/>
      <c r="R36" s="108"/>
      <c r="S36" s="108"/>
      <c r="T36" s="108"/>
      <c r="U36" s="108">
        <v>30</v>
      </c>
      <c r="V36" s="108"/>
      <c r="W36" s="108"/>
      <c r="X36" s="108"/>
      <c r="Y36" s="108"/>
      <c r="Z36" s="108"/>
      <c r="AA36" s="109"/>
      <c r="AB36" s="109"/>
      <c r="AC36" s="109"/>
      <c r="AD36" s="108">
        <v>60</v>
      </c>
      <c r="AE36" s="108"/>
      <c r="AF36" s="108"/>
      <c r="AG36" s="108">
        <v>2</v>
      </c>
      <c r="AH36" s="108"/>
      <c r="AI36" s="108"/>
      <c r="AJ36" s="108"/>
      <c r="AK36" s="108"/>
      <c r="AL36" s="108"/>
      <c r="AM36" s="108"/>
      <c r="AN36" s="108"/>
      <c r="AO36" s="108"/>
      <c r="AP36" s="108"/>
      <c r="AQ36" s="108"/>
      <c r="AR36" s="108"/>
      <c r="AS36" s="108">
        <v>3</v>
      </c>
      <c r="AT36" s="108"/>
      <c r="AU36" s="108"/>
      <c r="AV36" s="108"/>
      <c r="AW36" s="108"/>
      <c r="AX36" s="108"/>
      <c r="AY36" s="108"/>
      <c r="AZ36" s="108"/>
      <c r="BA36" s="108"/>
      <c r="BB36" s="108"/>
      <c r="BC36" s="108"/>
      <c r="BD36" s="108"/>
      <c r="BE36" s="112">
        <f t="shared" si="8"/>
        <v>3</v>
      </c>
      <c r="BF36" s="112"/>
      <c r="BG36" s="112"/>
      <c r="BH36" s="112"/>
    </row>
    <row r="37" spans="1:60" ht="16.5" customHeight="1" x14ac:dyDescent="0.25">
      <c r="A37" s="15">
        <v>14</v>
      </c>
      <c r="B37" s="88">
        <v>4</v>
      </c>
      <c r="C37" s="14" t="s">
        <v>25</v>
      </c>
      <c r="D37" s="71" t="s">
        <v>260</v>
      </c>
      <c r="E37" s="101" t="s">
        <v>261</v>
      </c>
      <c r="F37" s="106">
        <f t="shared" ref="F37:F38" si="9">SUM(L37+AD37)</f>
        <v>240</v>
      </c>
      <c r="G37" s="106"/>
      <c r="H37" s="106"/>
      <c r="I37" s="106"/>
      <c r="J37" s="106"/>
      <c r="K37" s="106"/>
      <c r="L37" s="106">
        <f t="shared" ref="L37:L38" si="10">SUM(AG37+AJ37+AM37+AP37)*15</f>
        <v>90</v>
      </c>
      <c r="M37" s="106"/>
      <c r="N37" s="106"/>
      <c r="O37" s="104"/>
      <c r="P37" s="104"/>
      <c r="Q37" s="104"/>
      <c r="R37" s="104">
        <v>90</v>
      </c>
      <c r="S37" s="104"/>
      <c r="T37" s="104"/>
      <c r="U37" s="104"/>
      <c r="V37" s="104"/>
      <c r="W37" s="104"/>
      <c r="X37" s="104"/>
      <c r="Y37" s="104"/>
      <c r="Z37" s="104"/>
      <c r="AA37" s="106"/>
      <c r="AB37" s="106"/>
      <c r="AC37" s="106"/>
      <c r="AD37" s="104">
        <v>150</v>
      </c>
      <c r="AE37" s="104"/>
      <c r="AF37" s="104"/>
      <c r="AG37" s="104">
        <v>2</v>
      </c>
      <c r="AH37" s="104"/>
      <c r="AI37" s="104"/>
      <c r="AJ37" s="104">
        <v>2</v>
      </c>
      <c r="AK37" s="104"/>
      <c r="AL37" s="104"/>
      <c r="AM37" s="104">
        <v>2</v>
      </c>
      <c r="AN37" s="104"/>
      <c r="AO37" s="104"/>
      <c r="AP37" s="104"/>
      <c r="AQ37" s="104"/>
      <c r="AR37" s="104"/>
      <c r="AS37" s="104">
        <v>3</v>
      </c>
      <c r="AT37" s="104"/>
      <c r="AU37" s="104"/>
      <c r="AV37" s="104">
        <v>3</v>
      </c>
      <c r="AW37" s="104"/>
      <c r="AX37" s="104"/>
      <c r="AY37" s="104">
        <v>2</v>
      </c>
      <c r="AZ37" s="104"/>
      <c r="BA37" s="104"/>
      <c r="BB37" s="104"/>
      <c r="BC37" s="104"/>
      <c r="BD37" s="104"/>
      <c r="BE37" s="105">
        <f>SUM(F37/30)</f>
        <v>8</v>
      </c>
      <c r="BF37" s="105"/>
      <c r="BG37" s="105"/>
      <c r="BH37" s="105"/>
    </row>
    <row r="38" spans="1:60" s="92" customFormat="1" ht="16.5" customHeight="1" x14ac:dyDescent="0.25">
      <c r="A38" s="88">
        <v>15</v>
      </c>
      <c r="B38" s="88">
        <v>5</v>
      </c>
      <c r="C38" s="89" t="s">
        <v>8</v>
      </c>
      <c r="D38" s="95" t="s">
        <v>213</v>
      </c>
      <c r="E38" s="91" t="s">
        <v>143</v>
      </c>
      <c r="F38" s="109">
        <f t="shared" si="9"/>
        <v>90</v>
      </c>
      <c r="G38" s="109"/>
      <c r="H38" s="109"/>
      <c r="I38" s="110"/>
      <c r="J38" s="110"/>
      <c r="K38" s="110"/>
      <c r="L38" s="109">
        <f t="shared" si="10"/>
        <v>30</v>
      </c>
      <c r="M38" s="109"/>
      <c r="N38" s="109"/>
      <c r="O38" s="108">
        <v>16</v>
      </c>
      <c r="P38" s="108"/>
      <c r="Q38" s="108"/>
      <c r="R38" s="108">
        <v>14</v>
      </c>
      <c r="S38" s="108"/>
      <c r="T38" s="108"/>
      <c r="U38" s="108"/>
      <c r="V38" s="108"/>
      <c r="W38" s="108"/>
      <c r="X38" s="108"/>
      <c r="Y38" s="108"/>
      <c r="Z38" s="108"/>
      <c r="AA38" s="108"/>
      <c r="AB38" s="108"/>
      <c r="AC38" s="108"/>
      <c r="AD38" s="108">
        <v>60</v>
      </c>
      <c r="AE38" s="108"/>
      <c r="AF38" s="108"/>
      <c r="AG38" s="108"/>
      <c r="AH38" s="108"/>
      <c r="AI38" s="108"/>
      <c r="AJ38" s="108"/>
      <c r="AK38" s="108"/>
      <c r="AL38" s="108"/>
      <c r="AM38" s="108">
        <v>2</v>
      </c>
      <c r="AN38" s="108"/>
      <c r="AO38" s="108"/>
      <c r="AP38" s="108"/>
      <c r="AQ38" s="108"/>
      <c r="AR38" s="108"/>
      <c r="AS38" s="108"/>
      <c r="AT38" s="108"/>
      <c r="AU38" s="108"/>
      <c r="AV38" s="108"/>
      <c r="AW38" s="108"/>
      <c r="AX38" s="108"/>
      <c r="AY38" s="108">
        <v>3</v>
      </c>
      <c r="AZ38" s="108"/>
      <c r="BA38" s="108"/>
      <c r="BB38" s="108"/>
      <c r="BC38" s="108"/>
      <c r="BD38" s="108"/>
      <c r="BE38" s="112">
        <f t="shared" ref="BE38" si="11">SUM(F38/30)</f>
        <v>3</v>
      </c>
      <c r="BF38" s="112"/>
      <c r="BG38" s="112"/>
      <c r="BH38" s="112"/>
    </row>
    <row r="39" spans="1:60" ht="16.5" customHeight="1" x14ac:dyDescent="0.25">
      <c r="A39" s="113" t="s">
        <v>224</v>
      </c>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c r="AO39" s="113"/>
      <c r="AP39" s="113"/>
      <c r="AQ39" s="113"/>
      <c r="AR39" s="113"/>
      <c r="AS39" s="113"/>
      <c r="AT39" s="113"/>
      <c r="AU39" s="113"/>
      <c r="AV39" s="113"/>
      <c r="AW39" s="113"/>
      <c r="AX39" s="113"/>
      <c r="AY39" s="113"/>
      <c r="AZ39" s="113"/>
      <c r="BA39" s="113"/>
      <c r="BB39" s="113"/>
      <c r="BC39" s="113"/>
      <c r="BD39" s="113"/>
      <c r="BE39" s="113"/>
      <c r="BF39" s="113"/>
      <c r="BG39" s="113"/>
      <c r="BH39" s="113"/>
    </row>
    <row r="40" spans="1:60" ht="16.5" customHeight="1" x14ac:dyDescent="0.25">
      <c r="A40" s="113"/>
      <c r="B40" s="113"/>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c r="AO40" s="113"/>
      <c r="AP40" s="113"/>
      <c r="AQ40" s="113"/>
      <c r="AR40" s="113"/>
      <c r="AS40" s="113"/>
      <c r="AT40" s="113"/>
      <c r="AU40" s="113"/>
      <c r="AV40" s="113"/>
      <c r="AW40" s="113"/>
      <c r="AX40" s="113"/>
      <c r="AY40" s="113"/>
      <c r="AZ40" s="113"/>
      <c r="BA40" s="113"/>
      <c r="BB40" s="113"/>
      <c r="BC40" s="113"/>
      <c r="BD40" s="113"/>
      <c r="BE40" s="113"/>
      <c r="BF40" s="113"/>
      <c r="BG40" s="113"/>
      <c r="BH40" s="113"/>
    </row>
    <row r="41" spans="1:60" s="92" customFormat="1" ht="16.5" customHeight="1" x14ac:dyDescent="0.25">
      <c r="A41" s="88">
        <v>16</v>
      </c>
      <c r="B41" s="88">
        <v>1</v>
      </c>
      <c r="C41" s="89" t="s">
        <v>23</v>
      </c>
      <c r="D41" s="90" t="s">
        <v>211</v>
      </c>
      <c r="E41" s="97" t="s">
        <v>220</v>
      </c>
      <c r="F41" s="109">
        <f t="shared" ref="F41:F44" si="12">SUM(L41+AD41)</f>
        <v>300</v>
      </c>
      <c r="G41" s="109"/>
      <c r="H41" s="109"/>
      <c r="I41" s="108"/>
      <c r="J41" s="108"/>
      <c r="K41" s="108"/>
      <c r="L41" s="109">
        <f t="shared" ref="L41:L44" si="13">SUM(AG41+AJ41+AM41+AP41)*15</f>
        <v>120</v>
      </c>
      <c r="M41" s="109"/>
      <c r="N41" s="109"/>
      <c r="O41" s="108"/>
      <c r="P41" s="108"/>
      <c r="Q41" s="108"/>
      <c r="R41" s="108"/>
      <c r="S41" s="108"/>
      <c r="T41" s="108"/>
      <c r="U41" s="108">
        <v>120</v>
      </c>
      <c r="V41" s="108"/>
      <c r="W41" s="108"/>
      <c r="X41" s="108"/>
      <c r="Y41" s="108"/>
      <c r="Z41" s="108"/>
      <c r="AA41" s="109"/>
      <c r="AB41" s="109"/>
      <c r="AC41" s="109"/>
      <c r="AD41" s="108">
        <v>180</v>
      </c>
      <c r="AE41" s="108"/>
      <c r="AF41" s="108"/>
      <c r="AG41" s="108">
        <v>2</v>
      </c>
      <c r="AH41" s="108"/>
      <c r="AI41" s="108"/>
      <c r="AJ41" s="108">
        <v>2</v>
      </c>
      <c r="AK41" s="108"/>
      <c r="AL41" s="108"/>
      <c r="AM41" s="108">
        <v>2</v>
      </c>
      <c r="AN41" s="108"/>
      <c r="AO41" s="108"/>
      <c r="AP41" s="108">
        <v>2</v>
      </c>
      <c r="AQ41" s="108"/>
      <c r="AR41" s="108"/>
      <c r="AS41" s="108">
        <v>3</v>
      </c>
      <c r="AT41" s="108"/>
      <c r="AU41" s="108"/>
      <c r="AV41" s="108">
        <v>2</v>
      </c>
      <c r="AW41" s="108"/>
      <c r="AX41" s="108"/>
      <c r="AY41" s="108">
        <v>2</v>
      </c>
      <c r="AZ41" s="108"/>
      <c r="BA41" s="108"/>
      <c r="BB41" s="108">
        <v>3</v>
      </c>
      <c r="BC41" s="108"/>
      <c r="BD41" s="108"/>
      <c r="BE41" s="112">
        <f t="shared" ref="BE41:BE44" si="14">SUM(F41/30)</f>
        <v>10</v>
      </c>
      <c r="BF41" s="112"/>
      <c r="BG41" s="112"/>
      <c r="BH41" s="112"/>
    </row>
    <row r="42" spans="1:60" s="92" customFormat="1" ht="16.5" customHeight="1" x14ac:dyDescent="0.25">
      <c r="A42" s="88">
        <v>17</v>
      </c>
      <c r="B42" s="88">
        <v>2</v>
      </c>
      <c r="C42" s="89" t="s">
        <v>24</v>
      </c>
      <c r="D42" s="90" t="s">
        <v>212</v>
      </c>
      <c r="E42" s="97" t="s">
        <v>221</v>
      </c>
      <c r="F42" s="109">
        <f t="shared" si="12"/>
        <v>300</v>
      </c>
      <c r="G42" s="109"/>
      <c r="H42" s="109"/>
      <c r="I42" s="108"/>
      <c r="J42" s="108"/>
      <c r="K42" s="108"/>
      <c r="L42" s="109">
        <f t="shared" si="13"/>
        <v>120</v>
      </c>
      <c r="M42" s="109"/>
      <c r="N42" s="109"/>
      <c r="O42" s="129"/>
      <c r="P42" s="129"/>
      <c r="Q42" s="129"/>
      <c r="R42" s="108">
        <v>60</v>
      </c>
      <c r="S42" s="108"/>
      <c r="T42" s="108"/>
      <c r="U42" s="108">
        <v>60</v>
      </c>
      <c r="V42" s="108"/>
      <c r="W42" s="108"/>
      <c r="X42" s="108"/>
      <c r="Y42" s="108"/>
      <c r="Z42" s="108"/>
      <c r="AA42" s="109"/>
      <c r="AB42" s="109"/>
      <c r="AC42" s="109"/>
      <c r="AD42" s="108">
        <v>180</v>
      </c>
      <c r="AE42" s="108"/>
      <c r="AF42" s="108"/>
      <c r="AG42" s="108">
        <v>4</v>
      </c>
      <c r="AH42" s="108"/>
      <c r="AI42" s="108"/>
      <c r="AJ42" s="108">
        <v>2</v>
      </c>
      <c r="AK42" s="108"/>
      <c r="AL42" s="108"/>
      <c r="AM42" s="108">
        <v>2</v>
      </c>
      <c r="AN42" s="108"/>
      <c r="AO42" s="108"/>
      <c r="AP42" s="108"/>
      <c r="AQ42" s="108"/>
      <c r="AR42" s="108"/>
      <c r="AS42" s="108">
        <v>5</v>
      </c>
      <c r="AT42" s="108"/>
      <c r="AU42" s="108"/>
      <c r="AV42" s="108">
        <v>3</v>
      </c>
      <c r="AW42" s="108"/>
      <c r="AX42" s="108"/>
      <c r="AY42" s="108">
        <v>2</v>
      </c>
      <c r="AZ42" s="108"/>
      <c r="BA42" s="108"/>
      <c r="BB42" s="108"/>
      <c r="BC42" s="108"/>
      <c r="BD42" s="108"/>
      <c r="BE42" s="112">
        <f t="shared" si="14"/>
        <v>10</v>
      </c>
      <c r="BF42" s="112"/>
      <c r="BG42" s="112"/>
      <c r="BH42" s="112"/>
    </row>
    <row r="43" spans="1:60" s="92" customFormat="1" ht="16.5" customHeight="1" x14ac:dyDescent="0.25">
      <c r="A43" s="88">
        <v>18</v>
      </c>
      <c r="B43" s="88">
        <v>3</v>
      </c>
      <c r="C43" s="89" t="s">
        <v>25</v>
      </c>
      <c r="D43" s="90" t="s">
        <v>249</v>
      </c>
      <c r="E43" s="97" t="s">
        <v>222</v>
      </c>
      <c r="F43" s="109">
        <f t="shared" si="12"/>
        <v>390</v>
      </c>
      <c r="G43" s="109"/>
      <c r="H43" s="109"/>
      <c r="I43" s="108"/>
      <c r="J43" s="108"/>
      <c r="K43" s="108"/>
      <c r="L43" s="109">
        <f t="shared" si="13"/>
        <v>150</v>
      </c>
      <c r="M43" s="109"/>
      <c r="N43" s="109"/>
      <c r="O43" s="108"/>
      <c r="P43" s="108"/>
      <c r="Q43" s="108"/>
      <c r="R43" s="108">
        <v>60</v>
      </c>
      <c r="S43" s="108"/>
      <c r="T43" s="108"/>
      <c r="U43" s="108">
        <v>90</v>
      </c>
      <c r="V43" s="108"/>
      <c r="W43" s="108"/>
      <c r="X43" s="108"/>
      <c r="Y43" s="108"/>
      <c r="Z43" s="108"/>
      <c r="AA43" s="109"/>
      <c r="AB43" s="109"/>
      <c r="AC43" s="109"/>
      <c r="AD43" s="108">
        <v>240</v>
      </c>
      <c r="AE43" s="108"/>
      <c r="AF43" s="108"/>
      <c r="AG43" s="108">
        <v>4</v>
      </c>
      <c r="AH43" s="108"/>
      <c r="AI43" s="108"/>
      <c r="AJ43" s="108">
        <v>2</v>
      </c>
      <c r="AK43" s="108"/>
      <c r="AL43" s="108"/>
      <c r="AM43" s="108">
        <v>2</v>
      </c>
      <c r="AN43" s="108"/>
      <c r="AO43" s="108"/>
      <c r="AP43" s="108">
        <v>2</v>
      </c>
      <c r="AQ43" s="108"/>
      <c r="AR43" s="108"/>
      <c r="AS43" s="108">
        <v>6</v>
      </c>
      <c r="AT43" s="108"/>
      <c r="AU43" s="108"/>
      <c r="AV43" s="108">
        <v>2</v>
      </c>
      <c r="AW43" s="108"/>
      <c r="AX43" s="108"/>
      <c r="AY43" s="108">
        <v>2</v>
      </c>
      <c r="AZ43" s="108"/>
      <c r="BA43" s="108"/>
      <c r="BB43" s="108">
        <v>3</v>
      </c>
      <c r="BC43" s="108"/>
      <c r="BD43" s="108"/>
      <c r="BE43" s="112">
        <f t="shared" si="14"/>
        <v>13</v>
      </c>
      <c r="BF43" s="112"/>
      <c r="BG43" s="112"/>
      <c r="BH43" s="112"/>
    </row>
    <row r="44" spans="1:60" s="92" customFormat="1" ht="16.5" customHeight="1" x14ac:dyDescent="0.25">
      <c r="A44" s="88">
        <v>19</v>
      </c>
      <c r="B44" s="88">
        <v>4</v>
      </c>
      <c r="C44" s="89" t="s">
        <v>8</v>
      </c>
      <c r="D44" s="95" t="s">
        <v>213</v>
      </c>
      <c r="E44" s="97" t="s">
        <v>143</v>
      </c>
      <c r="F44" s="114">
        <f t="shared" si="12"/>
        <v>90</v>
      </c>
      <c r="G44" s="115"/>
      <c r="H44" s="116"/>
      <c r="I44" s="117"/>
      <c r="J44" s="118"/>
      <c r="K44" s="119"/>
      <c r="L44" s="114">
        <f t="shared" si="13"/>
        <v>30</v>
      </c>
      <c r="M44" s="115"/>
      <c r="N44" s="116"/>
      <c r="O44" s="120">
        <v>16</v>
      </c>
      <c r="P44" s="121"/>
      <c r="Q44" s="122"/>
      <c r="R44" s="120">
        <v>14</v>
      </c>
      <c r="S44" s="121"/>
      <c r="T44" s="122"/>
      <c r="U44" s="120"/>
      <c r="V44" s="121"/>
      <c r="W44" s="122"/>
      <c r="X44" s="120"/>
      <c r="Y44" s="121"/>
      <c r="Z44" s="122"/>
      <c r="AA44" s="120"/>
      <c r="AB44" s="121"/>
      <c r="AC44" s="122"/>
      <c r="AD44" s="120">
        <v>60</v>
      </c>
      <c r="AE44" s="121"/>
      <c r="AF44" s="122"/>
      <c r="AG44" s="120"/>
      <c r="AH44" s="121"/>
      <c r="AI44" s="122"/>
      <c r="AJ44" s="120"/>
      <c r="AK44" s="121"/>
      <c r="AL44" s="122"/>
      <c r="AM44" s="120">
        <v>2</v>
      </c>
      <c r="AN44" s="121"/>
      <c r="AO44" s="122"/>
      <c r="AP44" s="120"/>
      <c r="AQ44" s="121"/>
      <c r="AR44" s="122"/>
      <c r="AS44" s="120"/>
      <c r="AT44" s="121"/>
      <c r="AU44" s="122"/>
      <c r="AV44" s="120"/>
      <c r="AW44" s="121"/>
      <c r="AX44" s="122"/>
      <c r="AY44" s="120">
        <v>3</v>
      </c>
      <c r="AZ44" s="121"/>
      <c r="BA44" s="122"/>
      <c r="BB44" s="120"/>
      <c r="BC44" s="121"/>
      <c r="BD44" s="122"/>
      <c r="BE44" s="123">
        <f t="shared" si="14"/>
        <v>3</v>
      </c>
      <c r="BF44" s="124"/>
      <c r="BG44" s="124"/>
      <c r="BH44" s="125"/>
    </row>
    <row r="45" spans="1:60" ht="16.5" customHeight="1" x14ac:dyDescent="0.25">
      <c r="A45" s="113" t="s">
        <v>250</v>
      </c>
      <c r="B45" s="113"/>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c r="AO45" s="113"/>
      <c r="AP45" s="113"/>
      <c r="AQ45" s="113"/>
      <c r="AR45" s="113"/>
      <c r="AS45" s="113"/>
      <c r="AT45" s="113"/>
      <c r="AU45" s="113"/>
      <c r="AV45" s="113"/>
      <c r="AW45" s="113"/>
      <c r="AX45" s="113"/>
      <c r="AY45" s="113"/>
      <c r="AZ45" s="113"/>
      <c r="BA45" s="113"/>
      <c r="BB45" s="113"/>
      <c r="BC45" s="113"/>
      <c r="BD45" s="113"/>
      <c r="BE45" s="113"/>
      <c r="BF45" s="113"/>
      <c r="BG45" s="113"/>
      <c r="BH45" s="113"/>
    </row>
    <row r="46" spans="1:60" ht="16.5" customHeight="1" x14ac:dyDescent="0.25">
      <c r="A46" s="113"/>
      <c r="B46" s="113"/>
      <c r="C46" s="113"/>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c r="AO46" s="113"/>
      <c r="AP46" s="113"/>
      <c r="AQ46" s="113"/>
      <c r="AR46" s="113"/>
      <c r="AS46" s="113"/>
      <c r="AT46" s="113"/>
      <c r="AU46" s="113"/>
      <c r="AV46" s="113"/>
      <c r="AW46" s="113"/>
      <c r="AX46" s="113"/>
      <c r="AY46" s="113"/>
      <c r="AZ46" s="113"/>
      <c r="BA46" s="113"/>
      <c r="BB46" s="113"/>
      <c r="BC46" s="113"/>
      <c r="BD46" s="113"/>
      <c r="BE46" s="113"/>
      <c r="BF46" s="113"/>
      <c r="BG46" s="113"/>
      <c r="BH46" s="113"/>
    </row>
    <row r="47" spans="1:60" s="92" customFormat="1" ht="16.5" customHeight="1" x14ac:dyDescent="0.25">
      <c r="A47" s="88">
        <v>20</v>
      </c>
      <c r="B47" s="88">
        <v>1</v>
      </c>
      <c r="C47" s="89" t="s">
        <v>23</v>
      </c>
      <c r="D47" s="90" t="s">
        <v>191</v>
      </c>
      <c r="E47" s="97" t="s">
        <v>192</v>
      </c>
      <c r="F47" s="109">
        <f t="shared" ref="F47:F51" si="15">SUM(L47+AD47)</f>
        <v>270</v>
      </c>
      <c r="G47" s="109"/>
      <c r="H47" s="109"/>
      <c r="I47" s="109"/>
      <c r="J47" s="109"/>
      <c r="K47" s="109"/>
      <c r="L47" s="109">
        <f t="shared" ref="L47:L50" si="16">SUM(AG47+AJ47+AM47+AP47)*15</f>
        <v>120</v>
      </c>
      <c r="M47" s="109"/>
      <c r="N47" s="109"/>
      <c r="O47" s="108"/>
      <c r="P47" s="108"/>
      <c r="Q47" s="108"/>
      <c r="R47" s="108"/>
      <c r="S47" s="108"/>
      <c r="T47" s="108"/>
      <c r="U47" s="108">
        <v>120</v>
      </c>
      <c r="V47" s="108"/>
      <c r="W47" s="108"/>
      <c r="X47" s="108"/>
      <c r="Y47" s="108"/>
      <c r="Z47" s="108"/>
      <c r="AA47" s="108"/>
      <c r="AB47" s="108"/>
      <c r="AC47" s="108"/>
      <c r="AD47" s="108">
        <v>150</v>
      </c>
      <c r="AE47" s="108"/>
      <c r="AF47" s="108"/>
      <c r="AG47" s="108">
        <v>2</v>
      </c>
      <c r="AH47" s="108"/>
      <c r="AI47" s="108"/>
      <c r="AJ47" s="108">
        <v>2</v>
      </c>
      <c r="AK47" s="108"/>
      <c r="AL47" s="108"/>
      <c r="AM47" s="108">
        <v>2</v>
      </c>
      <c r="AN47" s="108"/>
      <c r="AO47" s="108"/>
      <c r="AP47" s="108">
        <v>2</v>
      </c>
      <c r="AQ47" s="108"/>
      <c r="AR47" s="108"/>
      <c r="AS47" s="108">
        <v>2</v>
      </c>
      <c r="AT47" s="108"/>
      <c r="AU47" s="108"/>
      <c r="AV47" s="108">
        <v>2</v>
      </c>
      <c r="AW47" s="108"/>
      <c r="AX47" s="108"/>
      <c r="AY47" s="108">
        <v>3</v>
      </c>
      <c r="AZ47" s="108"/>
      <c r="BA47" s="108"/>
      <c r="BB47" s="108">
        <v>2</v>
      </c>
      <c r="BC47" s="108"/>
      <c r="BD47" s="108"/>
      <c r="BE47" s="112">
        <f t="shared" ref="BE47:BE51" si="17">SUM(F47/30)</f>
        <v>9</v>
      </c>
      <c r="BF47" s="112"/>
      <c r="BG47" s="112"/>
      <c r="BH47" s="112"/>
    </row>
    <row r="48" spans="1:60" s="92" customFormat="1" ht="16.5" customHeight="1" x14ac:dyDescent="0.25">
      <c r="A48" s="88">
        <v>21</v>
      </c>
      <c r="B48" s="88">
        <v>2</v>
      </c>
      <c r="C48" s="89" t="s">
        <v>24</v>
      </c>
      <c r="D48" s="90" t="s">
        <v>193</v>
      </c>
      <c r="E48" s="97" t="s">
        <v>194</v>
      </c>
      <c r="F48" s="109">
        <f t="shared" si="15"/>
        <v>90</v>
      </c>
      <c r="G48" s="109"/>
      <c r="H48" s="109"/>
      <c r="I48" s="109"/>
      <c r="J48" s="109"/>
      <c r="K48" s="109"/>
      <c r="L48" s="109">
        <f t="shared" si="16"/>
        <v>30</v>
      </c>
      <c r="M48" s="109"/>
      <c r="N48" s="109"/>
      <c r="O48" s="108"/>
      <c r="P48" s="108"/>
      <c r="Q48" s="108"/>
      <c r="R48" s="108"/>
      <c r="S48" s="108"/>
      <c r="T48" s="108"/>
      <c r="U48" s="108">
        <v>30</v>
      </c>
      <c r="V48" s="108"/>
      <c r="W48" s="108"/>
      <c r="X48" s="108"/>
      <c r="Y48" s="108"/>
      <c r="Z48" s="108"/>
      <c r="AA48" s="108"/>
      <c r="AB48" s="108"/>
      <c r="AC48" s="108"/>
      <c r="AD48" s="108">
        <v>60</v>
      </c>
      <c r="AE48" s="108"/>
      <c r="AF48" s="108"/>
      <c r="AG48" s="108">
        <v>1</v>
      </c>
      <c r="AH48" s="108"/>
      <c r="AI48" s="108"/>
      <c r="AJ48" s="108">
        <v>1</v>
      </c>
      <c r="AK48" s="108"/>
      <c r="AL48" s="108"/>
      <c r="AM48" s="108"/>
      <c r="AN48" s="108"/>
      <c r="AO48" s="108"/>
      <c r="AP48" s="108"/>
      <c r="AQ48" s="108"/>
      <c r="AR48" s="108"/>
      <c r="AS48" s="108">
        <v>1</v>
      </c>
      <c r="AT48" s="108"/>
      <c r="AU48" s="108"/>
      <c r="AV48" s="108">
        <v>2</v>
      </c>
      <c r="AW48" s="108"/>
      <c r="AX48" s="108"/>
      <c r="AY48" s="108"/>
      <c r="AZ48" s="108"/>
      <c r="BA48" s="108"/>
      <c r="BB48" s="108"/>
      <c r="BC48" s="108"/>
      <c r="BD48" s="108"/>
      <c r="BE48" s="112">
        <f t="shared" si="17"/>
        <v>3</v>
      </c>
      <c r="BF48" s="112"/>
      <c r="BG48" s="112"/>
      <c r="BH48" s="112"/>
    </row>
    <row r="49" spans="1:60" s="92" customFormat="1" ht="16.5" customHeight="1" x14ac:dyDescent="0.25">
      <c r="A49" s="88">
        <v>22</v>
      </c>
      <c r="B49" s="88">
        <v>3</v>
      </c>
      <c r="C49" s="89" t="s">
        <v>25</v>
      </c>
      <c r="D49" s="90" t="s">
        <v>195</v>
      </c>
      <c r="E49" s="97" t="s">
        <v>196</v>
      </c>
      <c r="F49" s="109">
        <f t="shared" si="15"/>
        <v>90</v>
      </c>
      <c r="G49" s="109"/>
      <c r="H49" s="109"/>
      <c r="I49" s="109"/>
      <c r="J49" s="109"/>
      <c r="K49" s="109"/>
      <c r="L49" s="109">
        <f t="shared" si="16"/>
        <v>30</v>
      </c>
      <c r="M49" s="109"/>
      <c r="N49" s="109"/>
      <c r="O49" s="108"/>
      <c r="P49" s="108"/>
      <c r="Q49" s="108"/>
      <c r="R49" s="108"/>
      <c r="S49" s="108"/>
      <c r="T49" s="108"/>
      <c r="U49" s="108">
        <v>30</v>
      </c>
      <c r="V49" s="108"/>
      <c r="W49" s="108"/>
      <c r="X49" s="108"/>
      <c r="Y49" s="108"/>
      <c r="Z49" s="108"/>
      <c r="AA49" s="108"/>
      <c r="AB49" s="108"/>
      <c r="AC49" s="108"/>
      <c r="AD49" s="108">
        <v>60</v>
      </c>
      <c r="AE49" s="108"/>
      <c r="AF49" s="108"/>
      <c r="AG49" s="108">
        <v>1</v>
      </c>
      <c r="AH49" s="108"/>
      <c r="AI49" s="108"/>
      <c r="AJ49" s="108">
        <v>1</v>
      </c>
      <c r="AK49" s="108"/>
      <c r="AL49" s="108"/>
      <c r="AM49" s="108"/>
      <c r="AN49" s="108"/>
      <c r="AO49" s="108"/>
      <c r="AP49" s="108"/>
      <c r="AQ49" s="108"/>
      <c r="AR49" s="108"/>
      <c r="AS49" s="108">
        <v>2</v>
      </c>
      <c r="AT49" s="108"/>
      <c r="AU49" s="108"/>
      <c r="AV49" s="108">
        <v>1</v>
      </c>
      <c r="AW49" s="108"/>
      <c r="AX49" s="108"/>
      <c r="AY49" s="108"/>
      <c r="AZ49" s="108"/>
      <c r="BA49" s="108"/>
      <c r="BB49" s="108"/>
      <c r="BC49" s="108"/>
      <c r="BD49" s="108"/>
      <c r="BE49" s="112">
        <f t="shared" si="17"/>
        <v>3</v>
      </c>
      <c r="BF49" s="112"/>
      <c r="BG49" s="112"/>
      <c r="BH49" s="112"/>
    </row>
    <row r="50" spans="1:60" s="92" customFormat="1" ht="16.5" customHeight="1" x14ac:dyDescent="0.25">
      <c r="A50" s="88">
        <v>23</v>
      </c>
      <c r="B50" s="88">
        <v>4</v>
      </c>
      <c r="C50" s="89" t="s">
        <v>26</v>
      </c>
      <c r="D50" s="90" t="s">
        <v>197</v>
      </c>
      <c r="E50" s="97" t="s">
        <v>198</v>
      </c>
      <c r="F50" s="109">
        <f t="shared" si="15"/>
        <v>330</v>
      </c>
      <c r="G50" s="109"/>
      <c r="H50" s="109"/>
      <c r="I50" s="109"/>
      <c r="J50" s="109"/>
      <c r="K50" s="109"/>
      <c r="L50" s="109">
        <f t="shared" si="16"/>
        <v>150</v>
      </c>
      <c r="M50" s="109"/>
      <c r="N50" s="109"/>
      <c r="O50" s="108"/>
      <c r="P50" s="108"/>
      <c r="Q50" s="108"/>
      <c r="R50" s="108">
        <v>150</v>
      </c>
      <c r="S50" s="108"/>
      <c r="T50" s="108"/>
      <c r="U50" s="108"/>
      <c r="V50" s="108"/>
      <c r="W50" s="108"/>
      <c r="X50" s="108"/>
      <c r="Y50" s="108"/>
      <c r="Z50" s="108"/>
      <c r="AA50" s="108"/>
      <c r="AB50" s="108"/>
      <c r="AC50" s="108"/>
      <c r="AD50" s="108">
        <v>180</v>
      </c>
      <c r="AE50" s="108"/>
      <c r="AF50" s="108"/>
      <c r="AG50" s="108">
        <v>2</v>
      </c>
      <c r="AH50" s="108"/>
      <c r="AI50" s="108"/>
      <c r="AJ50" s="108">
        <v>2</v>
      </c>
      <c r="AK50" s="108"/>
      <c r="AL50" s="108"/>
      <c r="AM50" s="108">
        <v>4</v>
      </c>
      <c r="AN50" s="108"/>
      <c r="AO50" s="108"/>
      <c r="AP50" s="108">
        <v>2</v>
      </c>
      <c r="AQ50" s="108"/>
      <c r="AR50" s="108"/>
      <c r="AS50" s="108">
        <v>2</v>
      </c>
      <c r="AT50" s="108"/>
      <c r="AU50" s="108"/>
      <c r="AV50" s="108">
        <v>2</v>
      </c>
      <c r="AW50" s="108"/>
      <c r="AX50" s="108"/>
      <c r="AY50" s="108">
        <v>4</v>
      </c>
      <c r="AZ50" s="108"/>
      <c r="BA50" s="108"/>
      <c r="BB50" s="108">
        <v>3</v>
      </c>
      <c r="BC50" s="108"/>
      <c r="BD50" s="108"/>
      <c r="BE50" s="112">
        <f t="shared" si="17"/>
        <v>11</v>
      </c>
      <c r="BF50" s="112"/>
      <c r="BG50" s="112"/>
      <c r="BH50" s="112"/>
    </row>
    <row r="51" spans="1:60" s="92" customFormat="1" ht="16.5" customHeight="1" x14ac:dyDescent="0.25">
      <c r="A51" s="88">
        <v>24</v>
      </c>
      <c r="B51" s="88">
        <v>5</v>
      </c>
      <c r="C51" s="89" t="s">
        <v>8</v>
      </c>
      <c r="D51" s="95" t="s">
        <v>213</v>
      </c>
      <c r="E51" s="97" t="s">
        <v>143</v>
      </c>
      <c r="F51" s="114">
        <f t="shared" si="15"/>
        <v>90</v>
      </c>
      <c r="G51" s="115"/>
      <c r="H51" s="116"/>
      <c r="I51" s="117"/>
      <c r="J51" s="118"/>
      <c r="K51" s="119"/>
      <c r="L51" s="114">
        <f t="shared" ref="L51" si="18">SUM(AG51+AJ51+AM51+AP51)*15</f>
        <v>30</v>
      </c>
      <c r="M51" s="115"/>
      <c r="N51" s="116"/>
      <c r="O51" s="120">
        <v>16</v>
      </c>
      <c r="P51" s="121"/>
      <c r="Q51" s="122"/>
      <c r="R51" s="120">
        <v>14</v>
      </c>
      <c r="S51" s="121"/>
      <c r="T51" s="122"/>
      <c r="U51" s="120"/>
      <c r="V51" s="121"/>
      <c r="W51" s="122"/>
      <c r="X51" s="120"/>
      <c r="Y51" s="121"/>
      <c r="Z51" s="122"/>
      <c r="AA51" s="120"/>
      <c r="AB51" s="121"/>
      <c r="AC51" s="122"/>
      <c r="AD51" s="120">
        <v>60</v>
      </c>
      <c r="AE51" s="121"/>
      <c r="AF51" s="122"/>
      <c r="AG51" s="120"/>
      <c r="AH51" s="121"/>
      <c r="AI51" s="122"/>
      <c r="AJ51" s="120"/>
      <c r="AK51" s="121"/>
      <c r="AL51" s="122"/>
      <c r="AM51" s="120">
        <v>2</v>
      </c>
      <c r="AN51" s="121"/>
      <c r="AO51" s="122"/>
      <c r="AP51" s="120"/>
      <c r="AQ51" s="121"/>
      <c r="AR51" s="122"/>
      <c r="AS51" s="120"/>
      <c r="AT51" s="121"/>
      <c r="AU51" s="122"/>
      <c r="AV51" s="120"/>
      <c r="AW51" s="121"/>
      <c r="AX51" s="122"/>
      <c r="AY51" s="120">
        <v>3</v>
      </c>
      <c r="AZ51" s="121"/>
      <c r="BA51" s="122"/>
      <c r="BB51" s="120"/>
      <c r="BC51" s="121"/>
      <c r="BD51" s="122"/>
      <c r="BE51" s="123">
        <f t="shared" si="17"/>
        <v>3</v>
      </c>
      <c r="BF51" s="124"/>
      <c r="BG51" s="124"/>
      <c r="BH51" s="125"/>
    </row>
    <row r="52" spans="1:60" ht="16.5" customHeight="1" x14ac:dyDescent="0.25">
      <c r="A52" s="111" t="s">
        <v>277</v>
      </c>
      <c r="B52" s="113"/>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c r="AO52" s="113"/>
      <c r="AP52" s="113"/>
      <c r="AQ52" s="113"/>
      <c r="AR52" s="113"/>
      <c r="AS52" s="113"/>
      <c r="AT52" s="113"/>
      <c r="AU52" s="113"/>
      <c r="AV52" s="113"/>
      <c r="AW52" s="113"/>
      <c r="AX52" s="113"/>
      <c r="AY52" s="113"/>
      <c r="AZ52" s="113"/>
      <c r="BA52" s="113"/>
      <c r="BB52" s="113"/>
      <c r="BC52" s="113"/>
      <c r="BD52" s="113"/>
      <c r="BE52" s="113"/>
      <c r="BF52" s="113"/>
      <c r="BG52" s="113"/>
      <c r="BH52" s="113"/>
    </row>
    <row r="53" spans="1:60" ht="16.5" customHeight="1" x14ac:dyDescent="0.25">
      <c r="A53" s="113"/>
      <c r="B53" s="113"/>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c r="AO53" s="113"/>
      <c r="AP53" s="113"/>
      <c r="AQ53" s="113"/>
      <c r="AR53" s="113"/>
      <c r="AS53" s="113"/>
      <c r="AT53" s="113"/>
      <c r="AU53" s="113"/>
      <c r="AV53" s="113"/>
      <c r="AW53" s="113"/>
      <c r="AX53" s="113"/>
      <c r="AY53" s="113"/>
      <c r="AZ53" s="113"/>
      <c r="BA53" s="113"/>
      <c r="BB53" s="113"/>
      <c r="BC53" s="113"/>
      <c r="BD53" s="113"/>
      <c r="BE53" s="113"/>
      <c r="BF53" s="113"/>
      <c r="BG53" s="113"/>
      <c r="BH53" s="113"/>
    </row>
    <row r="54" spans="1:60" s="92" customFormat="1" ht="16.5" customHeight="1" x14ac:dyDescent="0.25">
      <c r="A54" s="88">
        <v>25</v>
      </c>
      <c r="B54" s="88">
        <v>1</v>
      </c>
      <c r="C54" s="89" t="s">
        <v>23</v>
      </c>
      <c r="D54" s="90" t="s">
        <v>202</v>
      </c>
      <c r="E54" s="100" t="s">
        <v>203</v>
      </c>
      <c r="F54" s="109">
        <f t="shared" ref="F54:F57" si="19">SUM(L54+AD54)</f>
        <v>270</v>
      </c>
      <c r="G54" s="109"/>
      <c r="H54" s="109"/>
      <c r="I54" s="109"/>
      <c r="J54" s="109"/>
      <c r="K54" s="109"/>
      <c r="L54" s="109">
        <f t="shared" ref="L54:L55" si="20">SUM(AG54+AJ54+AM54+AP54)*15</f>
        <v>120</v>
      </c>
      <c r="M54" s="109"/>
      <c r="N54" s="109"/>
      <c r="O54" s="108"/>
      <c r="P54" s="108"/>
      <c r="Q54" s="108"/>
      <c r="R54" s="108"/>
      <c r="S54" s="108"/>
      <c r="T54" s="108"/>
      <c r="U54" s="108">
        <v>120</v>
      </c>
      <c r="V54" s="108"/>
      <c r="W54" s="108"/>
      <c r="X54" s="108"/>
      <c r="Y54" s="108"/>
      <c r="Z54" s="108"/>
      <c r="AA54" s="108"/>
      <c r="AB54" s="108"/>
      <c r="AC54" s="108"/>
      <c r="AD54" s="108">
        <v>150</v>
      </c>
      <c r="AE54" s="108"/>
      <c r="AF54" s="108"/>
      <c r="AG54" s="108">
        <v>2</v>
      </c>
      <c r="AH54" s="108"/>
      <c r="AI54" s="108"/>
      <c r="AJ54" s="108">
        <v>2</v>
      </c>
      <c r="AK54" s="108"/>
      <c r="AL54" s="108"/>
      <c r="AM54" s="108">
        <v>2</v>
      </c>
      <c r="AN54" s="108"/>
      <c r="AO54" s="108"/>
      <c r="AP54" s="108">
        <v>2</v>
      </c>
      <c r="AQ54" s="108"/>
      <c r="AR54" s="108"/>
      <c r="AS54" s="108">
        <v>2</v>
      </c>
      <c r="AT54" s="108"/>
      <c r="AU54" s="108"/>
      <c r="AV54" s="108">
        <v>2</v>
      </c>
      <c r="AW54" s="108"/>
      <c r="AX54" s="108"/>
      <c r="AY54" s="108">
        <v>2</v>
      </c>
      <c r="AZ54" s="108"/>
      <c r="BA54" s="108"/>
      <c r="BB54" s="108">
        <v>3</v>
      </c>
      <c r="BC54" s="108"/>
      <c r="BD54" s="108"/>
      <c r="BE54" s="112">
        <f t="shared" ref="BE54:BE57" si="21">SUM(F54/30)</f>
        <v>9</v>
      </c>
      <c r="BF54" s="112"/>
      <c r="BG54" s="112"/>
      <c r="BH54" s="112"/>
    </row>
    <row r="55" spans="1:60" s="92" customFormat="1" ht="16.5" customHeight="1" x14ac:dyDescent="0.25">
      <c r="A55" s="136">
        <v>26</v>
      </c>
      <c r="B55" s="136">
        <v>2</v>
      </c>
      <c r="C55" s="89" t="s">
        <v>24</v>
      </c>
      <c r="D55" s="90" t="s">
        <v>204</v>
      </c>
      <c r="E55" s="97" t="s">
        <v>205</v>
      </c>
      <c r="F55" s="109">
        <f t="shared" si="19"/>
        <v>420</v>
      </c>
      <c r="G55" s="109"/>
      <c r="H55" s="109"/>
      <c r="I55" s="109"/>
      <c r="J55" s="109"/>
      <c r="K55" s="109"/>
      <c r="L55" s="109">
        <f t="shared" si="20"/>
        <v>180</v>
      </c>
      <c r="M55" s="109"/>
      <c r="N55" s="109"/>
      <c r="O55" s="108"/>
      <c r="P55" s="108"/>
      <c r="Q55" s="108"/>
      <c r="R55" s="108"/>
      <c r="S55" s="108"/>
      <c r="T55" s="108"/>
      <c r="U55" s="108">
        <v>180</v>
      </c>
      <c r="V55" s="108"/>
      <c r="W55" s="108"/>
      <c r="X55" s="108"/>
      <c r="Y55" s="108"/>
      <c r="Z55" s="108"/>
      <c r="AA55" s="108"/>
      <c r="AB55" s="108"/>
      <c r="AC55" s="108"/>
      <c r="AD55" s="108">
        <v>240</v>
      </c>
      <c r="AE55" s="108"/>
      <c r="AF55" s="108"/>
      <c r="AG55" s="108">
        <v>2</v>
      </c>
      <c r="AH55" s="108"/>
      <c r="AI55" s="108"/>
      <c r="AJ55" s="108">
        <v>4</v>
      </c>
      <c r="AK55" s="108"/>
      <c r="AL55" s="108"/>
      <c r="AM55" s="108">
        <v>4</v>
      </c>
      <c r="AN55" s="108"/>
      <c r="AO55" s="108"/>
      <c r="AP55" s="108">
        <v>2</v>
      </c>
      <c r="AQ55" s="108"/>
      <c r="AR55" s="108"/>
      <c r="AS55" s="108">
        <v>2</v>
      </c>
      <c r="AT55" s="108"/>
      <c r="AU55" s="108"/>
      <c r="AV55" s="108">
        <v>5</v>
      </c>
      <c r="AW55" s="108"/>
      <c r="AX55" s="108"/>
      <c r="AY55" s="108">
        <v>4</v>
      </c>
      <c r="AZ55" s="108"/>
      <c r="BA55" s="108"/>
      <c r="BB55" s="108">
        <v>3</v>
      </c>
      <c r="BC55" s="108"/>
      <c r="BD55" s="108"/>
      <c r="BE55" s="112">
        <f t="shared" si="21"/>
        <v>14</v>
      </c>
      <c r="BF55" s="112"/>
      <c r="BG55" s="112"/>
      <c r="BH55" s="112"/>
    </row>
    <row r="56" spans="1:60" s="92" customFormat="1" ht="16.5" customHeight="1" x14ac:dyDescent="0.25">
      <c r="A56" s="137"/>
      <c r="B56" s="137"/>
      <c r="C56" s="89" t="s">
        <v>24</v>
      </c>
      <c r="D56" s="90" t="s">
        <v>209</v>
      </c>
      <c r="E56" s="97" t="s">
        <v>205</v>
      </c>
      <c r="F56" s="109">
        <f>SUM(L56+AD56)</f>
        <v>270</v>
      </c>
      <c r="G56" s="109"/>
      <c r="H56" s="109"/>
      <c r="I56" s="109"/>
      <c r="J56" s="109"/>
      <c r="K56" s="109"/>
      <c r="L56" s="109">
        <f>SUM(AG56+AJ56+AM56+AP56)*15</f>
        <v>120</v>
      </c>
      <c r="M56" s="109"/>
      <c r="N56" s="109"/>
      <c r="O56" s="108"/>
      <c r="P56" s="108"/>
      <c r="Q56" s="108"/>
      <c r="R56" s="108"/>
      <c r="S56" s="108"/>
      <c r="T56" s="108"/>
      <c r="U56" s="108">
        <v>120</v>
      </c>
      <c r="V56" s="108"/>
      <c r="W56" s="108"/>
      <c r="X56" s="108"/>
      <c r="Y56" s="108"/>
      <c r="Z56" s="108"/>
      <c r="AA56" s="108"/>
      <c r="AB56" s="108"/>
      <c r="AC56" s="108"/>
      <c r="AD56" s="108">
        <v>150</v>
      </c>
      <c r="AE56" s="108"/>
      <c r="AF56" s="108"/>
      <c r="AG56" s="108">
        <v>2</v>
      </c>
      <c r="AH56" s="108"/>
      <c r="AI56" s="108"/>
      <c r="AJ56" s="108">
        <v>2</v>
      </c>
      <c r="AK56" s="108"/>
      <c r="AL56" s="108"/>
      <c r="AM56" s="108">
        <v>2</v>
      </c>
      <c r="AN56" s="108"/>
      <c r="AO56" s="108"/>
      <c r="AP56" s="108">
        <v>2</v>
      </c>
      <c r="AQ56" s="108"/>
      <c r="AR56" s="108"/>
      <c r="AS56" s="108">
        <v>2</v>
      </c>
      <c r="AT56" s="108"/>
      <c r="AU56" s="108"/>
      <c r="AV56" s="108">
        <v>2</v>
      </c>
      <c r="AW56" s="108"/>
      <c r="AX56" s="108"/>
      <c r="AY56" s="108">
        <v>2</v>
      </c>
      <c r="AZ56" s="108"/>
      <c r="BA56" s="108"/>
      <c r="BB56" s="108">
        <v>3</v>
      </c>
      <c r="BC56" s="108"/>
      <c r="BD56" s="108"/>
      <c r="BE56" s="112">
        <f>SUM(F56/30)</f>
        <v>9</v>
      </c>
      <c r="BF56" s="112"/>
      <c r="BG56" s="112"/>
      <c r="BH56" s="112"/>
    </row>
    <row r="57" spans="1:60" s="92" customFormat="1" ht="16.5" customHeight="1" x14ac:dyDescent="0.25">
      <c r="A57" s="88">
        <v>27</v>
      </c>
      <c r="B57" s="88">
        <v>3</v>
      </c>
      <c r="C57" s="89" t="s">
        <v>8</v>
      </c>
      <c r="D57" s="95" t="s">
        <v>213</v>
      </c>
      <c r="E57" s="97" t="s">
        <v>143</v>
      </c>
      <c r="F57" s="114">
        <f t="shared" si="19"/>
        <v>90</v>
      </c>
      <c r="G57" s="115"/>
      <c r="H57" s="116"/>
      <c r="I57" s="117"/>
      <c r="J57" s="118"/>
      <c r="K57" s="119"/>
      <c r="L57" s="114">
        <f t="shared" ref="L57" si="22">SUM(AG57+AJ57+AM57+AP57)*15</f>
        <v>30</v>
      </c>
      <c r="M57" s="115"/>
      <c r="N57" s="116"/>
      <c r="O57" s="120">
        <v>16</v>
      </c>
      <c r="P57" s="121"/>
      <c r="Q57" s="122"/>
      <c r="R57" s="120">
        <v>14</v>
      </c>
      <c r="S57" s="121"/>
      <c r="T57" s="122"/>
      <c r="U57" s="120"/>
      <c r="V57" s="121"/>
      <c r="W57" s="122"/>
      <c r="X57" s="120"/>
      <c r="Y57" s="121"/>
      <c r="Z57" s="122"/>
      <c r="AA57" s="120"/>
      <c r="AB57" s="121"/>
      <c r="AC57" s="122"/>
      <c r="AD57" s="120">
        <v>60</v>
      </c>
      <c r="AE57" s="121"/>
      <c r="AF57" s="122"/>
      <c r="AG57" s="120"/>
      <c r="AH57" s="121"/>
      <c r="AI57" s="122"/>
      <c r="AJ57" s="120"/>
      <c r="AK57" s="121"/>
      <c r="AL57" s="122"/>
      <c r="AM57" s="120">
        <v>2</v>
      </c>
      <c r="AN57" s="121"/>
      <c r="AO57" s="122"/>
      <c r="AP57" s="120"/>
      <c r="AQ57" s="121"/>
      <c r="AR57" s="122"/>
      <c r="AS57" s="120"/>
      <c r="AT57" s="121"/>
      <c r="AU57" s="122"/>
      <c r="AV57" s="120"/>
      <c r="AW57" s="121"/>
      <c r="AX57" s="122"/>
      <c r="AY57" s="120">
        <v>3</v>
      </c>
      <c r="AZ57" s="121"/>
      <c r="BA57" s="122"/>
      <c r="BB57" s="120"/>
      <c r="BC57" s="121"/>
      <c r="BD57" s="122"/>
      <c r="BE57" s="123">
        <f t="shared" si="21"/>
        <v>3</v>
      </c>
      <c r="BF57" s="124"/>
      <c r="BG57" s="124"/>
      <c r="BH57" s="125"/>
    </row>
    <row r="58" spans="1:60" x14ac:dyDescent="0.25">
      <c r="A58" s="15">
        <v>28</v>
      </c>
      <c r="B58" s="15">
        <v>4</v>
      </c>
      <c r="C58" s="14" t="s">
        <v>23</v>
      </c>
      <c r="D58" s="71" t="s">
        <v>208</v>
      </c>
      <c r="E58" s="97" t="s">
        <v>226</v>
      </c>
      <c r="F58" s="106">
        <f t="shared" ref="F58" si="23">SUM(L58+AD58)</f>
        <v>270</v>
      </c>
      <c r="G58" s="106"/>
      <c r="H58" s="106"/>
      <c r="I58" s="106"/>
      <c r="J58" s="106"/>
      <c r="K58" s="106"/>
      <c r="L58" s="106">
        <f t="shared" ref="L58" si="24">SUM(AG58+AJ58+AM58+AP58)*15</f>
        <v>120</v>
      </c>
      <c r="M58" s="106"/>
      <c r="N58" s="106"/>
      <c r="O58" s="104"/>
      <c r="P58" s="104"/>
      <c r="Q58" s="104"/>
      <c r="R58" s="104"/>
      <c r="S58" s="104"/>
      <c r="T58" s="104"/>
      <c r="U58" s="104">
        <v>120</v>
      </c>
      <c r="V58" s="104"/>
      <c r="W58" s="104"/>
      <c r="X58" s="104"/>
      <c r="Y58" s="104"/>
      <c r="Z58" s="104"/>
      <c r="AA58" s="104"/>
      <c r="AB58" s="104"/>
      <c r="AC58" s="104"/>
      <c r="AD58" s="104">
        <v>150</v>
      </c>
      <c r="AE58" s="104"/>
      <c r="AF58" s="104"/>
      <c r="AG58" s="104">
        <v>2</v>
      </c>
      <c r="AH58" s="104"/>
      <c r="AI58" s="104"/>
      <c r="AJ58" s="104">
        <v>2</v>
      </c>
      <c r="AK58" s="104"/>
      <c r="AL58" s="104"/>
      <c r="AM58" s="104">
        <v>2</v>
      </c>
      <c r="AN58" s="104"/>
      <c r="AO58" s="104"/>
      <c r="AP58" s="104">
        <v>2</v>
      </c>
      <c r="AQ58" s="104"/>
      <c r="AR58" s="104"/>
      <c r="AS58" s="104">
        <v>2</v>
      </c>
      <c r="AT58" s="104"/>
      <c r="AU58" s="104"/>
      <c r="AV58" s="104">
        <v>2</v>
      </c>
      <c r="AW58" s="104"/>
      <c r="AX58" s="104"/>
      <c r="AY58" s="104">
        <v>2</v>
      </c>
      <c r="AZ58" s="104"/>
      <c r="BA58" s="104"/>
      <c r="BB58" s="104">
        <v>3</v>
      </c>
      <c r="BC58" s="104"/>
      <c r="BD58" s="104"/>
      <c r="BE58" s="105">
        <f t="shared" ref="BE58" si="25">SUM(F58/30)</f>
        <v>9</v>
      </c>
      <c r="BF58" s="105"/>
      <c r="BG58" s="105"/>
      <c r="BH58" s="105"/>
    </row>
    <row r="59" spans="1:60" ht="16.5" customHeight="1" x14ac:dyDescent="0.25">
      <c r="A59" s="113" t="s">
        <v>230</v>
      </c>
      <c r="B59" s="113"/>
      <c r="C59" s="113"/>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c r="AO59" s="113"/>
      <c r="AP59" s="113"/>
      <c r="AQ59" s="113"/>
      <c r="AR59" s="113"/>
      <c r="AS59" s="113"/>
      <c r="AT59" s="113"/>
      <c r="AU59" s="113"/>
      <c r="AV59" s="113"/>
      <c r="AW59" s="113"/>
      <c r="AX59" s="113"/>
      <c r="AY59" s="113"/>
      <c r="AZ59" s="113"/>
      <c r="BA59" s="113"/>
      <c r="BB59" s="113"/>
      <c r="BC59" s="113"/>
      <c r="BD59" s="113"/>
      <c r="BE59" s="113"/>
      <c r="BF59" s="113"/>
      <c r="BG59" s="113"/>
      <c r="BH59" s="113"/>
    </row>
    <row r="60" spans="1:60" ht="16.5" customHeight="1" x14ac:dyDescent="0.25">
      <c r="A60" s="113"/>
      <c r="B60" s="113"/>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c r="AO60" s="113"/>
      <c r="AP60" s="113"/>
      <c r="AQ60" s="113"/>
      <c r="AR60" s="113"/>
      <c r="AS60" s="113"/>
      <c r="AT60" s="113"/>
      <c r="AU60" s="113"/>
      <c r="AV60" s="113"/>
      <c r="AW60" s="113"/>
      <c r="AX60" s="113"/>
      <c r="AY60" s="113"/>
      <c r="AZ60" s="113"/>
      <c r="BA60" s="113"/>
      <c r="BB60" s="113"/>
      <c r="BC60" s="113"/>
      <c r="BD60" s="113"/>
      <c r="BE60" s="113"/>
      <c r="BF60" s="113"/>
      <c r="BG60" s="113"/>
      <c r="BH60" s="113"/>
    </row>
    <row r="61" spans="1:60" s="92" customFormat="1" ht="16.5" customHeight="1" x14ac:dyDescent="0.25">
      <c r="A61" s="88">
        <v>29</v>
      </c>
      <c r="B61" s="88">
        <v>1</v>
      </c>
      <c r="C61" s="89" t="s">
        <v>23</v>
      </c>
      <c r="D61" s="90" t="s">
        <v>39</v>
      </c>
      <c r="E61" s="97" t="s">
        <v>159</v>
      </c>
      <c r="F61" s="109">
        <f t="shared" ref="F61:F65" si="26">SUM(L61+AD61)</f>
        <v>300</v>
      </c>
      <c r="G61" s="109"/>
      <c r="H61" s="109"/>
      <c r="I61" s="108"/>
      <c r="J61" s="108"/>
      <c r="K61" s="108"/>
      <c r="L61" s="109">
        <f t="shared" ref="L61:L64" si="27">SUM(AG61+AJ61+AM61+AP61)*15</f>
        <v>120</v>
      </c>
      <c r="M61" s="109"/>
      <c r="N61" s="109"/>
      <c r="O61" s="108"/>
      <c r="P61" s="108"/>
      <c r="Q61" s="108"/>
      <c r="R61" s="108"/>
      <c r="S61" s="108"/>
      <c r="T61" s="108"/>
      <c r="U61" s="108">
        <v>120</v>
      </c>
      <c r="V61" s="108"/>
      <c r="W61" s="108"/>
      <c r="X61" s="108"/>
      <c r="Y61" s="108"/>
      <c r="Z61" s="108"/>
      <c r="AA61" s="108"/>
      <c r="AB61" s="108"/>
      <c r="AC61" s="108"/>
      <c r="AD61" s="108">
        <v>180</v>
      </c>
      <c r="AE61" s="108"/>
      <c r="AF61" s="108"/>
      <c r="AG61" s="108">
        <v>2</v>
      </c>
      <c r="AH61" s="108"/>
      <c r="AI61" s="108"/>
      <c r="AJ61" s="108">
        <v>2</v>
      </c>
      <c r="AK61" s="108"/>
      <c r="AL61" s="108"/>
      <c r="AM61" s="108">
        <v>2</v>
      </c>
      <c r="AN61" s="108"/>
      <c r="AO61" s="108"/>
      <c r="AP61" s="108">
        <v>2</v>
      </c>
      <c r="AQ61" s="108"/>
      <c r="AR61" s="108"/>
      <c r="AS61" s="108">
        <v>3</v>
      </c>
      <c r="AT61" s="108"/>
      <c r="AU61" s="108"/>
      <c r="AV61" s="108">
        <v>2</v>
      </c>
      <c r="AW61" s="108"/>
      <c r="AX61" s="108"/>
      <c r="AY61" s="108">
        <v>2</v>
      </c>
      <c r="AZ61" s="108"/>
      <c r="BA61" s="108"/>
      <c r="BB61" s="108">
        <v>3</v>
      </c>
      <c r="BC61" s="108"/>
      <c r="BD61" s="108"/>
      <c r="BE61" s="112">
        <f t="shared" ref="BE61:BE65" si="28">SUM(F61/30)</f>
        <v>10</v>
      </c>
      <c r="BF61" s="112"/>
      <c r="BG61" s="112"/>
      <c r="BH61" s="112"/>
    </row>
    <row r="62" spans="1:60" s="92" customFormat="1" ht="16.5" customHeight="1" x14ac:dyDescent="0.25">
      <c r="A62" s="88">
        <v>30</v>
      </c>
      <c r="B62" s="88">
        <v>2</v>
      </c>
      <c r="C62" s="89" t="s">
        <v>24</v>
      </c>
      <c r="D62" s="90" t="s">
        <v>229</v>
      </c>
      <c r="E62" s="97" t="s">
        <v>160</v>
      </c>
      <c r="F62" s="109">
        <f t="shared" si="26"/>
        <v>570</v>
      </c>
      <c r="G62" s="109"/>
      <c r="H62" s="109"/>
      <c r="I62" s="108"/>
      <c r="J62" s="108"/>
      <c r="K62" s="108"/>
      <c r="L62" s="109">
        <f t="shared" si="27"/>
        <v>240</v>
      </c>
      <c r="M62" s="109"/>
      <c r="N62" s="109"/>
      <c r="O62" s="108"/>
      <c r="P62" s="108"/>
      <c r="Q62" s="108"/>
      <c r="R62" s="108">
        <v>240</v>
      </c>
      <c r="S62" s="108"/>
      <c r="T62" s="108"/>
      <c r="U62" s="108"/>
      <c r="V62" s="108"/>
      <c r="W62" s="108"/>
      <c r="X62" s="108"/>
      <c r="Y62" s="108"/>
      <c r="Z62" s="108"/>
      <c r="AA62" s="108"/>
      <c r="AB62" s="108"/>
      <c r="AC62" s="108"/>
      <c r="AD62" s="108">
        <v>330</v>
      </c>
      <c r="AE62" s="108"/>
      <c r="AF62" s="108"/>
      <c r="AG62" s="108">
        <v>4</v>
      </c>
      <c r="AH62" s="108"/>
      <c r="AI62" s="108"/>
      <c r="AJ62" s="108">
        <v>4</v>
      </c>
      <c r="AK62" s="108"/>
      <c r="AL62" s="108"/>
      <c r="AM62" s="108">
        <v>4</v>
      </c>
      <c r="AN62" s="108"/>
      <c r="AO62" s="108"/>
      <c r="AP62" s="108">
        <v>4</v>
      </c>
      <c r="AQ62" s="108"/>
      <c r="AR62" s="108"/>
      <c r="AS62" s="108">
        <v>5</v>
      </c>
      <c r="AT62" s="108"/>
      <c r="AU62" s="108"/>
      <c r="AV62" s="108">
        <v>5</v>
      </c>
      <c r="AW62" s="108"/>
      <c r="AX62" s="108"/>
      <c r="AY62" s="108">
        <v>4</v>
      </c>
      <c r="AZ62" s="108"/>
      <c r="BA62" s="108"/>
      <c r="BB62" s="108">
        <v>5</v>
      </c>
      <c r="BC62" s="108"/>
      <c r="BD62" s="108"/>
      <c r="BE62" s="112">
        <f t="shared" si="28"/>
        <v>19</v>
      </c>
      <c r="BF62" s="112"/>
      <c r="BG62" s="112"/>
      <c r="BH62" s="112"/>
    </row>
    <row r="63" spans="1:60" s="92" customFormat="1" ht="16.5" customHeight="1" x14ac:dyDescent="0.25">
      <c r="A63" s="88">
        <v>31</v>
      </c>
      <c r="B63" s="88">
        <v>3</v>
      </c>
      <c r="C63" s="89" t="s">
        <v>25</v>
      </c>
      <c r="D63" s="95" t="s">
        <v>210</v>
      </c>
      <c r="E63" s="97" t="s">
        <v>227</v>
      </c>
      <c r="F63" s="109">
        <f>SUM(L63+AD63)</f>
        <v>150</v>
      </c>
      <c r="G63" s="109"/>
      <c r="H63" s="109"/>
      <c r="I63" s="110"/>
      <c r="J63" s="110"/>
      <c r="K63" s="110"/>
      <c r="L63" s="109">
        <f>SUM(AG63+AJ63+AM63+AP63)*15</f>
        <v>60</v>
      </c>
      <c r="M63" s="109"/>
      <c r="N63" s="109"/>
      <c r="O63" s="108"/>
      <c r="P63" s="108"/>
      <c r="Q63" s="108"/>
      <c r="R63" s="108">
        <v>60</v>
      </c>
      <c r="S63" s="108"/>
      <c r="T63" s="108"/>
      <c r="U63" s="109"/>
      <c r="V63" s="109"/>
      <c r="W63" s="109"/>
      <c r="X63" s="108"/>
      <c r="Y63" s="108"/>
      <c r="Z63" s="108"/>
      <c r="AA63" s="109"/>
      <c r="AB63" s="109"/>
      <c r="AC63" s="109"/>
      <c r="AD63" s="108">
        <v>90</v>
      </c>
      <c r="AE63" s="108"/>
      <c r="AF63" s="108"/>
      <c r="AG63" s="108"/>
      <c r="AH63" s="108"/>
      <c r="AI63" s="108"/>
      <c r="AJ63" s="108">
        <v>2</v>
      </c>
      <c r="AK63" s="108"/>
      <c r="AL63" s="108"/>
      <c r="AM63" s="108">
        <v>2</v>
      </c>
      <c r="AN63" s="108"/>
      <c r="AO63" s="108"/>
      <c r="AP63" s="108"/>
      <c r="AQ63" s="108"/>
      <c r="AR63" s="108"/>
      <c r="AS63" s="108"/>
      <c r="AT63" s="108"/>
      <c r="AU63" s="108"/>
      <c r="AV63" s="108">
        <v>3</v>
      </c>
      <c r="AW63" s="108"/>
      <c r="AX63" s="108"/>
      <c r="AY63" s="108">
        <v>2</v>
      </c>
      <c r="AZ63" s="108"/>
      <c r="BA63" s="108"/>
      <c r="BB63" s="108"/>
      <c r="BC63" s="108"/>
      <c r="BD63" s="108"/>
      <c r="BE63" s="112">
        <f>SUM(F63/30)</f>
        <v>5</v>
      </c>
      <c r="BF63" s="112"/>
      <c r="BG63" s="112"/>
      <c r="BH63" s="112"/>
    </row>
    <row r="64" spans="1:60" s="92" customFormat="1" ht="16.5" customHeight="1" x14ac:dyDescent="0.25">
      <c r="A64" s="88">
        <v>32</v>
      </c>
      <c r="B64" s="88">
        <v>4</v>
      </c>
      <c r="C64" s="89" t="s">
        <v>25</v>
      </c>
      <c r="D64" s="90" t="s">
        <v>40</v>
      </c>
      <c r="E64" s="97" t="s">
        <v>161</v>
      </c>
      <c r="F64" s="109">
        <f t="shared" si="26"/>
        <v>150</v>
      </c>
      <c r="G64" s="109"/>
      <c r="H64" s="109"/>
      <c r="I64" s="108"/>
      <c r="J64" s="108"/>
      <c r="K64" s="108"/>
      <c r="L64" s="109">
        <f t="shared" si="27"/>
        <v>60</v>
      </c>
      <c r="M64" s="109"/>
      <c r="N64" s="109"/>
      <c r="O64" s="108"/>
      <c r="P64" s="108"/>
      <c r="Q64" s="108"/>
      <c r="R64" s="108"/>
      <c r="S64" s="108"/>
      <c r="T64" s="108"/>
      <c r="U64" s="108">
        <v>60</v>
      </c>
      <c r="V64" s="108"/>
      <c r="W64" s="108"/>
      <c r="X64" s="108"/>
      <c r="Y64" s="108"/>
      <c r="Z64" s="108"/>
      <c r="AA64" s="108"/>
      <c r="AB64" s="108"/>
      <c r="AC64" s="108"/>
      <c r="AD64" s="108">
        <v>90</v>
      </c>
      <c r="AE64" s="108"/>
      <c r="AF64" s="108"/>
      <c r="AG64" s="108">
        <v>4</v>
      </c>
      <c r="AH64" s="108"/>
      <c r="AI64" s="108"/>
      <c r="AJ64" s="108"/>
      <c r="AK64" s="108"/>
      <c r="AL64" s="108"/>
      <c r="AM64" s="108"/>
      <c r="AN64" s="108"/>
      <c r="AO64" s="108"/>
      <c r="AP64" s="108"/>
      <c r="AQ64" s="108"/>
      <c r="AR64" s="108"/>
      <c r="AS64" s="108">
        <v>5</v>
      </c>
      <c r="AT64" s="108"/>
      <c r="AU64" s="108"/>
      <c r="AV64" s="108"/>
      <c r="AW64" s="108"/>
      <c r="AX64" s="108"/>
      <c r="AY64" s="108"/>
      <c r="AZ64" s="108"/>
      <c r="BA64" s="108"/>
      <c r="BB64" s="108"/>
      <c r="BC64" s="108"/>
      <c r="BD64" s="108"/>
      <c r="BE64" s="112">
        <f t="shared" si="28"/>
        <v>5</v>
      </c>
      <c r="BF64" s="112"/>
      <c r="BG64" s="112"/>
      <c r="BH64" s="112"/>
    </row>
    <row r="65" spans="1:60" s="92" customFormat="1" ht="16.5" customHeight="1" x14ac:dyDescent="0.25">
      <c r="A65" s="88">
        <v>33</v>
      </c>
      <c r="B65" s="88">
        <v>5</v>
      </c>
      <c r="C65" s="89" t="s">
        <v>8</v>
      </c>
      <c r="D65" s="95" t="s">
        <v>213</v>
      </c>
      <c r="E65" s="97" t="s">
        <v>143</v>
      </c>
      <c r="F65" s="114">
        <f t="shared" si="26"/>
        <v>90</v>
      </c>
      <c r="G65" s="115"/>
      <c r="H65" s="116"/>
      <c r="I65" s="117"/>
      <c r="J65" s="118"/>
      <c r="K65" s="119"/>
      <c r="L65" s="114">
        <f t="shared" ref="L65" si="29">SUM(AG65+AJ65+AM65+AP65)*15</f>
        <v>30</v>
      </c>
      <c r="M65" s="115"/>
      <c r="N65" s="116"/>
      <c r="O65" s="120">
        <v>16</v>
      </c>
      <c r="P65" s="121"/>
      <c r="Q65" s="122"/>
      <c r="R65" s="120">
        <v>14</v>
      </c>
      <c r="S65" s="121"/>
      <c r="T65" s="122"/>
      <c r="U65" s="120"/>
      <c r="V65" s="121"/>
      <c r="W65" s="122"/>
      <c r="X65" s="120"/>
      <c r="Y65" s="121"/>
      <c r="Z65" s="122"/>
      <c r="AA65" s="120"/>
      <c r="AB65" s="121"/>
      <c r="AC65" s="122"/>
      <c r="AD65" s="120">
        <v>60</v>
      </c>
      <c r="AE65" s="121"/>
      <c r="AF65" s="122"/>
      <c r="AG65" s="120"/>
      <c r="AH65" s="121"/>
      <c r="AI65" s="122"/>
      <c r="AJ65" s="120"/>
      <c r="AK65" s="121"/>
      <c r="AL65" s="122"/>
      <c r="AM65" s="120">
        <v>2</v>
      </c>
      <c r="AN65" s="121"/>
      <c r="AO65" s="122"/>
      <c r="AP65" s="120"/>
      <c r="AQ65" s="121"/>
      <c r="AR65" s="122"/>
      <c r="AS65" s="120"/>
      <c r="AT65" s="121"/>
      <c r="AU65" s="122"/>
      <c r="AV65" s="120"/>
      <c r="AW65" s="121"/>
      <c r="AX65" s="122"/>
      <c r="AY65" s="120">
        <v>3</v>
      </c>
      <c r="AZ65" s="121"/>
      <c r="BA65" s="122"/>
      <c r="BB65" s="120"/>
      <c r="BC65" s="121"/>
      <c r="BD65" s="122"/>
      <c r="BE65" s="123">
        <f t="shared" si="28"/>
        <v>3</v>
      </c>
      <c r="BF65" s="124"/>
      <c r="BG65" s="124"/>
      <c r="BH65" s="125"/>
    </row>
    <row r="66" spans="1:60" ht="16.5" customHeight="1" x14ac:dyDescent="0.25">
      <c r="A66" s="113" t="s">
        <v>128</v>
      </c>
      <c r="B66" s="113"/>
      <c r="C66" s="113"/>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c r="AO66" s="113"/>
      <c r="AP66" s="113"/>
      <c r="AQ66" s="113"/>
      <c r="AR66" s="113"/>
      <c r="AS66" s="113"/>
      <c r="AT66" s="113"/>
      <c r="AU66" s="113"/>
      <c r="AV66" s="113"/>
      <c r="AW66" s="113"/>
      <c r="AX66" s="113"/>
      <c r="AY66" s="113"/>
      <c r="AZ66" s="113"/>
      <c r="BA66" s="113"/>
      <c r="BB66" s="113"/>
      <c r="BC66" s="113"/>
      <c r="BD66" s="113"/>
      <c r="BE66" s="113"/>
      <c r="BF66" s="113"/>
      <c r="BG66" s="113"/>
      <c r="BH66" s="113"/>
    </row>
    <row r="67" spans="1:60" ht="16.5" customHeight="1" x14ac:dyDescent="0.25">
      <c r="A67" s="113"/>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c r="AO67" s="113"/>
      <c r="AP67" s="113"/>
      <c r="AQ67" s="113"/>
      <c r="AR67" s="113"/>
      <c r="AS67" s="113"/>
      <c r="AT67" s="113"/>
      <c r="AU67" s="113"/>
      <c r="AV67" s="113"/>
      <c r="AW67" s="113"/>
      <c r="AX67" s="113"/>
      <c r="AY67" s="113"/>
      <c r="AZ67" s="113"/>
      <c r="BA67" s="113"/>
      <c r="BB67" s="113"/>
      <c r="BC67" s="113"/>
      <c r="BD67" s="113"/>
      <c r="BE67" s="113"/>
      <c r="BF67" s="113"/>
      <c r="BG67" s="113"/>
      <c r="BH67" s="113"/>
    </row>
    <row r="68" spans="1:60" s="92" customFormat="1" x14ac:dyDescent="0.25">
      <c r="A68" s="88">
        <v>34</v>
      </c>
      <c r="B68" s="88">
        <v>1</v>
      </c>
      <c r="C68" s="89" t="s">
        <v>23</v>
      </c>
      <c r="D68" s="90" t="s">
        <v>43</v>
      </c>
      <c r="E68" s="97" t="s">
        <v>168</v>
      </c>
      <c r="F68" s="109">
        <f t="shared" ref="F68:F71" si="30">SUM(L68+AD68)</f>
        <v>270</v>
      </c>
      <c r="G68" s="109"/>
      <c r="H68" s="109"/>
      <c r="I68" s="109"/>
      <c r="J68" s="109"/>
      <c r="K68" s="109"/>
      <c r="L68" s="109">
        <f t="shared" ref="L68:L70" si="31">SUM(AG68+AJ68+AM68+AP68)*15</f>
        <v>120</v>
      </c>
      <c r="M68" s="109"/>
      <c r="N68" s="109"/>
      <c r="O68" s="108"/>
      <c r="P68" s="108"/>
      <c r="Q68" s="108"/>
      <c r="R68" s="108"/>
      <c r="S68" s="108"/>
      <c r="T68" s="108"/>
      <c r="U68" s="108">
        <v>120</v>
      </c>
      <c r="V68" s="108"/>
      <c r="W68" s="108"/>
      <c r="X68" s="108"/>
      <c r="Y68" s="108"/>
      <c r="Z68" s="108"/>
      <c r="AA68" s="109"/>
      <c r="AB68" s="109"/>
      <c r="AC68" s="109"/>
      <c r="AD68" s="108">
        <v>150</v>
      </c>
      <c r="AE68" s="108"/>
      <c r="AF68" s="108"/>
      <c r="AG68" s="108">
        <v>2</v>
      </c>
      <c r="AH68" s="108"/>
      <c r="AI68" s="108"/>
      <c r="AJ68" s="108">
        <v>2</v>
      </c>
      <c r="AK68" s="108"/>
      <c r="AL68" s="108"/>
      <c r="AM68" s="108">
        <v>2</v>
      </c>
      <c r="AN68" s="108"/>
      <c r="AO68" s="108"/>
      <c r="AP68" s="108">
        <v>2</v>
      </c>
      <c r="AQ68" s="108"/>
      <c r="AR68" s="108"/>
      <c r="AS68" s="108">
        <v>2</v>
      </c>
      <c r="AT68" s="108"/>
      <c r="AU68" s="108"/>
      <c r="AV68" s="108">
        <v>2</v>
      </c>
      <c r="AW68" s="108"/>
      <c r="AX68" s="108"/>
      <c r="AY68" s="108">
        <v>2</v>
      </c>
      <c r="AZ68" s="108"/>
      <c r="BA68" s="108"/>
      <c r="BB68" s="108">
        <v>3</v>
      </c>
      <c r="BC68" s="108"/>
      <c r="BD68" s="108"/>
      <c r="BE68" s="112">
        <f t="shared" ref="BE68:BE71" si="32">SUM(F68/30)</f>
        <v>9</v>
      </c>
      <c r="BF68" s="112"/>
      <c r="BG68" s="112"/>
      <c r="BH68" s="112"/>
    </row>
    <row r="69" spans="1:60" s="92" customFormat="1" ht="31.5" x14ac:dyDescent="0.25">
      <c r="A69" s="88">
        <v>35</v>
      </c>
      <c r="B69" s="88">
        <v>2</v>
      </c>
      <c r="C69" s="89" t="s">
        <v>24</v>
      </c>
      <c r="D69" s="90" t="s">
        <v>44</v>
      </c>
      <c r="E69" s="100" t="s">
        <v>169</v>
      </c>
      <c r="F69" s="109">
        <f t="shared" si="30"/>
        <v>270</v>
      </c>
      <c r="G69" s="109"/>
      <c r="H69" s="109"/>
      <c r="I69" s="109"/>
      <c r="J69" s="109"/>
      <c r="K69" s="109"/>
      <c r="L69" s="109">
        <f t="shared" si="31"/>
        <v>120</v>
      </c>
      <c r="M69" s="109"/>
      <c r="N69" s="109"/>
      <c r="O69" s="108"/>
      <c r="P69" s="108"/>
      <c r="Q69" s="108"/>
      <c r="R69" s="108"/>
      <c r="S69" s="108"/>
      <c r="T69" s="108"/>
      <c r="U69" s="108">
        <v>120</v>
      </c>
      <c r="V69" s="108"/>
      <c r="W69" s="108"/>
      <c r="X69" s="108"/>
      <c r="Y69" s="108"/>
      <c r="Z69" s="108"/>
      <c r="AA69" s="109"/>
      <c r="AB69" s="109"/>
      <c r="AC69" s="109"/>
      <c r="AD69" s="108">
        <v>150</v>
      </c>
      <c r="AE69" s="108"/>
      <c r="AF69" s="108"/>
      <c r="AG69" s="108">
        <v>2</v>
      </c>
      <c r="AH69" s="108"/>
      <c r="AI69" s="108"/>
      <c r="AJ69" s="108">
        <v>2</v>
      </c>
      <c r="AK69" s="108"/>
      <c r="AL69" s="108"/>
      <c r="AM69" s="108">
        <v>2</v>
      </c>
      <c r="AN69" s="108"/>
      <c r="AO69" s="108"/>
      <c r="AP69" s="108">
        <v>2</v>
      </c>
      <c r="AQ69" s="108"/>
      <c r="AR69" s="108"/>
      <c r="AS69" s="108">
        <v>2</v>
      </c>
      <c r="AT69" s="108"/>
      <c r="AU69" s="108"/>
      <c r="AV69" s="108">
        <v>2</v>
      </c>
      <c r="AW69" s="108"/>
      <c r="AX69" s="108"/>
      <c r="AY69" s="108">
        <v>2</v>
      </c>
      <c r="AZ69" s="108"/>
      <c r="BA69" s="108"/>
      <c r="BB69" s="108">
        <v>3</v>
      </c>
      <c r="BC69" s="108"/>
      <c r="BD69" s="108"/>
      <c r="BE69" s="112">
        <f t="shared" si="32"/>
        <v>9</v>
      </c>
      <c r="BF69" s="112"/>
      <c r="BG69" s="112"/>
      <c r="BH69" s="112"/>
    </row>
    <row r="70" spans="1:60" s="92" customFormat="1" x14ac:dyDescent="0.25">
      <c r="A70" s="88">
        <v>36</v>
      </c>
      <c r="B70" s="88">
        <v>3</v>
      </c>
      <c r="C70" s="89" t="s">
        <v>25</v>
      </c>
      <c r="D70" s="90" t="s">
        <v>42</v>
      </c>
      <c r="E70" s="97" t="s">
        <v>170</v>
      </c>
      <c r="F70" s="109">
        <f t="shared" si="30"/>
        <v>300</v>
      </c>
      <c r="G70" s="109"/>
      <c r="H70" s="109"/>
      <c r="I70" s="109"/>
      <c r="J70" s="109"/>
      <c r="K70" s="109"/>
      <c r="L70" s="109">
        <f t="shared" si="31"/>
        <v>120</v>
      </c>
      <c r="M70" s="109"/>
      <c r="N70" s="109"/>
      <c r="O70" s="108"/>
      <c r="P70" s="108"/>
      <c r="Q70" s="108"/>
      <c r="R70" s="108"/>
      <c r="S70" s="108"/>
      <c r="T70" s="108"/>
      <c r="U70" s="108">
        <v>120</v>
      </c>
      <c r="V70" s="108"/>
      <c r="W70" s="108"/>
      <c r="X70" s="108"/>
      <c r="Y70" s="108"/>
      <c r="Z70" s="108"/>
      <c r="AA70" s="109"/>
      <c r="AB70" s="109"/>
      <c r="AC70" s="109"/>
      <c r="AD70" s="108">
        <v>180</v>
      </c>
      <c r="AE70" s="108"/>
      <c r="AF70" s="108"/>
      <c r="AG70" s="108">
        <v>2</v>
      </c>
      <c r="AH70" s="108"/>
      <c r="AI70" s="108"/>
      <c r="AJ70" s="108">
        <v>2</v>
      </c>
      <c r="AK70" s="108"/>
      <c r="AL70" s="108"/>
      <c r="AM70" s="108">
        <v>2</v>
      </c>
      <c r="AN70" s="108"/>
      <c r="AO70" s="108"/>
      <c r="AP70" s="108">
        <v>2</v>
      </c>
      <c r="AQ70" s="108"/>
      <c r="AR70" s="108"/>
      <c r="AS70" s="108">
        <v>3</v>
      </c>
      <c r="AT70" s="108"/>
      <c r="AU70" s="108"/>
      <c r="AV70" s="108">
        <v>3</v>
      </c>
      <c r="AW70" s="108"/>
      <c r="AX70" s="108"/>
      <c r="AY70" s="108">
        <v>2</v>
      </c>
      <c r="AZ70" s="108"/>
      <c r="BA70" s="108"/>
      <c r="BB70" s="108">
        <v>2</v>
      </c>
      <c r="BC70" s="108"/>
      <c r="BD70" s="108"/>
      <c r="BE70" s="112">
        <f t="shared" si="32"/>
        <v>10</v>
      </c>
      <c r="BF70" s="112"/>
      <c r="BG70" s="112"/>
      <c r="BH70" s="112"/>
    </row>
    <row r="71" spans="1:60" s="92" customFormat="1" ht="16.5" customHeight="1" x14ac:dyDescent="0.25">
      <c r="A71" s="88">
        <v>37</v>
      </c>
      <c r="B71" s="88">
        <v>3</v>
      </c>
      <c r="C71" s="89" t="s">
        <v>8</v>
      </c>
      <c r="D71" s="95" t="s">
        <v>213</v>
      </c>
      <c r="E71" s="97" t="s">
        <v>143</v>
      </c>
      <c r="F71" s="114">
        <f t="shared" si="30"/>
        <v>90</v>
      </c>
      <c r="G71" s="115"/>
      <c r="H71" s="116"/>
      <c r="I71" s="117"/>
      <c r="J71" s="118"/>
      <c r="K71" s="119"/>
      <c r="L71" s="114">
        <f t="shared" ref="L71" si="33">SUM(AG71+AJ71+AM71+AP71)*15</f>
        <v>30</v>
      </c>
      <c r="M71" s="115"/>
      <c r="N71" s="116"/>
      <c r="O71" s="120">
        <v>16</v>
      </c>
      <c r="P71" s="121"/>
      <c r="Q71" s="122"/>
      <c r="R71" s="120">
        <v>14</v>
      </c>
      <c r="S71" s="121"/>
      <c r="T71" s="122"/>
      <c r="U71" s="120"/>
      <c r="V71" s="121"/>
      <c r="W71" s="122"/>
      <c r="X71" s="120"/>
      <c r="Y71" s="121"/>
      <c r="Z71" s="122"/>
      <c r="AA71" s="120"/>
      <c r="AB71" s="121"/>
      <c r="AC71" s="122"/>
      <c r="AD71" s="120">
        <v>60</v>
      </c>
      <c r="AE71" s="121"/>
      <c r="AF71" s="122"/>
      <c r="AG71" s="120"/>
      <c r="AH71" s="121"/>
      <c r="AI71" s="122"/>
      <c r="AJ71" s="120"/>
      <c r="AK71" s="121"/>
      <c r="AL71" s="122"/>
      <c r="AM71" s="120">
        <v>2</v>
      </c>
      <c r="AN71" s="121"/>
      <c r="AO71" s="122"/>
      <c r="AP71" s="120"/>
      <c r="AQ71" s="121"/>
      <c r="AR71" s="122"/>
      <c r="AS71" s="120"/>
      <c r="AT71" s="121"/>
      <c r="AU71" s="122"/>
      <c r="AV71" s="120"/>
      <c r="AW71" s="121"/>
      <c r="AX71" s="122"/>
      <c r="AY71" s="120">
        <v>3</v>
      </c>
      <c r="AZ71" s="121"/>
      <c r="BA71" s="122"/>
      <c r="BB71" s="120"/>
      <c r="BC71" s="121"/>
      <c r="BD71" s="122"/>
      <c r="BE71" s="123">
        <f t="shared" si="32"/>
        <v>3</v>
      </c>
      <c r="BF71" s="124"/>
      <c r="BG71" s="124"/>
      <c r="BH71" s="125"/>
    </row>
    <row r="72" spans="1:60" ht="16.5" customHeight="1" x14ac:dyDescent="0.25">
      <c r="A72" s="113" t="s">
        <v>231</v>
      </c>
      <c r="B72" s="113"/>
      <c r="C72" s="113"/>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c r="AO72" s="113"/>
      <c r="AP72" s="113"/>
      <c r="AQ72" s="113"/>
      <c r="AR72" s="113"/>
      <c r="AS72" s="113"/>
      <c r="AT72" s="113"/>
      <c r="AU72" s="113"/>
      <c r="AV72" s="113"/>
      <c r="AW72" s="113"/>
      <c r="AX72" s="113"/>
      <c r="AY72" s="113"/>
      <c r="AZ72" s="113"/>
      <c r="BA72" s="113"/>
      <c r="BB72" s="113"/>
      <c r="BC72" s="113"/>
      <c r="BD72" s="113"/>
      <c r="BE72" s="113"/>
      <c r="BF72" s="113"/>
      <c r="BG72" s="113"/>
      <c r="BH72" s="113"/>
    </row>
    <row r="73" spans="1:60" ht="16.5" customHeight="1" x14ac:dyDescent="0.25">
      <c r="A73" s="113"/>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c r="AO73" s="113"/>
      <c r="AP73" s="113"/>
      <c r="AQ73" s="113"/>
      <c r="AR73" s="113"/>
      <c r="AS73" s="113"/>
      <c r="AT73" s="113"/>
      <c r="AU73" s="113"/>
      <c r="AV73" s="113"/>
      <c r="AW73" s="113"/>
      <c r="AX73" s="113"/>
      <c r="AY73" s="113"/>
      <c r="AZ73" s="113"/>
      <c r="BA73" s="113"/>
      <c r="BB73" s="113"/>
      <c r="BC73" s="113"/>
      <c r="BD73" s="113"/>
      <c r="BE73" s="113"/>
      <c r="BF73" s="113"/>
      <c r="BG73" s="113"/>
      <c r="BH73" s="113"/>
    </row>
    <row r="74" spans="1:60" s="92" customFormat="1" ht="16.5" customHeight="1" x14ac:dyDescent="0.25">
      <c r="A74" s="88">
        <v>38</v>
      </c>
      <c r="B74" s="88">
        <v>1</v>
      </c>
      <c r="C74" s="89" t="s">
        <v>23</v>
      </c>
      <c r="D74" s="90" t="s">
        <v>45</v>
      </c>
      <c r="E74" s="97" t="s">
        <v>171</v>
      </c>
      <c r="F74" s="109">
        <f t="shared" ref="F74:F76" si="34">SUM(L74+AD74)</f>
        <v>270</v>
      </c>
      <c r="G74" s="109"/>
      <c r="H74" s="109"/>
      <c r="I74" s="109"/>
      <c r="J74" s="109"/>
      <c r="K74" s="109"/>
      <c r="L74" s="109">
        <f t="shared" ref="L74:L76" si="35">SUM(AG74+AJ74+AM74+AP74)*15</f>
        <v>120</v>
      </c>
      <c r="M74" s="109"/>
      <c r="N74" s="109"/>
      <c r="O74" s="108"/>
      <c r="P74" s="108"/>
      <c r="Q74" s="108"/>
      <c r="R74" s="108"/>
      <c r="S74" s="108"/>
      <c r="T74" s="108"/>
      <c r="U74" s="108">
        <v>120</v>
      </c>
      <c r="V74" s="108"/>
      <c r="W74" s="108"/>
      <c r="X74" s="108"/>
      <c r="Y74" s="108"/>
      <c r="Z74" s="108"/>
      <c r="AA74" s="109"/>
      <c r="AB74" s="109"/>
      <c r="AC74" s="109"/>
      <c r="AD74" s="108">
        <v>150</v>
      </c>
      <c r="AE74" s="108"/>
      <c r="AF74" s="108"/>
      <c r="AG74" s="108">
        <v>2</v>
      </c>
      <c r="AH74" s="108"/>
      <c r="AI74" s="108"/>
      <c r="AJ74" s="108">
        <v>2</v>
      </c>
      <c r="AK74" s="108"/>
      <c r="AL74" s="108"/>
      <c r="AM74" s="108">
        <v>2</v>
      </c>
      <c r="AN74" s="108"/>
      <c r="AO74" s="108"/>
      <c r="AP74" s="108">
        <v>2</v>
      </c>
      <c r="AQ74" s="108"/>
      <c r="AR74" s="108"/>
      <c r="AS74" s="108">
        <v>2</v>
      </c>
      <c r="AT74" s="108"/>
      <c r="AU74" s="108"/>
      <c r="AV74" s="108">
        <v>2</v>
      </c>
      <c r="AW74" s="108"/>
      <c r="AX74" s="108"/>
      <c r="AY74" s="108">
        <v>2</v>
      </c>
      <c r="AZ74" s="108"/>
      <c r="BA74" s="108"/>
      <c r="BB74" s="108">
        <v>3</v>
      </c>
      <c r="BC74" s="108"/>
      <c r="BD74" s="108"/>
      <c r="BE74" s="112">
        <f t="shared" ref="BE74:BE76" si="36">SUM(F74/30)</f>
        <v>9</v>
      </c>
      <c r="BF74" s="112"/>
      <c r="BG74" s="112"/>
      <c r="BH74" s="112"/>
    </row>
    <row r="75" spans="1:60" s="92" customFormat="1" ht="16.5" customHeight="1" x14ac:dyDescent="0.25">
      <c r="A75" s="88">
        <v>39</v>
      </c>
      <c r="B75" s="88">
        <v>2</v>
      </c>
      <c r="C75" s="89" t="s">
        <v>24</v>
      </c>
      <c r="D75" s="90" t="s">
        <v>46</v>
      </c>
      <c r="E75" s="97" t="s">
        <v>170</v>
      </c>
      <c r="F75" s="109">
        <f t="shared" si="34"/>
        <v>510</v>
      </c>
      <c r="G75" s="109"/>
      <c r="H75" s="109"/>
      <c r="I75" s="109"/>
      <c r="J75" s="109"/>
      <c r="K75" s="109"/>
      <c r="L75" s="109">
        <f t="shared" si="35"/>
        <v>210</v>
      </c>
      <c r="M75" s="109"/>
      <c r="N75" s="109"/>
      <c r="O75" s="108"/>
      <c r="P75" s="108"/>
      <c r="Q75" s="108"/>
      <c r="R75" s="108">
        <v>210</v>
      </c>
      <c r="S75" s="108"/>
      <c r="T75" s="108"/>
      <c r="U75" s="108"/>
      <c r="V75" s="108"/>
      <c r="W75" s="108"/>
      <c r="X75" s="108"/>
      <c r="Y75" s="108"/>
      <c r="Z75" s="108"/>
      <c r="AA75" s="109"/>
      <c r="AB75" s="109"/>
      <c r="AC75" s="109"/>
      <c r="AD75" s="108">
        <v>300</v>
      </c>
      <c r="AE75" s="108"/>
      <c r="AF75" s="108"/>
      <c r="AG75" s="108">
        <v>4</v>
      </c>
      <c r="AH75" s="108"/>
      <c r="AI75" s="108"/>
      <c r="AJ75" s="108">
        <v>4</v>
      </c>
      <c r="AK75" s="108"/>
      <c r="AL75" s="108"/>
      <c r="AM75" s="108">
        <v>4</v>
      </c>
      <c r="AN75" s="108"/>
      <c r="AO75" s="108"/>
      <c r="AP75" s="108">
        <v>2</v>
      </c>
      <c r="AQ75" s="108"/>
      <c r="AR75" s="108"/>
      <c r="AS75" s="108">
        <v>5</v>
      </c>
      <c r="AT75" s="108"/>
      <c r="AU75" s="108"/>
      <c r="AV75" s="108">
        <v>5</v>
      </c>
      <c r="AW75" s="108"/>
      <c r="AX75" s="108"/>
      <c r="AY75" s="108">
        <v>4</v>
      </c>
      <c r="AZ75" s="108"/>
      <c r="BA75" s="108"/>
      <c r="BB75" s="108">
        <v>3</v>
      </c>
      <c r="BC75" s="108"/>
      <c r="BD75" s="108"/>
      <c r="BE75" s="112">
        <f t="shared" si="36"/>
        <v>17</v>
      </c>
      <c r="BF75" s="112"/>
      <c r="BG75" s="112"/>
      <c r="BH75" s="112"/>
    </row>
    <row r="76" spans="1:60" s="92" customFormat="1" ht="16.5" customHeight="1" x14ac:dyDescent="0.25">
      <c r="A76" s="88">
        <v>40</v>
      </c>
      <c r="B76" s="88">
        <v>3</v>
      </c>
      <c r="C76" s="89" t="s">
        <v>8</v>
      </c>
      <c r="D76" s="95" t="s">
        <v>213</v>
      </c>
      <c r="E76" s="97" t="s">
        <v>143</v>
      </c>
      <c r="F76" s="114">
        <f t="shared" si="34"/>
        <v>90</v>
      </c>
      <c r="G76" s="115"/>
      <c r="H76" s="116"/>
      <c r="I76" s="117"/>
      <c r="J76" s="118"/>
      <c r="K76" s="119"/>
      <c r="L76" s="114">
        <f t="shared" si="35"/>
        <v>30</v>
      </c>
      <c r="M76" s="115"/>
      <c r="N76" s="116"/>
      <c r="O76" s="120">
        <v>16</v>
      </c>
      <c r="P76" s="121"/>
      <c r="Q76" s="122"/>
      <c r="R76" s="120">
        <v>14</v>
      </c>
      <c r="S76" s="121"/>
      <c r="T76" s="122"/>
      <c r="U76" s="120"/>
      <c r="V76" s="121"/>
      <c r="W76" s="122"/>
      <c r="X76" s="120"/>
      <c r="Y76" s="121"/>
      <c r="Z76" s="122"/>
      <c r="AA76" s="120"/>
      <c r="AB76" s="121"/>
      <c r="AC76" s="122"/>
      <c r="AD76" s="120">
        <v>60</v>
      </c>
      <c r="AE76" s="121"/>
      <c r="AF76" s="122"/>
      <c r="AG76" s="120"/>
      <c r="AH76" s="121"/>
      <c r="AI76" s="122"/>
      <c r="AJ76" s="120"/>
      <c r="AK76" s="121"/>
      <c r="AL76" s="122"/>
      <c r="AM76" s="120">
        <v>2</v>
      </c>
      <c r="AN76" s="121"/>
      <c r="AO76" s="122"/>
      <c r="AP76" s="120"/>
      <c r="AQ76" s="121"/>
      <c r="AR76" s="122"/>
      <c r="AS76" s="120"/>
      <c r="AT76" s="121"/>
      <c r="AU76" s="122"/>
      <c r="AV76" s="120"/>
      <c r="AW76" s="121"/>
      <c r="AX76" s="122"/>
      <c r="AY76" s="120">
        <v>3</v>
      </c>
      <c r="AZ76" s="121"/>
      <c r="BA76" s="122"/>
      <c r="BB76" s="120"/>
      <c r="BC76" s="121"/>
      <c r="BD76" s="122"/>
      <c r="BE76" s="123">
        <f t="shared" si="36"/>
        <v>3</v>
      </c>
      <c r="BF76" s="124"/>
      <c r="BG76" s="124"/>
      <c r="BH76" s="125"/>
    </row>
    <row r="77" spans="1:60" ht="16.5" customHeight="1" x14ac:dyDescent="0.25">
      <c r="A77" s="113" t="s">
        <v>255</v>
      </c>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c r="AO77" s="113"/>
      <c r="AP77" s="113"/>
      <c r="AQ77" s="113"/>
      <c r="AR77" s="113"/>
      <c r="AS77" s="113"/>
      <c r="AT77" s="113"/>
      <c r="AU77" s="113"/>
      <c r="AV77" s="113"/>
      <c r="AW77" s="113"/>
      <c r="AX77" s="113"/>
      <c r="AY77" s="113"/>
      <c r="AZ77" s="113"/>
      <c r="BA77" s="113"/>
      <c r="BB77" s="113"/>
      <c r="BC77" s="113"/>
      <c r="BD77" s="113"/>
      <c r="BE77" s="113"/>
      <c r="BF77" s="113"/>
      <c r="BG77" s="113"/>
      <c r="BH77" s="113"/>
    </row>
    <row r="78" spans="1:60" ht="16.5" customHeight="1" x14ac:dyDescent="0.25">
      <c r="A78" s="113"/>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c r="AO78" s="113"/>
      <c r="AP78" s="113"/>
      <c r="AQ78" s="113"/>
      <c r="AR78" s="113"/>
      <c r="AS78" s="113"/>
      <c r="AT78" s="113"/>
      <c r="AU78" s="113"/>
      <c r="AV78" s="113"/>
      <c r="AW78" s="113"/>
      <c r="AX78" s="113"/>
      <c r="AY78" s="113"/>
      <c r="AZ78" s="113"/>
      <c r="BA78" s="113"/>
      <c r="BB78" s="113"/>
      <c r="BC78" s="113"/>
      <c r="BD78" s="113"/>
      <c r="BE78" s="113"/>
      <c r="BF78" s="113"/>
      <c r="BG78" s="113"/>
      <c r="BH78" s="113"/>
    </row>
    <row r="79" spans="1:60" s="92" customFormat="1" ht="16.5" customHeight="1" x14ac:dyDescent="0.25">
      <c r="A79" s="88">
        <v>41</v>
      </c>
      <c r="B79" s="88">
        <v>1</v>
      </c>
      <c r="C79" s="89" t="s">
        <v>23</v>
      </c>
      <c r="D79" s="94" t="s">
        <v>257</v>
      </c>
      <c r="E79" s="97" t="s">
        <v>256</v>
      </c>
      <c r="F79" s="109">
        <f t="shared" ref="F79:F81" si="37">SUM(L79+AD79)</f>
        <v>270</v>
      </c>
      <c r="G79" s="109"/>
      <c r="H79" s="109"/>
      <c r="I79" s="109"/>
      <c r="J79" s="109"/>
      <c r="K79" s="109"/>
      <c r="L79" s="109">
        <f t="shared" ref="L79:L80" si="38">SUM(AG79+AJ79+AM79+AP79)*15</f>
        <v>120</v>
      </c>
      <c r="M79" s="109"/>
      <c r="N79" s="109"/>
      <c r="O79" s="108"/>
      <c r="P79" s="108"/>
      <c r="Q79" s="108"/>
      <c r="R79" s="108"/>
      <c r="S79" s="108"/>
      <c r="T79" s="108"/>
      <c r="U79" s="108">
        <v>120</v>
      </c>
      <c r="V79" s="108"/>
      <c r="W79" s="108"/>
      <c r="X79" s="108"/>
      <c r="Y79" s="108"/>
      <c r="Z79" s="108"/>
      <c r="AA79" s="109"/>
      <c r="AB79" s="109"/>
      <c r="AC79" s="109"/>
      <c r="AD79" s="108">
        <v>150</v>
      </c>
      <c r="AE79" s="108"/>
      <c r="AF79" s="108"/>
      <c r="AG79" s="108">
        <v>2</v>
      </c>
      <c r="AH79" s="108"/>
      <c r="AI79" s="108"/>
      <c r="AJ79" s="108">
        <v>2</v>
      </c>
      <c r="AK79" s="108"/>
      <c r="AL79" s="108"/>
      <c r="AM79" s="108">
        <v>2</v>
      </c>
      <c r="AN79" s="108"/>
      <c r="AO79" s="108"/>
      <c r="AP79" s="108">
        <v>2</v>
      </c>
      <c r="AQ79" s="108"/>
      <c r="AR79" s="108"/>
      <c r="AS79" s="108">
        <v>2</v>
      </c>
      <c r="AT79" s="108"/>
      <c r="AU79" s="108"/>
      <c r="AV79" s="108">
        <v>2</v>
      </c>
      <c r="AW79" s="108"/>
      <c r="AX79" s="108"/>
      <c r="AY79" s="108">
        <v>2</v>
      </c>
      <c r="AZ79" s="108"/>
      <c r="BA79" s="108"/>
      <c r="BB79" s="108">
        <v>3</v>
      </c>
      <c r="BC79" s="108"/>
      <c r="BD79" s="108"/>
      <c r="BE79" s="112">
        <f t="shared" ref="BE79:BE81" si="39">SUM(F79/30)</f>
        <v>9</v>
      </c>
      <c r="BF79" s="112"/>
      <c r="BG79" s="112"/>
      <c r="BH79" s="112"/>
    </row>
    <row r="80" spans="1:60" s="92" customFormat="1" ht="16.5" customHeight="1" x14ac:dyDescent="0.25">
      <c r="A80" s="88">
        <v>42</v>
      </c>
      <c r="B80" s="88">
        <v>2</v>
      </c>
      <c r="C80" s="89" t="s">
        <v>24</v>
      </c>
      <c r="D80" s="94" t="s">
        <v>259</v>
      </c>
      <c r="E80" s="97" t="s">
        <v>258</v>
      </c>
      <c r="F80" s="109">
        <f t="shared" si="37"/>
        <v>270</v>
      </c>
      <c r="G80" s="109"/>
      <c r="H80" s="109"/>
      <c r="I80" s="109"/>
      <c r="J80" s="109"/>
      <c r="K80" s="109"/>
      <c r="L80" s="109">
        <f t="shared" si="38"/>
        <v>120</v>
      </c>
      <c r="M80" s="109"/>
      <c r="N80" s="109"/>
      <c r="O80" s="108"/>
      <c r="P80" s="108"/>
      <c r="Q80" s="108"/>
      <c r="R80" s="108">
        <v>120</v>
      </c>
      <c r="S80" s="108"/>
      <c r="T80" s="108"/>
      <c r="U80" s="108"/>
      <c r="V80" s="108"/>
      <c r="W80" s="108"/>
      <c r="X80" s="108"/>
      <c r="Y80" s="108"/>
      <c r="Z80" s="108"/>
      <c r="AA80" s="109"/>
      <c r="AB80" s="109"/>
      <c r="AC80" s="109"/>
      <c r="AD80" s="108">
        <v>150</v>
      </c>
      <c r="AE80" s="108"/>
      <c r="AF80" s="108"/>
      <c r="AG80" s="108">
        <v>2</v>
      </c>
      <c r="AH80" s="108"/>
      <c r="AI80" s="108"/>
      <c r="AJ80" s="108">
        <v>2</v>
      </c>
      <c r="AK80" s="108"/>
      <c r="AL80" s="108"/>
      <c r="AM80" s="108">
        <v>2</v>
      </c>
      <c r="AN80" s="108"/>
      <c r="AO80" s="108"/>
      <c r="AP80" s="108">
        <v>2</v>
      </c>
      <c r="AQ80" s="108"/>
      <c r="AR80" s="108"/>
      <c r="AS80" s="108">
        <v>2</v>
      </c>
      <c r="AT80" s="108"/>
      <c r="AU80" s="108"/>
      <c r="AV80" s="108">
        <v>2</v>
      </c>
      <c r="AW80" s="108"/>
      <c r="AX80" s="108"/>
      <c r="AY80" s="108">
        <v>2</v>
      </c>
      <c r="AZ80" s="108"/>
      <c r="BA80" s="108"/>
      <c r="BB80" s="108">
        <v>3</v>
      </c>
      <c r="BC80" s="108"/>
      <c r="BD80" s="108"/>
      <c r="BE80" s="112">
        <f t="shared" si="39"/>
        <v>9</v>
      </c>
      <c r="BF80" s="112"/>
      <c r="BG80" s="112"/>
      <c r="BH80" s="112"/>
    </row>
    <row r="81" spans="1:60" s="92" customFormat="1" ht="16.5" customHeight="1" x14ac:dyDescent="0.25">
      <c r="A81" s="88">
        <v>43</v>
      </c>
      <c r="B81" s="88">
        <v>3</v>
      </c>
      <c r="C81" s="89" t="s">
        <v>8</v>
      </c>
      <c r="D81" s="95" t="s">
        <v>213</v>
      </c>
      <c r="E81" s="97" t="s">
        <v>143</v>
      </c>
      <c r="F81" s="114">
        <f t="shared" si="37"/>
        <v>90</v>
      </c>
      <c r="G81" s="115"/>
      <c r="H81" s="116"/>
      <c r="I81" s="117"/>
      <c r="J81" s="118"/>
      <c r="K81" s="119"/>
      <c r="L81" s="114">
        <f t="shared" ref="L81" si="40">SUM(AG81+AJ81+AM81+AP81)*15</f>
        <v>30</v>
      </c>
      <c r="M81" s="115"/>
      <c r="N81" s="116"/>
      <c r="O81" s="120">
        <v>16</v>
      </c>
      <c r="P81" s="121"/>
      <c r="Q81" s="122"/>
      <c r="R81" s="120">
        <v>14</v>
      </c>
      <c r="S81" s="121"/>
      <c r="T81" s="122"/>
      <c r="U81" s="120"/>
      <c r="V81" s="121"/>
      <c r="W81" s="122"/>
      <c r="X81" s="120"/>
      <c r="Y81" s="121"/>
      <c r="Z81" s="122"/>
      <c r="AA81" s="120"/>
      <c r="AB81" s="121"/>
      <c r="AC81" s="122"/>
      <c r="AD81" s="120">
        <v>60</v>
      </c>
      <c r="AE81" s="121"/>
      <c r="AF81" s="122"/>
      <c r="AG81" s="120"/>
      <c r="AH81" s="121"/>
      <c r="AI81" s="122"/>
      <c r="AJ81" s="120"/>
      <c r="AK81" s="121"/>
      <c r="AL81" s="122"/>
      <c r="AM81" s="120">
        <v>2</v>
      </c>
      <c r="AN81" s="121"/>
      <c r="AO81" s="122"/>
      <c r="AP81" s="120"/>
      <c r="AQ81" s="121"/>
      <c r="AR81" s="122"/>
      <c r="AS81" s="120"/>
      <c r="AT81" s="121"/>
      <c r="AU81" s="122"/>
      <c r="AV81" s="120"/>
      <c r="AW81" s="121"/>
      <c r="AX81" s="122"/>
      <c r="AY81" s="120">
        <v>3</v>
      </c>
      <c r="AZ81" s="121"/>
      <c r="BA81" s="122"/>
      <c r="BB81" s="120"/>
      <c r="BC81" s="121"/>
      <c r="BD81" s="122"/>
      <c r="BE81" s="123">
        <f t="shared" si="39"/>
        <v>3</v>
      </c>
      <c r="BF81" s="124"/>
      <c r="BG81" s="124"/>
      <c r="BH81" s="125"/>
    </row>
    <row r="82" spans="1:60" ht="16.5" customHeight="1" x14ac:dyDescent="0.25">
      <c r="A82" s="113" t="s">
        <v>264</v>
      </c>
      <c r="B82" s="113"/>
      <c r="C82" s="113"/>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c r="AO82" s="113"/>
      <c r="AP82" s="113"/>
      <c r="AQ82" s="113"/>
      <c r="AR82" s="113"/>
      <c r="AS82" s="113"/>
      <c r="AT82" s="113"/>
      <c r="AU82" s="113"/>
      <c r="AV82" s="113"/>
      <c r="AW82" s="113"/>
      <c r="AX82" s="113"/>
      <c r="AY82" s="113"/>
      <c r="AZ82" s="113"/>
      <c r="BA82" s="113"/>
      <c r="BB82" s="113"/>
      <c r="BC82" s="113"/>
      <c r="BD82" s="113"/>
      <c r="BE82" s="113"/>
      <c r="BF82" s="113"/>
      <c r="BG82" s="113"/>
      <c r="BH82" s="113"/>
    </row>
    <row r="83" spans="1:60" ht="16.5" customHeight="1" x14ac:dyDescent="0.25">
      <c r="A83" s="113"/>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c r="AO83" s="113"/>
      <c r="AP83" s="113"/>
      <c r="AQ83" s="113"/>
      <c r="AR83" s="113"/>
      <c r="AS83" s="113"/>
      <c r="AT83" s="113"/>
      <c r="AU83" s="113"/>
      <c r="AV83" s="113"/>
      <c r="AW83" s="113"/>
      <c r="AX83" s="113"/>
      <c r="AY83" s="113"/>
      <c r="AZ83" s="113"/>
      <c r="BA83" s="113"/>
      <c r="BB83" s="113"/>
      <c r="BC83" s="113"/>
      <c r="BD83" s="113"/>
      <c r="BE83" s="113"/>
      <c r="BF83" s="113"/>
      <c r="BG83" s="113"/>
      <c r="BH83" s="113"/>
    </row>
    <row r="84" spans="1:60" ht="16.5" customHeight="1" x14ac:dyDescent="0.25">
      <c r="A84" s="15">
        <v>44</v>
      </c>
      <c r="B84" s="15">
        <v>1</v>
      </c>
      <c r="C84" s="14" t="s">
        <v>23</v>
      </c>
      <c r="D84" s="71" t="s">
        <v>266</v>
      </c>
      <c r="E84" s="97" t="s">
        <v>265</v>
      </c>
      <c r="F84" s="106">
        <f t="shared" ref="F84:F87" si="41">SUM(L84+AD84)</f>
        <v>270</v>
      </c>
      <c r="G84" s="106"/>
      <c r="H84" s="106"/>
      <c r="I84" s="106"/>
      <c r="J84" s="106"/>
      <c r="K84" s="106"/>
      <c r="L84" s="106">
        <f t="shared" ref="L84:L86" si="42">SUM(AG84+AJ84+AM84+AP84)*15</f>
        <v>120</v>
      </c>
      <c r="M84" s="106"/>
      <c r="N84" s="106"/>
      <c r="O84" s="104"/>
      <c r="P84" s="104"/>
      <c r="Q84" s="104"/>
      <c r="R84" s="104"/>
      <c r="S84" s="104"/>
      <c r="T84" s="104"/>
      <c r="U84" s="104">
        <v>120</v>
      </c>
      <c r="V84" s="104"/>
      <c r="W84" s="104"/>
      <c r="X84" s="104"/>
      <c r="Y84" s="104"/>
      <c r="Z84" s="104"/>
      <c r="AA84" s="106"/>
      <c r="AB84" s="106"/>
      <c r="AC84" s="106"/>
      <c r="AD84" s="104">
        <v>150</v>
      </c>
      <c r="AE84" s="104"/>
      <c r="AF84" s="104"/>
      <c r="AG84" s="104">
        <v>2</v>
      </c>
      <c r="AH84" s="104"/>
      <c r="AI84" s="104"/>
      <c r="AJ84" s="104">
        <v>2</v>
      </c>
      <c r="AK84" s="104"/>
      <c r="AL84" s="104"/>
      <c r="AM84" s="104">
        <v>2</v>
      </c>
      <c r="AN84" s="104"/>
      <c r="AO84" s="104"/>
      <c r="AP84" s="104">
        <v>2</v>
      </c>
      <c r="AQ84" s="104"/>
      <c r="AR84" s="104"/>
      <c r="AS84" s="104">
        <v>2</v>
      </c>
      <c r="AT84" s="104"/>
      <c r="AU84" s="104"/>
      <c r="AV84" s="104">
        <v>2</v>
      </c>
      <c r="AW84" s="104"/>
      <c r="AX84" s="104"/>
      <c r="AY84" s="104">
        <v>2</v>
      </c>
      <c r="AZ84" s="104"/>
      <c r="BA84" s="104"/>
      <c r="BB84" s="104">
        <v>3</v>
      </c>
      <c r="BC84" s="104"/>
      <c r="BD84" s="104"/>
      <c r="BE84" s="105">
        <f t="shared" ref="BE84:BE87" si="43">SUM(F84/30)</f>
        <v>9</v>
      </c>
      <c r="BF84" s="105"/>
      <c r="BG84" s="105"/>
      <c r="BH84" s="105"/>
    </row>
    <row r="85" spans="1:60" ht="16.5" customHeight="1" x14ac:dyDescent="0.25">
      <c r="A85" s="15">
        <v>45</v>
      </c>
      <c r="B85" s="15">
        <v>2</v>
      </c>
      <c r="C85" s="14" t="s">
        <v>24</v>
      </c>
      <c r="D85" s="71" t="s">
        <v>270</v>
      </c>
      <c r="E85" s="97" t="s">
        <v>267</v>
      </c>
      <c r="F85" s="106">
        <f t="shared" si="41"/>
        <v>270</v>
      </c>
      <c r="G85" s="106"/>
      <c r="H85" s="106"/>
      <c r="I85" s="106"/>
      <c r="J85" s="106"/>
      <c r="K85" s="106"/>
      <c r="L85" s="106">
        <f t="shared" si="42"/>
        <v>120</v>
      </c>
      <c r="M85" s="106"/>
      <c r="N85" s="106"/>
      <c r="O85" s="104"/>
      <c r="P85" s="104"/>
      <c r="Q85" s="104"/>
      <c r="R85" s="104">
        <v>120</v>
      </c>
      <c r="S85" s="104"/>
      <c r="T85" s="104"/>
      <c r="U85" s="104"/>
      <c r="V85" s="104"/>
      <c r="W85" s="104"/>
      <c r="X85" s="104"/>
      <c r="Y85" s="104"/>
      <c r="Z85" s="104"/>
      <c r="AA85" s="106"/>
      <c r="AB85" s="106"/>
      <c r="AC85" s="106"/>
      <c r="AD85" s="104">
        <v>150</v>
      </c>
      <c r="AE85" s="104"/>
      <c r="AF85" s="104"/>
      <c r="AG85" s="104">
        <v>2</v>
      </c>
      <c r="AH85" s="104"/>
      <c r="AI85" s="104"/>
      <c r="AJ85" s="104">
        <v>2</v>
      </c>
      <c r="AK85" s="104"/>
      <c r="AL85" s="104"/>
      <c r="AM85" s="104">
        <v>2</v>
      </c>
      <c r="AN85" s="104"/>
      <c r="AO85" s="104"/>
      <c r="AP85" s="104">
        <v>2</v>
      </c>
      <c r="AQ85" s="104"/>
      <c r="AR85" s="104"/>
      <c r="AS85" s="104">
        <v>2</v>
      </c>
      <c r="AT85" s="104"/>
      <c r="AU85" s="104"/>
      <c r="AV85" s="104">
        <v>2</v>
      </c>
      <c r="AW85" s="104"/>
      <c r="AX85" s="104"/>
      <c r="AY85" s="104">
        <v>2</v>
      </c>
      <c r="AZ85" s="104"/>
      <c r="BA85" s="104"/>
      <c r="BB85" s="104">
        <v>3</v>
      </c>
      <c r="BC85" s="104"/>
      <c r="BD85" s="104"/>
      <c r="BE85" s="105">
        <f t="shared" si="43"/>
        <v>9</v>
      </c>
      <c r="BF85" s="105"/>
      <c r="BG85" s="105"/>
      <c r="BH85" s="105"/>
    </row>
    <row r="86" spans="1:60" ht="16.5" customHeight="1" x14ac:dyDescent="0.25">
      <c r="A86" s="15">
        <v>46</v>
      </c>
      <c r="B86" s="15">
        <v>3</v>
      </c>
      <c r="C86" s="14" t="s">
        <v>25</v>
      </c>
      <c r="D86" s="71" t="s">
        <v>269</v>
      </c>
      <c r="E86" s="97" t="s">
        <v>268</v>
      </c>
      <c r="F86" s="106">
        <f t="shared" si="41"/>
        <v>300</v>
      </c>
      <c r="G86" s="106"/>
      <c r="H86" s="106"/>
      <c r="I86" s="106"/>
      <c r="J86" s="106"/>
      <c r="K86" s="106"/>
      <c r="L86" s="106">
        <f t="shared" si="42"/>
        <v>120</v>
      </c>
      <c r="M86" s="106"/>
      <c r="N86" s="106"/>
      <c r="O86" s="104"/>
      <c r="P86" s="104"/>
      <c r="Q86" s="104"/>
      <c r="R86" s="104">
        <v>120</v>
      </c>
      <c r="S86" s="104"/>
      <c r="T86" s="104"/>
      <c r="U86" s="104"/>
      <c r="V86" s="104"/>
      <c r="W86" s="104"/>
      <c r="X86" s="104"/>
      <c r="Y86" s="104"/>
      <c r="Z86" s="104"/>
      <c r="AA86" s="106"/>
      <c r="AB86" s="106"/>
      <c r="AC86" s="106"/>
      <c r="AD86" s="104">
        <v>180</v>
      </c>
      <c r="AE86" s="104"/>
      <c r="AF86" s="104"/>
      <c r="AG86" s="104">
        <v>2</v>
      </c>
      <c r="AH86" s="104"/>
      <c r="AI86" s="104"/>
      <c r="AJ86" s="104">
        <v>2</v>
      </c>
      <c r="AK86" s="104"/>
      <c r="AL86" s="104"/>
      <c r="AM86" s="104">
        <v>2</v>
      </c>
      <c r="AN86" s="104"/>
      <c r="AO86" s="104"/>
      <c r="AP86" s="104">
        <v>2</v>
      </c>
      <c r="AQ86" s="104"/>
      <c r="AR86" s="104"/>
      <c r="AS86" s="104">
        <v>3</v>
      </c>
      <c r="AT86" s="104"/>
      <c r="AU86" s="104"/>
      <c r="AV86" s="104">
        <v>3</v>
      </c>
      <c r="AW86" s="104"/>
      <c r="AX86" s="104"/>
      <c r="AY86" s="104">
        <v>2</v>
      </c>
      <c r="AZ86" s="104"/>
      <c r="BA86" s="104"/>
      <c r="BB86" s="104">
        <v>2</v>
      </c>
      <c r="BC86" s="104"/>
      <c r="BD86" s="104"/>
      <c r="BE86" s="105">
        <f t="shared" si="43"/>
        <v>10</v>
      </c>
      <c r="BF86" s="105"/>
      <c r="BG86" s="105"/>
      <c r="BH86" s="105"/>
    </row>
    <row r="87" spans="1:60" s="92" customFormat="1" ht="16.5" customHeight="1" x14ac:dyDescent="0.25">
      <c r="A87" s="88">
        <v>47</v>
      </c>
      <c r="B87" s="88">
        <v>3</v>
      </c>
      <c r="C87" s="89" t="s">
        <v>8</v>
      </c>
      <c r="D87" s="95" t="s">
        <v>213</v>
      </c>
      <c r="E87" s="97" t="s">
        <v>143</v>
      </c>
      <c r="F87" s="114">
        <f t="shared" si="41"/>
        <v>90</v>
      </c>
      <c r="G87" s="115"/>
      <c r="H87" s="116"/>
      <c r="I87" s="117"/>
      <c r="J87" s="118"/>
      <c r="K87" s="119"/>
      <c r="L87" s="114">
        <f t="shared" ref="L87" si="44">SUM(AG87+AJ87+AM87+AP87)*15</f>
        <v>30</v>
      </c>
      <c r="M87" s="115"/>
      <c r="N87" s="116"/>
      <c r="O87" s="120">
        <v>16</v>
      </c>
      <c r="P87" s="121"/>
      <c r="Q87" s="122"/>
      <c r="R87" s="120">
        <v>14</v>
      </c>
      <c r="S87" s="121"/>
      <c r="T87" s="122"/>
      <c r="U87" s="120"/>
      <c r="V87" s="121"/>
      <c r="W87" s="122"/>
      <c r="X87" s="120"/>
      <c r="Y87" s="121"/>
      <c r="Z87" s="122"/>
      <c r="AA87" s="120"/>
      <c r="AB87" s="121"/>
      <c r="AC87" s="122"/>
      <c r="AD87" s="120">
        <v>60</v>
      </c>
      <c r="AE87" s="121"/>
      <c r="AF87" s="122"/>
      <c r="AG87" s="120"/>
      <c r="AH87" s="121"/>
      <c r="AI87" s="122"/>
      <c r="AJ87" s="120"/>
      <c r="AK87" s="121"/>
      <c r="AL87" s="122"/>
      <c r="AM87" s="120">
        <v>2</v>
      </c>
      <c r="AN87" s="121"/>
      <c r="AO87" s="122"/>
      <c r="AP87" s="120"/>
      <c r="AQ87" s="121"/>
      <c r="AR87" s="122"/>
      <c r="AS87" s="120"/>
      <c r="AT87" s="121"/>
      <c r="AU87" s="122"/>
      <c r="AV87" s="120"/>
      <c r="AW87" s="121"/>
      <c r="AX87" s="122"/>
      <c r="AY87" s="120">
        <v>3</v>
      </c>
      <c r="AZ87" s="121"/>
      <c r="BA87" s="122"/>
      <c r="BB87" s="120"/>
      <c r="BC87" s="121"/>
      <c r="BD87" s="122"/>
      <c r="BE87" s="123">
        <f t="shared" si="43"/>
        <v>3</v>
      </c>
      <c r="BF87" s="124"/>
      <c r="BG87" s="124"/>
      <c r="BH87" s="125"/>
    </row>
  </sheetData>
  <mergeCells count="1056">
    <mergeCell ref="AS31:AU31"/>
    <mergeCell ref="AV31:AX31"/>
    <mergeCell ref="AY31:BA31"/>
    <mergeCell ref="BB31:BD31"/>
    <mergeCell ref="BE31:BH31"/>
    <mergeCell ref="B55:B56"/>
    <mergeCell ref="A55:A56"/>
    <mergeCell ref="AG57:AI57"/>
    <mergeCell ref="AJ57:AL57"/>
    <mergeCell ref="AM57:AO57"/>
    <mergeCell ref="AP57:AR57"/>
    <mergeCell ref="AS57:AU57"/>
    <mergeCell ref="AV57:AX57"/>
    <mergeCell ref="AY57:BA57"/>
    <mergeCell ref="BB57:BD57"/>
    <mergeCell ref="BE57:BH57"/>
    <mergeCell ref="F57:H57"/>
    <mergeCell ref="I57:K57"/>
    <mergeCell ref="L57:N57"/>
    <mergeCell ref="O57:Q57"/>
    <mergeCell ref="R57:T57"/>
    <mergeCell ref="U57:W57"/>
    <mergeCell ref="X57:Z57"/>
    <mergeCell ref="AA57:AC57"/>
    <mergeCell ref="AD57:AF57"/>
    <mergeCell ref="AS55:AU55"/>
    <mergeCell ref="AV55:AX55"/>
    <mergeCell ref="AY55:BA55"/>
    <mergeCell ref="BB55:BD55"/>
    <mergeCell ref="BE55:BH55"/>
    <mergeCell ref="X55:Z55"/>
    <mergeCell ref="AA55:AC55"/>
    <mergeCell ref="AD55:AF55"/>
    <mergeCell ref="AG55:AI55"/>
    <mergeCell ref="AJ55:AL55"/>
    <mergeCell ref="AM55:AO55"/>
    <mergeCell ref="AG65:AI65"/>
    <mergeCell ref="AJ65:AL65"/>
    <mergeCell ref="AM65:AO65"/>
    <mergeCell ref="AP65:AR65"/>
    <mergeCell ref="AS65:AU65"/>
    <mergeCell ref="AV65:AX65"/>
    <mergeCell ref="AY65:BA65"/>
    <mergeCell ref="BB65:BD65"/>
    <mergeCell ref="BE65:BH65"/>
    <mergeCell ref="AD61:AF61"/>
    <mergeCell ref="AG61:AI61"/>
    <mergeCell ref="AJ61:AL61"/>
    <mergeCell ref="AM61:AO61"/>
    <mergeCell ref="A59:BH60"/>
    <mergeCell ref="AP64:AR64"/>
    <mergeCell ref="AS64:AU64"/>
    <mergeCell ref="AV64:AX64"/>
    <mergeCell ref="AY64:BA64"/>
    <mergeCell ref="BB64:BD64"/>
    <mergeCell ref="BE64:BH64"/>
    <mergeCell ref="X64:Z64"/>
    <mergeCell ref="AA64:AC64"/>
    <mergeCell ref="F65:H65"/>
    <mergeCell ref="I65:K65"/>
    <mergeCell ref="L65:N65"/>
    <mergeCell ref="O65:Q65"/>
    <mergeCell ref="R65:T65"/>
    <mergeCell ref="U65:W65"/>
    <mergeCell ref="X65:Z65"/>
    <mergeCell ref="AA65:AC65"/>
    <mergeCell ref="AD65:AF65"/>
    <mergeCell ref="R76:T76"/>
    <mergeCell ref="U76:W76"/>
    <mergeCell ref="X76:Z76"/>
    <mergeCell ref="AA76:AC76"/>
    <mergeCell ref="AD76:AF76"/>
    <mergeCell ref="AG71:AI71"/>
    <mergeCell ref="AJ71:AL71"/>
    <mergeCell ref="AM71:AO71"/>
    <mergeCell ref="A66:BH67"/>
    <mergeCell ref="BB68:BD68"/>
    <mergeCell ref="BE68:BH68"/>
    <mergeCell ref="F69:H69"/>
    <mergeCell ref="I69:K69"/>
    <mergeCell ref="L69:N69"/>
    <mergeCell ref="O69:Q69"/>
    <mergeCell ref="R69:T69"/>
    <mergeCell ref="U69:W69"/>
    <mergeCell ref="AJ68:AL68"/>
    <mergeCell ref="AM68:AO68"/>
    <mergeCell ref="AP68:AR68"/>
    <mergeCell ref="AS68:AU68"/>
    <mergeCell ref="AV68:AX68"/>
    <mergeCell ref="AY68:BA68"/>
    <mergeCell ref="R68:T68"/>
    <mergeCell ref="U68:W68"/>
    <mergeCell ref="X68:Z68"/>
    <mergeCell ref="AA68:AC68"/>
    <mergeCell ref="AD86:AF86"/>
    <mergeCell ref="AP71:AR71"/>
    <mergeCell ref="AS71:AU71"/>
    <mergeCell ref="AV71:AX71"/>
    <mergeCell ref="AY71:BA71"/>
    <mergeCell ref="BB71:BD71"/>
    <mergeCell ref="BE71:BH71"/>
    <mergeCell ref="F71:H71"/>
    <mergeCell ref="I71:K71"/>
    <mergeCell ref="L71:N71"/>
    <mergeCell ref="O71:Q71"/>
    <mergeCell ref="R71:T71"/>
    <mergeCell ref="U71:W71"/>
    <mergeCell ref="X71:Z71"/>
    <mergeCell ref="AA71:AC71"/>
    <mergeCell ref="AD71:AF71"/>
    <mergeCell ref="AG81:AI81"/>
    <mergeCell ref="AJ81:AL81"/>
    <mergeCell ref="AM81:AO81"/>
    <mergeCell ref="AP81:AR81"/>
    <mergeCell ref="AS81:AU81"/>
    <mergeCell ref="AV81:AX81"/>
    <mergeCell ref="AY81:BA81"/>
    <mergeCell ref="BB81:BD81"/>
    <mergeCell ref="BE81:BH81"/>
    <mergeCell ref="F81:H81"/>
    <mergeCell ref="I81:K81"/>
    <mergeCell ref="L81:N81"/>
    <mergeCell ref="O81:Q81"/>
    <mergeCell ref="R81:T81"/>
    <mergeCell ref="U81:W81"/>
    <mergeCell ref="AG87:AI87"/>
    <mergeCell ref="AJ87:AL87"/>
    <mergeCell ref="AM87:AO87"/>
    <mergeCell ref="AP87:AR87"/>
    <mergeCell ref="AS87:AU87"/>
    <mergeCell ref="AV87:AX87"/>
    <mergeCell ref="AY87:BA87"/>
    <mergeCell ref="BB87:BD87"/>
    <mergeCell ref="BE87:BH87"/>
    <mergeCell ref="F87:H87"/>
    <mergeCell ref="I87:K87"/>
    <mergeCell ref="L87:N87"/>
    <mergeCell ref="O87:Q87"/>
    <mergeCell ref="R87:T87"/>
    <mergeCell ref="U87:W87"/>
    <mergeCell ref="X87:Z87"/>
    <mergeCell ref="AA87:AC87"/>
    <mergeCell ref="AD87:AF87"/>
    <mergeCell ref="AG51:AI51"/>
    <mergeCell ref="AJ51:AL51"/>
    <mergeCell ref="AM51:AO51"/>
    <mergeCell ref="AP51:AR51"/>
    <mergeCell ref="AS51:AU51"/>
    <mergeCell ref="AV51:AX51"/>
    <mergeCell ref="AY51:BA51"/>
    <mergeCell ref="BB51:BD51"/>
    <mergeCell ref="BE51:BH51"/>
    <mergeCell ref="F51:H51"/>
    <mergeCell ref="I51:K51"/>
    <mergeCell ref="L51:N51"/>
    <mergeCell ref="O51:Q51"/>
    <mergeCell ref="R51:T51"/>
    <mergeCell ref="U51:W51"/>
    <mergeCell ref="X51:Z51"/>
    <mergeCell ref="AA51:AC51"/>
    <mergeCell ref="AD51:AF51"/>
    <mergeCell ref="AG44:AI44"/>
    <mergeCell ref="AJ44:AL44"/>
    <mergeCell ref="AM44:AO44"/>
    <mergeCell ref="AP44:AR44"/>
    <mergeCell ref="AS44:AU44"/>
    <mergeCell ref="AV44:AX44"/>
    <mergeCell ref="AY44:BA44"/>
    <mergeCell ref="BB44:BD44"/>
    <mergeCell ref="BE44:BH44"/>
    <mergeCell ref="F44:H44"/>
    <mergeCell ref="I44:K44"/>
    <mergeCell ref="L44:N44"/>
    <mergeCell ref="O44:Q44"/>
    <mergeCell ref="R44:T44"/>
    <mergeCell ref="U44:W44"/>
    <mergeCell ref="X44:Z44"/>
    <mergeCell ref="AA44:AC44"/>
    <mergeCell ref="AD44:AF44"/>
    <mergeCell ref="AG38:AI38"/>
    <mergeCell ref="AJ38:AL38"/>
    <mergeCell ref="AM38:AO38"/>
    <mergeCell ref="AP38:AR38"/>
    <mergeCell ref="AS38:AU38"/>
    <mergeCell ref="AV38:AX38"/>
    <mergeCell ref="AY38:BA38"/>
    <mergeCell ref="BB38:BD38"/>
    <mergeCell ref="BE38:BH38"/>
    <mergeCell ref="F38:H38"/>
    <mergeCell ref="I38:K38"/>
    <mergeCell ref="L38:N38"/>
    <mergeCell ref="O38:Q38"/>
    <mergeCell ref="R38:T38"/>
    <mergeCell ref="U38:W38"/>
    <mergeCell ref="X38:Z38"/>
    <mergeCell ref="AA38:AC38"/>
    <mergeCell ref="AD38:AF38"/>
    <mergeCell ref="D5:D14"/>
    <mergeCell ref="E5:E14"/>
    <mergeCell ref="F5:AF6"/>
    <mergeCell ref="AG5:AR6"/>
    <mergeCell ref="AS5:BD6"/>
    <mergeCell ref="BE5:BH14"/>
    <mergeCell ref="F7:K13"/>
    <mergeCell ref="B18:B19"/>
    <mergeCell ref="B20:B21"/>
    <mergeCell ref="L7:AC8"/>
    <mergeCell ref="AD7:AF14"/>
    <mergeCell ref="AG7:AL8"/>
    <mergeCell ref="AM7:AR8"/>
    <mergeCell ref="AS7:AX8"/>
    <mergeCell ref="AY7:BD8"/>
    <mergeCell ref="L9:N14"/>
    <mergeCell ref="O9:Q14"/>
    <mergeCell ref="R9:T14"/>
    <mergeCell ref="U9:W14"/>
    <mergeCell ref="BB13:BD14"/>
    <mergeCell ref="F14:H14"/>
    <mergeCell ref="I14:K14"/>
    <mergeCell ref="AS9:AU10"/>
    <mergeCell ref="AV9:AX10"/>
    <mergeCell ref="X9:Z14"/>
    <mergeCell ref="AA9:AC14"/>
    <mergeCell ref="AG9:AI10"/>
    <mergeCell ref="AJ9:AL10"/>
    <mergeCell ref="AM9:AO10"/>
    <mergeCell ref="AP9:AR10"/>
    <mergeCell ref="AG13:AI14"/>
    <mergeCell ref="AJ13:AL14"/>
    <mergeCell ref="AM13:AO14"/>
    <mergeCell ref="AP13:AR14"/>
    <mergeCell ref="AS13:AU14"/>
    <mergeCell ref="AV13:AX14"/>
    <mergeCell ref="AY13:BA14"/>
    <mergeCell ref="AP15:AR15"/>
    <mergeCell ref="AS15:AU15"/>
    <mergeCell ref="AV15:AX15"/>
    <mergeCell ref="AY15:BA15"/>
    <mergeCell ref="AY9:BA10"/>
    <mergeCell ref="BB9:BD10"/>
    <mergeCell ref="AG11:AR12"/>
    <mergeCell ref="AS11:BD12"/>
    <mergeCell ref="BB15:BD15"/>
    <mergeCell ref="BE15:BH15"/>
    <mergeCell ref="X15:Z15"/>
    <mergeCell ref="AA15:AC15"/>
    <mergeCell ref="AD15:AF15"/>
    <mergeCell ref="AG15:AI15"/>
    <mergeCell ref="AJ15:AL15"/>
    <mergeCell ref="AM15:AO15"/>
    <mergeCell ref="F15:H15"/>
    <mergeCell ref="I15:K15"/>
    <mergeCell ref="L15:N15"/>
    <mergeCell ref="O15:Q15"/>
    <mergeCell ref="R15:T15"/>
    <mergeCell ref="U15:W15"/>
    <mergeCell ref="F16:H16"/>
    <mergeCell ref="I16:K16"/>
    <mergeCell ref="L16:N16"/>
    <mergeCell ref="O16:Q16"/>
    <mergeCell ref="R16:T16"/>
    <mergeCell ref="U16:W16"/>
    <mergeCell ref="BB17:BD17"/>
    <mergeCell ref="BE17:BH17"/>
    <mergeCell ref="AJ17:AL17"/>
    <mergeCell ref="AS16:AU16"/>
    <mergeCell ref="AV16:AX16"/>
    <mergeCell ref="AY16:BA16"/>
    <mergeCell ref="BB16:BD16"/>
    <mergeCell ref="BE16:BH16"/>
    <mergeCell ref="X16:Z16"/>
    <mergeCell ref="AA16:AC16"/>
    <mergeCell ref="AD16:AF16"/>
    <mergeCell ref="AG16:AI16"/>
    <mergeCell ref="AJ16:AL16"/>
    <mergeCell ref="AM16:AO16"/>
    <mergeCell ref="R17:T17"/>
    <mergeCell ref="U17:W17"/>
    <mergeCell ref="X17:Z17"/>
    <mergeCell ref="AA17:AC17"/>
    <mergeCell ref="AD17:AF17"/>
    <mergeCell ref="AG17:AI17"/>
    <mergeCell ref="AP16:AR16"/>
    <mergeCell ref="F17:H17"/>
    <mergeCell ref="I17:K17"/>
    <mergeCell ref="L17:N17"/>
    <mergeCell ref="O17:Q17"/>
    <mergeCell ref="BB18:BD18"/>
    <mergeCell ref="BE19:BH19"/>
    <mergeCell ref="AJ19:AL19"/>
    <mergeCell ref="AM19:AO19"/>
    <mergeCell ref="AP19:AR19"/>
    <mergeCell ref="AS19:AU19"/>
    <mergeCell ref="AM17:AO17"/>
    <mergeCell ref="AP17:AR17"/>
    <mergeCell ref="AS17:AU17"/>
    <mergeCell ref="AV17:AX17"/>
    <mergeCell ref="AY17:BA17"/>
    <mergeCell ref="AA18:AC18"/>
    <mergeCell ref="AD18:AF18"/>
    <mergeCell ref="AG18:AI18"/>
    <mergeCell ref="AJ18:AL18"/>
    <mergeCell ref="AM18:AO18"/>
    <mergeCell ref="AP18:AR18"/>
    <mergeCell ref="AS18:AU18"/>
    <mergeCell ref="F20:H20"/>
    <mergeCell ref="I20:K20"/>
    <mergeCell ref="L20:N20"/>
    <mergeCell ref="O20:Q20"/>
    <mergeCell ref="BB20:BD20"/>
    <mergeCell ref="BE20:BH20"/>
    <mergeCell ref="F18:H18"/>
    <mergeCell ref="I18:K18"/>
    <mergeCell ref="L18:N18"/>
    <mergeCell ref="O18:Q18"/>
    <mergeCell ref="R18:T18"/>
    <mergeCell ref="U18:W18"/>
    <mergeCell ref="R20:T20"/>
    <mergeCell ref="U20:W20"/>
    <mergeCell ref="X20:Z20"/>
    <mergeCell ref="R19:T19"/>
    <mergeCell ref="U19:W19"/>
    <mergeCell ref="X19:Z19"/>
    <mergeCell ref="AA19:AC19"/>
    <mergeCell ref="AD19:AF19"/>
    <mergeCell ref="AG19:AI19"/>
    <mergeCell ref="BB19:BD19"/>
    <mergeCell ref="BE18:BH18"/>
    <mergeCell ref="X18:Z18"/>
    <mergeCell ref="AV19:AX19"/>
    <mergeCell ref="AY19:BA19"/>
    <mergeCell ref="AV18:AX18"/>
    <mergeCell ref="AY18:BA18"/>
    <mergeCell ref="R28:T28"/>
    <mergeCell ref="U28:W28"/>
    <mergeCell ref="X28:Z28"/>
    <mergeCell ref="AA28:AC28"/>
    <mergeCell ref="AD28:AF28"/>
    <mergeCell ref="BE21:BH21"/>
    <mergeCell ref="X21:Z21"/>
    <mergeCell ref="AA21:AC21"/>
    <mergeCell ref="AD21:AF21"/>
    <mergeCell ref="AG21:AI21"/>
    <mergeCell ref="AJ21:AL21"/>
    <mergeCell ref="AM21:AO21"/>
    <mergeCell ref="AJ20:AL20"/>
    <mergeCell ref="AM20:AO20"/>
    <mergeCell ref="AP20:AR20"/>
    <mergeCell ref="AS20:AU20"/>
    <mergeCell ref="AV20:AX20"/>
    <mergeCell ref="AY20:BA20"/>
    <mergeCell ref="BB21:BD21"/>
    <mergeCell ref="AA20:AC20"/>
    <mergeCell ref="AD20:AF20"/>
    <mergeCell ref="AG20:AI20"/>
    <mergeCell ref="AY25:BA25"/>
    <mergeCell ref="BB25:BD25"/>
    <mergeCell ref="R23:T23"/>
    <mergeCell ref="BE27:BH27"/>
    <mergeCell ref="BB23:BD23"/>
    <mergeCell ref="BE23:BH23"/>
    <mergeCell ref="BB26:BD26"/>
    <mergeCell ref="BE26:BH26"/>
    <mergeCell ref="BB24:BD24"/>
    <mergeCell ref="BE24:BH24"/>
    <mergeCell ref="F24:H24"/>
    <mergeCell ref="I24:K24"/>
    <mergeCell ref="L24:N24"/>
    <mergeCell ref="O24:Q24"/>
    <mergeCell ref="BE22:BH22"/>
    <mergeCell ref="X22:Z22"/>
    <mergeCell ref="AA22:AC22"/>
    <mergeCell ref="AD22:AF22"/>
    <mergeCell ref="AG22:AI22"/>
    <mergeCell ref="AJ22:AL22"/>
    <mergeCell ref="AM22:AO22"/>
    <mergeCell ref="AV22:AX22"/>
    <mergeCell ref="AY22:BA22"/>
    <mergeCell ref="BB22:BD22"/>
    <mergeCell ref="R22:T22"/>
    <mergeCell ref="U22:W22"/>
    <mergeCell ref="AS24:AU24"/>
    <mergeCell ref="O22:Q22"/>
    <mergeCell ref="AD23:AF23"/>
    <mergeCell ref="AG23:AI23"/>
    <mergeCell ref="AP23:AR23"/>
    <mergeCell ref="AS23:AU23"/>
    <mergeCell ref="AY23:BA23"/>
    <mergeCell ref="AJ24:AL24"/>
    <mergeCell ref="AM24:AO24"/>
    <mergeCell ref="AP24:AR24"/>
    <mergeCell ref="R24:T24"/>
    <mergeCell ref="U24:W24"/>
    <mergeCell ref="X24:Z24"/>
    <mergeCell ref="AA24:AC24"/>
    <mergeCell ref="AD24:AF24"/>
    <mergeCell ref="AG24:AI24"/>
    <mergeCell ref="BB28:BD28"/>
    <mergeCell ref="AY36:BA36"/>
    <mergeCell ref="BB36:BD36"/>
    <mergeCell ref="BE36:BH36"/>
    <mergeCell ref="X36:Z36"/>
    <mergeCell ref="AA36:AC36"/>
    <mergeCell ref="AD36:AF36"/>
    <mergeCell ref="AG36:AI36"/>
    <mergeCell ref="AJ36:AL36"/>
    <mergeCell ref="AM36:AO36"/>
    <mergeCell ref="AD29:AF29"/>
    <mergeCell ref="AG29:AI29"/>
    <mergeCell ref="AJ29:AL29"/>
    <mergeCell ref="AM29:AO29"/>
    <mergeCell ref="BB34:BD34"/>
    <mergeCell ref="BE34:BH34"/>
    <mergeCell ref="AS34:AU34"/>
    <mergeCell ref="AV34:AX34"/>
    <mergeCell ref="AY34:BA34"/>
    <mergeCell ref="BE30:BH30"/>
    <mergeCell ref="AJ30:AL30"/>
    <mergeCell ref="AM30:AO30"/>
    <mergeCell ref="BE29:BH29"/>
    <mergeCell ref="X29:Z29"/>
    <mergeCell ref="AA29:AC29"/>
    <mergeCell ref="AY28:BA28"/>
    <mergeCell ref="AA31:AC31"/>
    <mergeCell ref="AD31:AF31"/>
    <mergeCell ref="AG31:AI31"/>
    <mergeCell ref="AJ31:AL31"/>
    <mergeCell ref="AM31:AO31"/>
    <mergeCell ref="AP31:AR31"/>
    <mergeCell ref="F34:H34"/>
    <mergeCell ref="F21:H21"/>
    <mergeCell ref="F22:H22"/>
    <mergeCell ref="F23:H23"/>
    <mergeCell ref="AJ26:AL26"/>
    <mergeCell ref="AM26:AO26"/>
    <mergeCell ref="U27:W27"/>
    <mergeCell ref="AJ23:AL23"/>
    <mergeCell ref="AM23:AO23"/>
    <mergeCell ref="BE25:BH25"/>
    <mergeCell ref="X25:Z25"/>
    <mergeCell ref="AA25:AC25"/>
    <mergeCell ref="AD25:AF25"/>
    <mergeCell ref="AG25:AI25"/>
    <mergeCell ref="AJ25:AL25"/>
    <mergeCell ref="AM25:AO25"/>
    <mergeCell ref="F25:H25"/>
    <mergeCell ref="I25:K25"/>
    <mergeCell ref="L25:N25"/>
    <mergeCell ref="O25:Q25"/>
    <mergeCell ref="R25:T25"/>
    <mergeCell ref="U25:W25"/>
    <mergeCell ref="AG28:AI28"/>
    <mergeCell ref="F28:H28"/>
    <mergeCell ref="I28:K28"/>
    <mergeCell ref="L28:N28"/>
    <mergeCell ref="O28:Q28"/>
    <mergeCell ref="AP29:AR29"/>
    <mergeCell ref="AS29:AU29"/>
    <mergeCell ref="AV29:AX29"/>
    <mergeCell ref="AY29:BA29"/>
    <mergeCell ref="BB29:BD29"/>
    <mergeCell ref="AY35:BA35"/>
    <mergeCell ref="BB35:BD35"/>
    <mergeCell ref="BE35:BH35"/>
    <mergeCell ref="X35:Z35"/>
    <mergeCell ref="AA35:AC35"/>
    <mergeCell ref="AD35:AF35"/>
    <mergeCell ref="AG35:AI35"/>
    <mergeCell ref="AJ35:AL35"/>
    <mergeCell ref="AM35:AO35"/>
    <mergeCell ref="AP35:AR35"/>
    <mergeCell ref="I34:K34"/>
    <mergeCell ref="L34:N34"/>
    <mergeCell ref="O34:Q34"/>
    <mergeCell ref="BE28:BH28"/>
    <mergeCell ref="F29:H29"/>
    <mergeCell ref="I29:K29"/>
    <mergeCell ref="L29:N29"/>
    <mergeCell ref="O29:Q29"/>
    <mergeCell ref="R29:T29"/>
    <mergeCell ref="U29:W29"/>
    <mergeCell ref="AJ28:AL28"/>
    <mergeCell ref="AM28:AO28"/>
    <mergeCell ref="AP28:AR28"/>
    <mergeCell ref="AS28:AU28"/>
    <mergeCell ref="AP30:AR30"/>
    <mergeCell ref="AS30:AU30"/>
    <mergeCell ref="AV30:AX30"/>
    <mergeCell ref="AY30:BA30"/>
    <mergeCell ref="A32:BH33"/>
    <mergeCell ref="U34:W34"/>
    <mergeCell ref="X34:Z34"/>
    <mergeCell ref="AA34:AC34"/>
    <mergeCell ref="L36:N36"/>
    <mergeCell ref="O36:Q36"/>
    <mergeCell ref="R36:T36"/>
    <mergeCell ref="U36:W36"/>
    <mergeCell ref="AP25:AR25"/>
    <mergeCell ref="AS25:AU25"/>
    <mergeCell ref="AV25:AX25"/>
    <mergeCell ref="AP36:AR36"/>
    <mergeCell ref="AS36:AU36"/>
    <mergeCell ref="AV36:AX36"/>
    <mergeCell ref="AS35:AU35"/>
    <mergeCell ref="AV35:AX35"/>
    <mergeCell ref="F35:H35"/>
    <mergeCell ref="I35:K35"/>
    <mergeCell ref="L35:N35"/>
    <mergeCell ref="O35:Q35"/>
    <mergeCell ref="R35:T35"/>
    <mergeCell ref="U35:W35"/>
    <mergeCell ref="AJ34:AL34"/>
    <mergeCell ref="AM34:AO34"/>
    <mergeCell ref="AP34:AR34"/>
    <mergeCell ref="R34:T34"/>
    <mergeCell ref="AV28:AX28"/>
    <mergeCell ref="F31:H31"/>
    <mergeCell ref="I31:K31"/>
    <mergeCell ref="L31:N31"/>
    <mergeCell ref="O31:Q31"/>
    <mergeCell ref="R31:T31"/>
    <mergeCell ref="U31:W31"/>
    <mergeCell ref="X31:Z31"/>
    <mergeCell ref="AD34:AF34"/>
    <mergeCell ref="AG34:AI34"/>
    <mergeCell ref="BE41:BH41"/>
    <mergeCell ref="F42:H42"/>
    <mergeCell ref="I42:K42"/>
    <mergeCell ref="L42:N42"/>
    <mergeCell ref="O42:Q42"/>
    <mergeCell ref="R42:T42"/>
    <mergeCell ref="U42:W42"/>
    <mergeCell ref="AJ41:AL41"/>
    <mergeCell ref="AM41:AO41"/>
    <mergeCell ref="AP41:AR41"/>
    <mergeCell ref="AS41:AU41"/>
    <mergeCell ref="AV41:AX41"/>
    <mergeCell ref="AY41:BA41"/>
    <mergeCell ref="R41:T41"/>
    <mergeCell ref="U41:W41"/>
    <mergeCell ref="X41:Z41"/>
    <mergeCell ref="AA41:AC41"/>
    <mergeCell ref="AD41:AF41"/>
    <mergeCell ref="AG41:AI41"/>
    <mergeCell ref="F41:H41"/>
    <mergeCell ref="I41:K41"/>
    <mergeCell ref="L41:N41"/>
    <mergeCell ref="O41:Q41"/>
    <mergeCell ref="BB41:BD41"/>
    <mergeCell ref="F26:H26"/>
    <mergeCell ref="I26:K26"/>
    <mergeCell ref="L26:N26"/>
    <mergeCell ref="O26:Q26"/>
    <mergeCell ref="R26:T26"/>
    <mergeCell ref="U26:W26"/>
    <mergeCell ref="F43:H43"/>
    <mergeCell ref="I43:K43"/>
    <mergeCell ref="L43:N43"/>
    <mergeCell ref="O43:Q43"/>
    <mergeCell ref="R43:T43"/>
    <mergeCell ref="U43:W43"/>
    <mergeCell ref="AJ42:AL42"/>
    <mergeCell ref="AM42:AO42"/>
    <mergeCell ref="AP42:AR42"/>
    <mergeCell ref="X42:Z42"/>
    <mergeCell ref="AA42:AC42"/>
    <mergeCell ref="AD42:AF42"/>
    <mergeCell ref="AG42:AI42"/>
    <mergeCell ref="X27:Z27"/>
    <mergeCell ref="AA27:AC27"/>
    <mergeCell ref="AD27:AF27"/>
    <mergeCell ref="AG27:AI27"/>
    <mergeCell ref="AJ27:AL27"/>
    <mergeCell ref="AM27:AO27"/>
    <mergeCell ref="R30:T30"/>
    <mergeCell ref="U30:W30"/>
    <mergeCell ref="X30:Z30"/>
    <mergeCell ref="AA30:AC30"/>
    <mergeCell ref="AD30:AF30"/>
    <mergeCell ref="AG30:AI30"/>
    <mergeCell ref="F36:H36"/>
    <mergeCell ref="BE43:BH43"/>
    <mergeCell ref="X43:Z43"/>
    <mergeCell ref="AA43:AC43"/>
    <mergeCell ref="AD43:AF43"/>
    <mergeCell ref="AG43:AI43"/>
    <mergeCell ref="AJ43:AL43"/>
    <mergeCell ref="AM43:AO43"/>
    <mergeCell ref="BB42:BD42"/>
    <mergeCell ref="BE42:BH42"/>
    <mergeCell ref="AS42:AU42"/>
    <mergeCell ref="AV42:AX42"/>
    <mergeCell ref="AY42:BA42"/>
    <mergeCell ref="AP43:AR43"/>
    <mergeCell ref="AS43:AU43"/>
    <mergeCell ref="AV43:AX43"/>
    <mergeCell ref="AY43:BA43"/>
    <mergeCell ref="BB43:BD43"/>
    <mergeCell ref="BE47:BH47"/>
    <mergeCell ref="X47:Z47"/>
    <mergeCell ref="AA47:AC47"/>
    <mergeCell ref="AD47:AF47"/>
    <mergeCell ref="AG47:AI47"/>
    <mergeCell ref="AJ47:AL47"/>
    <mergeCell ref="AM47:AO47"/>
    <mergeCell ref="F47:H47"/>
    <mergeCell ref="I47:K47"/>
    <mergeCell ref="L47:N47"/>
    <mergeCell ref="O47:Q47"/>
    <mergeCell ref="R47:T47"/>
    <mergeCell ref="U47:W47"/>
    <mergeCell ref="BE48:BH48"/>
    <mergeCell ref="F49:H49"/>
    <mergeCell ref="I49:K49"/>
    <mergeCell ref="L49:N49"/>
    <mergeCell ref="O49:Q49"/>
    <mergeCell ref="R49:T49"/>
    <mergeCell ref="U49:W49"/>
    <mergeCell ref="AJ48:AL48"/>
    <mergeCell ref="AM48:AO48"/>
    <mergeCell ref="AP48:AR48"/>
    <mergeCell ref="AS48:AU48"/>
    <mergeCell ref="AV48:AX48"/>
    <mergeCell ref="AY48:BA48"/>
    <mergeCell ref="R48:T48"/>
    <mergeCell ref="U48:W48"/>
    <mergeCell ref="X48:Z48"/>
    <mergeCell ref="AA48:AC48"/>
    <mergeCell ref="AD48:AF48"/>
    <mergeCell ref="AG48:AI48"/>
    <mergeCell ref="F48:H48"/>
    <mergeCell ref="I48:K48"/>
    <mergeCell ref="L48:N48"/>
    <mergeCell ref="O48:Q48"/>
    <mergeCell ref="BE50:BH50"/>
    <mergeCell ref="F19:H19"/>
    <mergeCell ref="I19:K19"/>
    <mergeCell ref="L19:N19"/>
    <mergeCell ref="O19:Q19"/>
    <mergeCell ref="R50:T50"/>
    <mergeCell ref="U50:W50"/>
    <mergeCell ref="X50:Z50"/>
    <mergeCell ref="AA50:AC50"/>
    <mergeCell ref="AD50:AF50"/>
    <mergeCell ref="AG50:AI50"/>
    <mergeCell ref="F50:H50"/>
    <mergeCell ref="I50:K50"/>
    <mergeCell ref="L50:N50"/>
    <mergeCell ref="O50:Q50"/>
    <mergeCell ref="AP49:AR49"/>
    <mergeCell ref="AS49:AU49"/>
    <mergeCell ref="AV49:AX49"/>
    <mergeCell ref="AY49:BA49"/>
    <mergeCell ref="BB49:BD49"/>
    <mergeCell ref="BE49:BH49"/>
    <mergeCell ref="X49:Z49"/>
    <mergeCell ref="AA49:AC49"/>
    <mergeCell ref="AD49:AF49"/>
    <mergeCell ref="AV50:AX50"/>
    <mergeCell ref="AY50:BA50"/>
    <mergeCell ref="BB50:BD50"/>
    <mergeCell ref="AG49:AI49"/>
    <mergeCell ref="AM49:AO49"/>
    <mergeCell ref="BB48:BD48"/>
    <mergeCell ref="AP47:AR47"/>
    <mergeCell ref="AS47:AU47"/>
    <mergeCell ref="AV47:AX47"/>
    <mergeCell ref="AY47:BA47"/>
    <mergeCell ref="BB47:BD47"/>
    <mergeCell ref="AJ50:AL50"/>
    <mergeCell ref="AM50:AO50"/>
    <mergeCell ref="AP50:AR50"/>
    <mergeCell ref="AS50:AU50"/>
    <mergeCell ref="I23:K23"/>
    <mergeCell ref="L23:N23"/>
    <mergeCell ref="O23:Q23"/>
    <mergeCell ref="AP21:AR21"/>
    <mergeCell ref="AS21:AU21"/>
    <mergeCell ref="AV21:AX21"/>
    <mergeCell ref="AY21:BA21"/>
    <mergeCell ref="I21:K21"/>
    <mergeCell ref="L21:N21"/>
    <mergeCell ref="O21:Q21"/>
    <mergeCell ref="R21:T21"/>
    <mergeCell ref="U21:W21"/>
    <mergeCell ref="AP22:AR22"/>
    <mergeCell ref="AS22:AU22"/>
    <mergeCell ref="I22:K22"/>
    <mergeCell ref="L22:N22"/>
    <mergeCell ref="U23:W23"/>
    <mergeCell ref="X23:Z23"/>
    <mergeCell ref="AA23:AC23"/>
    <mergeCell ref="AG26:AI26"/>
    <mergeCell ref="I36:K36"/>
    <mergeCell ref="AV24:AX24"/>
    <mergeCell ref="AY24:BA24"/>
    <mergeCell ref="AV23:AX23"/>
    <mergeCell ref="AY26:BA26"/>
    <mergeCell ref="AP26:AR26"/>
    <mergeCell ref="AS26:AU26"/>
    <mergeCell ref="AV26:AX26"/>
    <mergeCell ref="X26:Z26"/>
    <mergeCell ref="AA26:AC26"/>
    <mergeCell ref="AD26:AF26"/>
    <mergeCell ref="BB54:BD54"/>
    <mergeCell ref="BE54:BH54"/>
    <mergeCell ref="F55:H55"/>
    <mergeCell ref="I55:K55"/>
    <mergeCell ref="L55:N55"/>
    <mergeCell ref="O55:Q55"/>
    <mergeCell ref="R55:T55"/>
    <mergeCell ref="U55:W55"/>
    <mergeCell ref="AJ54:AL54"/>
    <mergeCell ref="AM54:AO54"/>
    <mergeCell ref="AP54:AR54"/>
    <mergeCell ref="AS54:AU54"/>
    <mergeCell ref="AV54:AX54"/>
    <mergeCell ref="AY54:BA54"/>
    <mergeCell ref="R54:T54"/>
    <mergeCell ref="U54:W54"/>
    <mergeCell ref="X54:Z54"/>
    <mergeCell ref="AA54:AC54"/>
    <mergeCell ref="AD54:AF54"/>
    <mergeCell ref="AG54:AI54"/>
    <mergeCell ref="F54:H54"/>
    <mergeCell ref="I54:K54"/>
    <mergeCell ref="L54:N54"/>
    <mergeCell ref="O54:Q54"/>
    <mergeCell ref="AP55:AR55"/>
    <mergeCell ref="AS37:AU37"/>
    <mergeCell ref="AV37:AX37"/>
    <mergeCell ref="AY37:BA37"/>
    <mergeCell ref="R37:T37"/>
    <mergeCell ref="U37:W37"/>
    <mergeCell ref="X37:Z37"/>
    <mergeCell ref="R58:T58"/>
    <mergeCell ref="U58:W58"/>
    <mergeCell ref="X58:Z58"/>
    <mergeCell ref="AA58:AC58"/>
    <mergeCell ref="AD58:AF58"/>
    <mergeCell ref="AG58:AI58"/>
    <mergeCell ref="F58:H58"/>
    <mergeCell ref="I58:K58"/>
    <mergeCell ref="L58:N58"/>
    <mergeCell ref="O58:Q58"/>
    <mergeCell ref="F37:H37"/>
    <mergeCell ref="I37:K37"/>
    <mergeCell ref="L37:N37"/>
    <mergeCell ref="O37:Q37"/>
    <mergeCell ref="A39:BH40"/>
    <mergeCell ref="A45:BH46"/>
    <mergeCell ref="A52:BH53"/>
    <mergeCell ref="BB37:BD37"/>
    <mergeCell ref="BE37:BH37"/>
    <mergeCell ref="AJ37:AL37"/>
    <mergeCell ref="AM37:AO37"/>
    <mergeCell ref="AP37:AR37"/>
    <mergeCell ref="AJ49:AL49"/>
    <mergeCell ref="BE56:BH56"/>
    <mergeCell ref="X56:Z56"/>
    <mergeCell ref="AA56:AC56"/>
    <mergeCell ref="AD56:AF56"/>
    <mergeCell ref="AG56:AI56"/>
    <mergeCell ref="AJ56:AL56"/>
    <mergeCell ref="AM56:AO56"/>
    <mergeCell ref="BB58:BD58"/>
    <mergeCell ref="BE58:BH58"/>
    <mergeCell ref="AJ58:AL58"/>
    <mergeCell ref="AM58:AO58"/>
    <mergeCell ref="AP58:AR58"/>
    <mergeCell ref="AS58:AU58"/>
    <mergeCell ref="AV58:AX58"/>
    <mergeCell ref="AY58:BA58"/>
    <mergeCell ref="F63:H63"/>
    <mergeCell ref="I63:K63"/>
    <mergeCell ref="L63:N63"/>
    <mergeCell ref="O63:Q63"/>
    <mergeCell ref="AP56:AR56"/>
    <mergeCell ref="AS56:AU56"/>
    <mergeCell ref="AV56:AX56"/>
    <mergeCell ref="AY56:BA56"/>
    <mergeCell ref="BB56:BD56"/>
    <mergeCell ref="F56:H56"/>
    <mergeCell ref="I56:K56"/>
    <mergeCell ref="L56:N56"/>
    <mergeCell ref="O56:Q56"/>
    <mergeCell ref="R56:T56"/>
    <mergeCell ref="U56:W56"/>
    <mergeCell ref="BB63:BD63"/>
    <mergeCell ref="BE63:BH63"/>
    <mergeCell ref="AD63:AF63"/>
    <mergeCell ref="AG63:AI63"/>
    <mergeCell ref="BE61:BH61"/>
    <mergeCell ref="X61:Z61"/>
    <mergeCell ref="AA61:AC61"/>
    <mergeCell ref="F61:H61"/>
    <mergeCell ref="I61:K61"/>
    <mergeCell ref="L61:N61"/>
    <mergeCell ref="O61:Q61"/>
    <mergeCell ref="R61:T61"/>
    <mergeCell ref="U61:W61"/>
    <mergeCell ref="F62:H62"/>
    <mergeCell ref="I62:K62"/>
    <mergeCell ref="L62:N62"/>
    <mergeCell ref="O62:Q62"/>
    <mergeCell ref="AP61:AR61"/>
    <mergeCell ref="AS61:AU61"/>
    <mergeCell ref="AV61:AX61"/>
    <mergeCell ref="AY61:BA61"/>
    <mergeCell ref="BB61:BD61"/>
    <mergeCell ref="AP62:AR62"/>
    <mergeCell ref="AS62:AU62"/>
    <mergeCell ref="AV62:AX62"/>
    <mergeCell ref="AY62:BA62"/>
    <mergeCell ref="R62:T62"/>
    <mergeCell ref="U62:W62"/>
    <mergeCell ref="X62:Z62"/>
    <mergeCell ref="AA62:AC62"/>
    <mergeCell ref="AD62:AF62"/>
    <mergeCell ref="AG62:AI62"/>
    <mergeCell ref="AD64:AF64"/>
    <mergeCell ref="AG64:AI64"/>
    <mergeCell ref="AJ64:AL64"/>
    <mergeCell ref="AM64:AO64"/>
    <mergeCell ref="BB62:BD62"/>
    <mergeCell ref="BE62:BH62"/>
    <mergeCell ref="F64:H64"/>
    <mergeCell ref="I64:K64"/>
    <mergeCell ref="L64:N64"/>
    <mergeCell ref="O64:Q64"/>
    <mergeCell ref="R64:T64"/>
    <mergeCell ref="U64:W64"/>
    <mergeCell ref="AJ62:AL62"/>
    <mergeCell ref="AM62:AO62"/>
    <mergeCell ref="AJ63:AL63"/>
    <mergeCell ref="AM63:AO63"/>
    <mergeCell ref="AP63:AR63"/>
    <mergeCell ref="AS63:AU63"/>
    <mergeCell ref="AV63:AX63"/>
    <mergeCell ref="AY63:BA63"/>
    <mergeCell ref="R63:T63"/>
    <mergeCell ref="U63:W63"/>
    <mergeCell ref="X63:Z63"/>
    <mergeCell ref="AA63:AC63"/>
    <mergeCell ref="AD68:AF68"/>
    <mergeCell ref="AG68:AI68"/>
    <mergeCell ref="F68:H68"/>
    <mergeCell ref="I68:K68"/>
    <mergeCell ref="L68:N68"/>
    <mergeCell ref="O68:Q68"/>
    <mergeCell ref="F70:H70"/>
    <mergeCell ref="I70:K70"/>
    <mergeCell ref="L70:N70"/>
    <mergeCell ref="O70:Q70"/>
    <mergeCell ref="AA70:AC70"/>
    <mergeCell ref="AD70:AF70"/>
    <mergeCell ref="AG70:AI70"/>
    <mergeCell ref="A72:BH73"/>
    <mergeCell ref="AP69:AR69"/>
    <mergeCell ref="AS69:AU69"/>
    <mergeCell ref="AV69:AX69"/>
    <mergeCell ref="AY69:BA69"/>
    <mergeCell ref="BB69:BD69"/>
    <mergeCell ref="BE69:BH69"/>
    <mergeCell ref="X69:Z69"/>
    <mergeCell ref="AA69:AC69"/>
    <mergeCell ref="AD69:AF69"/>
    <mergeCell ref="AG69:AI69"/>
    <mergeCell ref="AJ69:AL69"/>
    <mergeCell ref="AM69:AO69"/>
    <mergeCell ref="BB70:BD70"/>
    <mergeCell ref="BE70:BH70"/>
    <mergeCell ref="AJ70:AL70"/>
    <mergeCell ref="AM70:AO70"/>
    <mergeCell ref="AP70:AR70"/>
    <mergeCell ref="AS70:AU70"/>
    <mergeCell ref="AV70:AX70"/>
    <mergeCell ref="AY70:BA70"/>
    <mergeCell ref="R70:T70"/>
    <mergeCell ref="U70:W70"/>
    <mergeCell ref="X70:Z70"/>
    <mergeCell ref="F74:H74"/>
    <mergeCell ref="I74:K74"/>
    <mergeCell ref="L74:N74"/>
    <mergeCell ref="O74:Q74"/>
    <mergeCell ref="F79:H79"/>
    <mergeCell ref="I79:K79"/>
    <mergeCell ref="L79:N79"/>
    <mergeCell ref="O79:Q79"/>
    <mergeCell ref="A82:BH83"/>
    <mergeCell ref="AP75:AR75"/>
    <mergeCell ref="AS75:AU75"/>
    <mergeCell ref="AV75:AX75"/>
    <mergeCell ref="AY75:BA75"/>
    <mergeCell ref="BB75:BD75"/>
    <mergeCell ref="BE75:BH75"/>
    <mergeCell ref="X75:Z75"/>
    <mergeCell ref="AA75:AC75"/>
    <mergeCell ref="AD75:AF75"/>
    <mergeCell ref="AG75:AI75"/>
    <mergeCell ref="AJ75:AL75"/>
    <mergeCell ref="AM75:AO75"/>
    <mergeCell ref="F75:H75"/>
    <mergeCell ref="I75:K75"/>
    <mergeCell ref="L75:N75"/>
    <mergeCell ref="O75:Q75"/>
    <mergeCell ref="AY74:BA74"/>
    <mergeCell ref="AD81:AF81"/>
    <mergeCell ref="X81:Z81"/>
    <mergeCell ref="AA81:AC81"/>
    <mergeCell ref="AS79:AU79"/>
    <mergeCell ref="AV79:AX79"/>
    <mergeCell ref="R79:T79"/>
    <mergeCell ref="U79:W79"/>
    <mergeCell ref="X79:Z79"/>
    <mergeCell ref="AA79:AC79"/>
    <mergeCell ref="AD79:AF79"/>
    <mergeCell ref="AG79:AI79"/>
    <mergeCell ref="AG76:AI76"/>
    <mergeCell ref="AJ76:AL76"/>
    <mergeCell ref="AM76:AO76"/>
    <mergeCell ref="AP76:AR76"/>
    <mergeCell ref="AS76:AU76"/>
    <mergeCell ref="AV76:AX76"/>
    <mergeCell ref="AY76:BA76"/>
    <mergeCell ref="BE76:BH76"/>
    <mergeCell ref="AS80:AU80"/>
    <mergeCell ref="AV80:AX80"/>
    <mergeCell ref="AY80:BA80"/>
    <mergeCell ref="BB80:BD80"/>
    <mergeCell ref="BE80:BH80"/>
    <mergeCell ref="X80:Z80"/>
    <mergeCell ref="AA80:AC80"/>
    <mergeCell ref="AD80:AF80"/>
    <mergeCell ref="AG80:AI80"/>
    <mergeCell ref="AJ80:AL80"/>
    <mergeCell ref="AM80:AO80"/>
    <mergeCell ref="BB79:BD79"/>
    <mergeCell ref="BE79:BH79"/>
    <mergeCell ref="F80:H80"/>
    <mergeCell ref="I80:K80"/>
    <mergeCell ref="AY79:BA79"/>
    <mergeCell ref="BB74:BD74"/>
    <mergeCell ref="BE74:BH74"/>
    <mergeCell ref="AJ74:AL74"/>
    <mergeCell ref="AM74:AO74"/>
    <mergeCell ref="AP74:AR74"/>
    <mergeCell ref="AS74:AU74"/>
    <mergeCell ref="AV74:AX74"/>
    <mergeCell ref="R75:T75"/>
    <mergeCell ref="U75:W75"/>
    <mergeCell ref="A77:BH78"/>
    <mergeCell ref="L80:N80"/>
    <mergeCell ref="O80:Q80"/>
    <mergeCell ref="R80:T80"/>
    <mergeCell ref="U80:W80"/>
    <mergeCell ref="AJ79:AL79"/>
    <mergeCell ref="AM79:AO79"/>
    <mergeCell ref="AA37:AC37"/>
    <mergeCell ref="AD37:AF37"/>
    <mergeCell ref="AG37:AI37"/>
    <mergeCell ref="AP79:AR79"/>
    <mergeCell ref="F76:H76"/>
    <mergeCell ref="I76:K76"/>
    <mergeCell ref="L76:N76"/>
    <mergeCell ref="O76:Q76"/>
    <mergeCell ref="AP80:AR80"/>
    <mergeCell ref="R74:T74"/>
    <mergeCell ref="U74:W74"/>
    <mergeCell ref="X74:Z74"/>
    <mergeCell ref="AA74:AC74"/>
    <mergeCell ref="AD74:AF74"/>
    <mergeCell ref="AG74:AI74"/>
    <mergeCell ref="BB76:BD76"/>
    <mergeCell ref="F85:H85"/>
    <mergeCell ref="I85:K85"/>
    <mergeCell ref="L85:N85"/>
    <mergeCell ref="O85:Q85"/>
    <mergeCell ref="R85:T85"/>
    <mergeCell ref="U85:W85"/>
    <mergeCell ref="X85:Z85"/>
    <mergeCell ref="AM84:AO84"/>
    <mergeCell ref="AP84:AR84"/>
    <mergeCell ref="U84:W84"/>
    <mergeCell ref="X84:Z84"/>
    <mergeCell ref="AA84:AC84"/>
    <mergeCell ref="AD84:AF84"/>
    <mergeCell ref="AG84:AI84"/>
    <mergeCell ref="AJ84:AL84"/>
    <mergeCell ref="F84:H84"/>
    <mergeCell ref="I84:K84"/>
    <mergeCell ref="L84:N84"/>
    <mergeCell ref="B25:B26"/>
    <mergeCell ref="O84:Q84"/>
    <mergeCell ref="R84:T84"/>
    <mergeCell ref="I86:K86"/>
    <mergeCell ref="L86:N86"/>
    <mergeCell ref="AA85:AC85"/>
    <mergeCell ref="AD85:AF85"/>
    <mergeCell ref="AG85:AI85"/>
    <mergeCell ref="AJ85:AL85"/>
    <mergeCell ref="AM85:AO85"/>
    <mergeCell ref="AP85:AR85"/>
    <mergeCell ref="BE84:BH84"/>
    <mergeCell ref="AS84:AU84"/>
    <mergeCell ref="AV84:AX84"/>
    <mergeCell ref="AY84:BA84"/>
    <mergeCell ref="BB84:BD84"/>
    <mergeCell ref="A5:C14"/>
    <mergeCell ref="A15:C15"/>
    <mergeCell ref="AY86:BA86"/>
    <mergeCell ref="BB86:BD86"/>
    <mergeCell ref="BE86:BH86"/>
    <mergeCell ref="AG86:AI86"/>
    <mergeCell ref="AJ86:AL86"/>
    <mergeCell ref="AM86:AO86"/>
    <mergeCell ref="AP86:AR86"/>
    <mergeCell ref="AS86:AU86"/>
    <mergeCell ref="AV86:AX86"/>
    <mergeCell ref="O86:Q86"/>
    <mergeCell ref="R86:T86"/>
    <mergeCell ref="U86:W86"/>
    <mergeCell ref="X86:Z86"/>
    <mergeCell ref="AA86:AC86"/>
    <mergeCell ref="A25:A26"/>
    <mergeCell ref="AS85:AU85"/>
    <mergeCell ref="AV85:AX85"/>
    <mergeCell ref="AY85:BA85"/>
    <mergeCell ref="BB85:BD85"/>
    <mergeCell ref="BE85:BH85"/>
    <mergeCell ref="B22:B23"/>
    <mergeCell ref="F86:H86"/>
    <mergeCell ref="B27:B28"/>
    <mergeCell ref="B29:B30"/>
    <mergeCell ref="A18:A19"/>
    <mergeCell ref="A20:A21"/>
    <mergeCell ref="A22:A23"/>
    <mergeCell ref="A27:A28"/>
    <mergeCell ref="A29:A30"/>
    <mergeCell ref="A1:BD2"/>
    <mergeCell ref="BB30:BD30"/>
    <mergeCell ref="F30:H30"/>
    <mergeCell ref="I30:K30"/>
    <mergeCell ref="L30:N30"/>
    <mergeCell ref="O30:Q30"/>
    <mergeCell ref="AP27:AR27"/>
    <mergeCell ref="AS27:AU27"/>
    <mergeCell ref="AV27:AX27"/>
    <mergeCell ref="AY27:BA27"/>
    <mergeCell ref="BB27:BD27"/>
    <mergeCell ref="F27:H27"/>
    <mergeCell ref="I27:K27"/>
    <mergeCell ref="L27:N27"/>
    <mergeCell ref="O27:Q27"/>
    <mergeCell ref="R27:T27"/>
    <mergeCell ref="A3:BH4"/>
  </mergeCells>
  <pageMargins left="0.19685039370078741" right="0.19685039370078741" top="0.19685039370078741" bottom="0.19685039370078741" header="0.31496062992125984" footer="0.31496062992125984"/>
  <pageSetup paperSize="9" scale="4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155"/>
  <sheetViews>
    <sheetView view="pageBreakPreview" topLeftCell="A41" zoomScale="85" zoomScaleNormal="55" zoomScaleSheetLayoutView="85" zoomScalePageLayoutView="55" workbookViewId="0">
      <selection activeCell="I88" sqref="I88"/>
    </sheetView>
  </sheetViews>
  <sheetFormatPr defaultColWidth="9.140625" defaultRowHeight="15.75" x14ac:dyDescent="0.25"/>
  <cols>
    <col min="1" max="1" width="12.28515625" style="2" customWidth="1"/>
    <col min="2" max="2" width="12.28515625" style="58" customWidth="1"/>
    <col min="3" max="3" width="3.85546875" style="58" customWidth="1"/>
    <col min="4" max="70" width="3.85546875" style="2" customWidth="1"/>
    <col min="71" max="74" width="6.5703125" style="1" customWidth="1"/>
    <col min="75" max="75" width="15.42578125" style="1" customWidth="1"/>
    <col min="76" max="77" width="6.5703125" style="1" customWidth="1"/>
    <col min="78" max="78" width="15.42578125" style="1" customWidth="1"/>
    <col min="79" max="16384" width="9.140625" style="2"/>
  </cols>
  <sheetData>
    <row r="1" spans="1:70" ht="14.25" customHeight="1" x14ac:dyDescent="0.25">
      <c r="A1" s="140" t="s">
        <v>252</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c r="BD1" s="140"/>
      <c r="BE1" s="140"/>
      <c r="BF1" s="140"/>
      <c r="BG1" s="140"/>
      <c r="BH1" s="140"/>
      <c r="BI1" s="140"/>
      <c r="BJ1" s="140"/>
      <c r="BK1" s="140"/>
      <c r="BL1" s="140"/>
      <c r="BM1" s="140"/>
      <c r="BN1" s="140"/>
      <c r="BO1" s="140"/>
      <c r="BP1" s="140"/>
      <c r="BQ1" s="140"/>
      <c r="BR1" s="140"/>
    </row>
    <row r="2" spans="1:70" ht="14.25" customHeight="1" x14ac:dyDescent="0.25">
      <c r="A2" s="140"/>
      <c r="B2" s="140"/>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c r="AH2" s="140"/>
      <c r="AI2" s="140"/>
      <c r="AJ2" s="140"/>
      <c r="AK2" s="140"/>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row>
    <row r="3" spans="1:70" ht="14.25" customHeight="1" x14ac:dyDescent="0.25">
      <c r="A3" s="140" t="s">
        <v>56</v>
      </c>
      <c r="B3" s="140"/>
      <c r="C3" s="140"/>
      <c r="D3" s="140"/>
      <c r="E3" s="140"/>
      <c r="F3" s="140"/>
      <c r="G3" s="140"/>
      <c r="H3" s="140"/>
      <c r="I3" s="140"/>
      <c r="J3" s="140"/>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row>
    <row r="4" spans="1:70" ht="14.25" customHeight="1" x14ac:dyDescent="0.25">
      <c r="A4" s="140"/>
      <c r="B4" s="140"/>
      <c r="C4" s="140"/>
      <c r="D4" s="140"/>
      <c r="E4" s="140"/>
      <c r="F4" s="140"/>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row>
    <row r="5" spans="1:70" ht="14.25" customHeight="1" x14ac:dyDescent="0.25">
      <c r="A5" s="67"/>
      <c r="B5" s="67"/>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row>
    <row r="6" spans="1:70" ht="14.25" customHeight="1" x14ac:dyDescent="0.25">
      <c r="A6" s="67"/>
      <c r="B6" s="67"/>
      <c r="C6" s="67"/>
      <c r="D6" s="67"/>
      <c r="E6" s="67"/>
      <c r="F6" s="67"/>
      <c r="G6" s="67"/>
      <c r="H6" s="67"/>
      <c r="I6" s="67"/>
      <c r="J6" s="67"/>
      <c r="K6" s="67"/>
      <c r="L6" s="67"/>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row>
    <row r="7" spans="1:70" ht="14.25" customHeight="1" x14ac:dyDescent="0.25">
      <c r="A7" s="170" t="s">
        <v>57</v>
      </c>
      <c r="B7" s="170"/>
      <c r="C7" s="170"/>
      <c r="D7" s="170"/>
      <c r="E7" s="170"/>
      <c r="F7" s="170"/>
      <c r="G7" s="170"/>
      <c r="H7" s="170"/>
      <c r="I7" s="170"/>
      <c r="J7" s="170"/>
      <c r="K7" s="170"/>
      <c r="L7" s="170"/>
      <c r="M7" s="170"/>
      <c r="N7" s="170"/>
      <c r="O7" s="170"/>
      <c r="P7" s="170"/>
      <c r="Q7" s="170"/>
      <c r="R7" s="170" t="s">
        <v>239</v>
      </c>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t="s">
        <v>64</v>
      </c>
      <c r="BA7" s="170"/>
      <c r="BB7" s="170"/>
      <c r="BC7" s="170"/>
      <c r="BD7" s="170"/>
      <c r="BE7" s="170"/>
      <c r="BF7" s="170"/>
      <c r="BG7" s="170"/>
      <c r="BH7" s="170"/>
      <c r="BI7" s="170"/>
      <c r="BJ7" s="170"/>
      <c r="BK7" s="170"/>
      <c r="BL7" s="170"/>
      <c r="BM7" s="170"/>
      <c r="BN7" s="170"/>
      <c r="BO7" s="170"/>
      <c r="BP7" s="170"/>
      <c r="BQ7" s="170"/>
      <c r="BR7" s="170"/>
    </row>
    <row r="8" spans="1:70" ht="14.25" customHeight="1" x14ac:dyDescent="0.25">
      <c r="A8" s="170"/>
      <c r="B8" s="170"/>
      <c r="C8" s="170"/>
      <c r="D8" s="170"/>
      <c r="E8" s="170"/>
      <c r="F8" s="170"/>
      <c r="G8" s="170"/>
      <c r="H8" s="170"/>
      <c r="I8" s="170"/>
      <c r="J8" s="170"/>
      <c r="K8" s="170"/>
      <c r="L8" s="170"/>
      <c r="M8" s="170"/>
      <c r="N8" s="170"/>
      <c r="O8" s="170"/>
      <c r="P8" s="170"/>
      <c r="Q8" s="170"/>
      <c r="R8" s="170"/>
      <c r="S8" s="170"/>
      <c r="T8" s="170"/>
      <c r="U8" s="170"/>
      <c r="V8" s="170"/>
      <c r="W8" s="170"/>
      <c r="X8" s="170"/>
      <c r="Y8" s="170"/>
      <c r="Z8" s="170"/>
      <c r="AA8" s="170"/>
      <c r="AB8" s="170"/>
      <c r="AC8" s="170"/>
      <c r="AD8" s="170"/>
      <c r="AE8" s="170"/>
      <c r="AF8" s="170"/>
      <c r="AG8" s="170"/>
      <c r="AH8" s="170"/>
      <c r="AI8" s="170"/>
      <c r="AJ8" s="170"/>
      <c r="AK8" s="170"/>
      <c r="AL8" s="170"/>
      <c r="AM8" s="170"/>
      <c r="AN8" s="170"/>
      <c r="AO8" s="170"/>
      <c r="AP8" s="170"/>
      <c r="AQ8" s="170"/>
      <c r="AR8" s="170"/>
      <c r="AS8" s="170"/>
      <c r="AT8" s="170"/>
      <c r="AU8" s="170"/>
      <c r="AV8" s="170"/>
      <c r="AW8" s="170"/>
      <c r="AX8" s="170"/>
      <c r="AY8" s="170"/>
      <c r="AZ8" s="170"/>
      <c r="BA8" s="170"/>
      <c r="BB8" s="170"/>
      <c r="BC8" s="170"/>
      <c r="BD8" s="170"/>
      <c r="BE8" s="170"/>
      <c r="BF8" s="170"/>
      <c r="BG8" s="170"/>
      <c r="BH8" s="170"/>
      <c r="BI8" s="170"/>
      <c r="BJ8" s="170"/>
      <c r="BK8" s="170"/>
      <c r="BL8" s="170"/>
      <c r="BM8" s="170"/>
      <c r="BN8" s="170"/>
      <c r="BO8" s="170"/>
      <c r="BP8" s="170"/>
      <c r="BQ8" s="170"/>
      <c r="BR8" s="170"/>
    </row>
    <row r="9" spans="1:70" ht="14.25" customHeight="1" x14ac:dyDescent="0.25">
      <c r="A9" s="170"/>
      <c r="B9" s="170"/>
      <c r="C9" s="170"/>
      <c r="D9" s="170"/>
      <c r="E9" s="170"/>
      <c r="F9" s="170"/>
      <c r="G9" s="170"/>
      <c r="H9" s="170"/>
      <c r="I9" s="170"/>
      <c r="J9" s="170"/>
      <c r="K9" s="170"/>
      <c r="L9" s="170"/>
      <c r="M9" s="170"/>
      <c r="N9" s="170"/>
      <c r="O9" s="170"/>
      <c r="P9" s="170"/>
      <c r="Q9" s="170"/>
      <c r="R9" s="170"/>
      <c r="S9" s="170"/>
      <c r="T9" s="170"/>
      <c r="U9" s="170"/>
      <c r="V9" s="170"/>
      <c r="W9" s="170"/>
      <c r="X9" s="170"/>
      <c r="Y9" s="170"/>
      <c r="Z9" s="170"/>
      <c r="AA9" s="170"/>
      <c r="AB9" s="170"/>
      <c r="AC9" s="170"/>
      <c r="AD9" s="170"/>
      <c r="AE9" s="170"/>
      <c r="AF9" s="170"/>
      <c r="AG9" s="170"/>
      <c r="AH9" s="170"/>
      <c r="AI9" s="170"/>
      <c r="AJ9" s="170"/>
      <c r="AK9" s="170"/>
      <c r="AL9" s="170"/>
      <c r="AM9" s="170"/>
      <c r="AN9" s="170"/>
      <c r="AO9" s="170"/>
      <c r="AP9" s="170"/>
      <c r="AQ9" s="170"/>
      <c r="AR9" s="170"/>
      <c r="AS9" s="170"/>
      <c r="AT9" s="170"/>
      <c r="AU9" s="170"/>
      <c r="AV9" s="170"/>
      <c r="AW9" s="170"/>
      <c r="AX9" s="170"/>
      <c r="AY9" s="170"/>
      <c r="AZ9" s="170"/>
      <c r="BA9" s="170"/>
      <c r="BB9" s="170"/>
      <c r="BC9" s="170"/>
      <c r="BD9" s="170"/>
      <c r="BE9" s="170"/>
      <c r="BF9" s="170"/>
      <c r="BG9" s="170"/>
      <c r="BH9" s="170"/>
      <c r="BI9" s="170"/>
      <c r="BJ9" s="170"/>
      <c r="BK9" s="170"/>
      <c r="BL9" s="170"/>
      <c r="BM9" s="170"/>
      <c r="BN9" s="170"/>
      <c r="BO9" s="170"/>
      <c r="BP9" s="170"/>
      <c r="BQ9" s="170"/>
      <c r="BR9" s="170"/>
    </row>
    <row r="10" spans="1:70" ht="14.25" customHeight="1" x14ac:dyDescent="0.25">
      <c r="A10" s="170"/>
      <c r="B10" s="170"/>
      <c r="C10" s="170"/>
      <c r="D10" s="170"/>
      <c r="E10" s="170"/>
      <c r="F10" s="170"/>
      <c r="G10" s="170"/>
      <c r="H10" s="170"/>
      <c r="I10" s="170"/>
      <c r="J10" s="170"/>
      <c r="K10" s="170"/>
      <c r="L10" s="170"/>
      <c r="M10" s="170"/>
      <c r="N10" s="170"/>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0"/>
      <c r="AM10" s="170"/>
      <c r="AN10" s="170"/>
      <c r="AO10" s="170"/>
      <c r="AP10" s="170"/>
      <c r="AQ10" s="170"/>
      <c r="AR10" s="170"/>
      <c r="AS10" s="170"/>
      <c r="AT10" s="170"/>
      <c r="AU10" s="170"/>
      <c r="AV10" s="170"/>
      <c r="AW10" s="170"/>
      <c r="AX10" s="170"/>
      <c r="AY10" s="170"/>
      <c r="AZ10" s="170"/>
      <c r="BA10" s="170"/>
      <c r="BB10" s="170"/>
      <c r="BC10" s="170"/>
      <c r="BD10" s="170"/>
      <c r="BE10" s="170"/>
      <c r="BF10" s="170"/>
      <c r="BG10" s="170"/>
      <c r="BH10" s="170"/>
      <c r="BI10" s="170"/>
      <c r="BJ10" s="170"/>
      <c r="BK10" s="170"/>
      <c r="BL10" s="170"/>
      <c r="BM10" s="170"/>
      <c r="BN10" s="170"/>
      <c r="BO10" s="170"/>
      <c r="BP10" s="170"/>
      <c r="BQ10" s="170"/>
      <c r="BR10" s="170"/>
    </row>
    <row r="11" spans="1:70" ht="14.25" customHeight="1" x14ac:dyDescent="0.25">
      <c r="A11" s="171" t="s">
        <v>58</v>
      </c>
      <c r="B11" s="171"/>
      <c r="C11" s="171"/>
      <c r="D11" s="171"/>
      <c r="E11" s="171"/>
      <c r="F11" s="171"/>
      <c r="G11" s="171"/>
      <c r="H11" s="171"/>
      <c r="I11" s="171"/>
      <c r="J11" s="171"/>
      <c r="K11" s="171"/>
      <c r="L11" s="171"/>
      <c r="M11" s="171"/>
      <c r="N11" s="171"/>
      <c r="O11" s="171"/>
      <c r="P11" s="171"/>
      <c r="Q11" s="171"/>
      <c r="R11" s="174" t="s">
        <v>72</v>
      </c>
      <c r="S11" s="174"/>
      <c r="T11" s="174"/>
      <c r="U11" s="174"/>
      <c r="V11" s="174"/>
      <c r="W11" s="174"/>
      <c r="X11" s="174"/>
      <c r="Y11" s="174"/>
      <c r="Z11" s="174"/>
      <c r="AA11" s="174"/>
      <c r="AB11" s="174"/>
      <c r="AC11" s="174"/>
      <c r="AD11" s="174"/>
      <c r="AE11" s="174"/>
      <c r="AF11" s="174"/>
      <c r="AG11" s="174"/>
      <c r="AH11" s="174"/>
      <c r="AI11" s="174"/>
      <c r="AJ11" s="174"/>
      <c r="AK11" s="174"/>
      <c r="AL11" s="174"/>
      <c r="AM11" s="174"/>
      <c r="AN11" s="174"/>
      <c r="AO11" s="174"/>
      <c r="AP11" s="174"/>
      <c r="AQ11" s="174"/>
      <c r="AR11" s="174"/>
      <c r="AS11" s="174"/>
      <c r="AT11" s="174"/>
      <c r="AU11" s="174"/>
      <c r="AV11" s="174"/>
      <c r="AW11" s="174"/>
      <c r="AX11" s="174"/>
      <c r="AY11" s="174"/>
      <c r="AZ11" s="171" t="s">
        <v>63</v>
      </c>
      <c r="BA11" s="170"/>
      <c r="BB11" s="170"/>
      <c r="BC11" s="170"/>
      <c r="BD11" s="170"/>
      <c r="BE11" s="170"/>
      <c r="BF11" s="170"/>
      <c r="BG11" s="170"/>
      <c r="BH11" s="170"/>
      <c r="BI11" s="170"/>
      <c r="BJ11" s="170"/>
      <c r="BK11" s="170"/>
      <c r="BL11" s="170"/>
      <c r="BM11" s="170"/>
      <c r="BN11" s="170"/>
      <c r="BO11" s="170"/>
      <c r="BP11" s="170"/>
      <c r="BQ11" s="170"/>
      <c r="BR11" s="170"/>
    </row>
    <row r="12" spans="1:70" ht="14.25" customHeight="1" x14ac:dyDescent="0.25">
      <c r="A12" s="171"/>
      <c r="B12" s="171"/>
      <c r="C12" s="171"/>
      <c r="D12" s="171"/>
      <c r="E12" s="171"/>
      <c r="F12" s="171"/>
      <c r="G12" s="171"/>
      <c r="H12" s="171"/>
      <c r="I12" s="171"/>
      <c r="J12" s="171"/>
      <c r="K12" s="171"/>
      <c r="L12" s="171"/>
      <c r="M12" s="171"/>
      <c r="N12" s="171"/>
      <c r="O12" s="171"/>
      <c r="P12" s="171"/>
      <c r="Q12" s="171"/>
      <c r="R12" s="174"/>
      <c r="S12" s="174"/>
      <c r="T12" s="174"/>
      <c r="U12" s="174"/>
      <c r="V12" s="174"/>
      <c r="W12" s="174"/>
      <c r="X12" s="174"/>
      <c r="Y12" s="174"/>
      <c r="Z12" s="174"/>
      <c r="AA12" s="174"/>
      <c r="AB12" s="174"/>
      <c r="AC12" s="174"/>
      <c r="AD12" s="174"/>
      <c r="AE12" s="174"/>
      <c r="AF12" s="174"/>
      <c r="AG12" s="174"/>
      <c r="AH12" s="174"/>
      <c r="AI12" s="174"/>
      <c r="AJ12" s="174"/>
      <c r="AK12" s="174"/>
      <c r="AL12" s="174"/>
      <c r="AM12" s="174"/>
      <c r="AN12" s="174"/>
      <c r="AO12" s="174"/>
      <c r="AP12" s="174"/>
      <c r="AQ12" s="174"/>
      <c r="AR12" s="174"/>
      <c r="AS12" s="174"/>
      <c r="AT12" s="174"/>
      <c r="AU12" s="174"/>
      <c r="AV12" s="174"/>
      <c r="AW12" s="174"/>
      <c r="AX12" s="174"/>
      <c r="AY12" s="174"/>
      <c r="AZ12" s="171"/>
      <c r="BA12" s="170"/>
      <c r="BB12" s="170"/>
      <c r="BC12" s="170"/>
      <c r="BD12" s="170"/>
      <c r="BE12" s="170"/>
      <c r="BF12" s="170"/>
      <c r="BG12" s="170"/>
      <c r="BH12" s="170"/>
      <c r="BI12" s="170"/>
      <c r="BJ12" s="170"/>
      <c r="BK12" s="170"/>
      <c r="BL12" s="170"/>
      <c r="BM12" s="170"/>
      <c r="BN12" s="170"/>
      <c r="BO12" s="170"/>
      <c r="BP12" s="170"/>
      <c r="BQ12" s="170"/>
      <c r="BR12" s="170"/>
    </row>
    <row r="13" spans="1:70" ht="14.25" customHeight="1" x14ac:dyDescent="0.25">
      <c r="A13" s="171"/>
      <c r="B13" s="171"/>
      <c r="C13" s="171"/>
      <c r="D13" s="171"/>
      <c r="E13" s="171"/>
      <c r="F13" s="171"/>
      <c r="G13" s="171"/>
      <c r="H13" s="171"/>
      <c r="I13" s="171"/>
      <c r="J13" s="171"/>
      <c r="K13" s="171"/>
      <c r="L13" s="171"/>
      <c r="M13" s="171"/>
      <c r="N13" s="171"/>
      <c r="O13" s="171"/>
      <c r="P13" s="171"/>
      <c r="Q13" s="171"/>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1"/>
      <c r="BA13" s="170"/>
      <c r="BB13" s="170"/>
      <c r="BC13" s="170"/>
      <c r="BD13" s="170"/>
      <c r="BE13" s="170"/>
      <c r="BF13" s="170"/>
      <c r="BG13" s="170"/>
      <c r="BH13" s="170"/>
      <c r="BI13" s="170"/>
      <c r="BJ13" s="170"/>
      <c r="BK13" s="170"/>
      <c r="BL13" s="170"/>
      <c r="BM13" s="170"/>
      <c r="BN13" s="170"/>
      <c r="BO13" s="170"/>
      <c r="BP13" s="170"/>
      <c r="BQ13" s="170"/>
      <c r="BR13" s="170"/>
    </row>
    <row r="14" spans="1:70" ht="14.25" customHeight="1" x14ac:dyDescent="0.25">
      <c r="A14" s="171"/>
      <c r="B14" s="171"/>
      <c r="C14" s="171"/>
      <c r="D14" s="171"/>
      <c r="E14" s="171"/>
      <c r="F14" s="171"/>
      <c r="G14" s="171"/>
      <c r="H14" s="171"/>
      <c r="I14" s="171"/>
      <c r="J14" s="171"/>
      <c r="K14" s="171"/>
      <c r="L14" s="171"/>
      <c r="M14" s="171"/>
      <c r="N14" s="171"/>
      <c r="O14" s="171"/>
      <c r="P14" s="171"/>
      <c r="Q14" s="171"/>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0"/>
      <c r="BA14" s="170"/>
      <c r="BB14" s="170"/>
      <c r="BC14" s="170"/>
      <c r="BD14" s="170"/>
      <c r="BE14" s="170"/>
      <c r="BF14" s="170"/>
      <c r="BG14" s="170"/>
      <c r="BH14" s="170"/>
      <c r="BI14" s="170"/>
      <c r="BJ14" s="170"/>
      <c r="BK14" s="170"/>
      <c r="BL14" s="170"/>
      <c r="BM14" s="170"/>
      <c r="BN14" s="170"/>
      <c r="BO14" s="170"/>
      <c r="BP14" s="170"/>
      <c r="BQ14" s="170"/>
      <c r="BR14" s="170"/>
    </row>
    <row r="15" spans="1:70" ht="14.25" customHeight="1" x14ac:dyDescent="0.25">
      <c r="A15" s="170" t="s">
        <v>59</v>
      </c>
      <c r="B15" s="170"/>
      <c r="C15" s="170"/>
      <c r="D15" s="170"/>
      <c r="E15" s="170"/>
      <c r="F15" s="170"/>
      <c r="G15" s="170"/>
      <c r="H15" s="170"/>
      <c r="I15" s="170"/>
      <c r="J15" s="170"/>
      <c r="K15" s="170"/>
      <c r="L15" s="170"/>
      <c r="M15" s="170"/>
      <c r="N15" s="170"/>
      <c r="O15" s="170"/>
      <c r="P15" s="170"/>
      <c r="Q15" s="170"/>
      <c r="R15" s="175" t="s">
        <v>127</v>
      </c>
      <c r="S15" s="175"/>
      <c r="T15" s="175"/>
      <c r="U15" s="175"/>
      <c r="V15" s="175"/>
      <c r="W15" s="175"/>
      <c r="X15" s="175"/>
      <c r="Y15" s="175"/>
      <c r="Z15" s="175"/>
      <c r="AA15" s="175"/>
      <c r="AB15" s="175"/>
      <c r="AC15" s="175"/>
      <c r="AD15" s="175"/>
      <c r="AE15" s="175"/>
      <c r="AF15" s="175"/>
      <c r="AG15" s="175"/>
      <c r="AH15" s="175"/>
      <c r="AI15" s="175"/>
      <c r="AJ15" s="175"/>
      <c r="AK15" s="175"/>
      <c r="AL15" s="175"/>
      <c r="AM15" s="175"/>
      <c r="AN15" s="175"/>
      <c r="AO15" s="175"/>
      <c r="AP15" s="175"/>
      <c r="AQ15" s="175"/>
      <c r="AR15" s="175"/>
      <c r="AS15" s="175"/>
      <c r="AT15" s="175"/>
      <c r="AU15" s="175"/>
      <c r="AV15" s="175"/>
      <c r="AW15" s="175"/>
      <c r="AX15" s="175"/>
      <c r="AY15" s="175"/>
      <c r="AZ15" s="170" t="s">
        <v>62</v>
      </c>
      <c r="BA15" s="170"/>
      <c r="BB15" s="170"/>
      <c r="BC15" s="170"/>
      <c r="BD15" s="170"/>
      <c r="BE15" s="170"/>
      <c r="BF15" s="170"/>
      <c r="BG15" s="170"/>
      <c r="BH15" s="170"/>
      <c r="BI15" s="170"/>
      <c r="BJ15" s="170"/>
      <c r="BK15" s="170"/>
      <c r="BL15" s="170"/>
      <c r="BM15" s="170"/>
      <c r="BN15" s="170"/>
      <c r="BO15" s="170"/>
      <c r="BP15" s="170"/>
      <c r="BQ15" s="170"/>
      <c r="BR15" s="170"/>
    </row>
    <row r="16" spans="1:70" ht="14.25" customHeight="1" x14ac:dyDescent="0.25">
      <c r="A16" s="170"/>
      <c r="B16" s="170"/>
      <c r="C16" s="170"/>
      <c r="D16" s="170"/>
      <c r="E16" s="170"/>
      <c r="F16" s="170"/>
      <c r="G16" s="170"/>
      <c r="H16" s="170"/>
      <c r="I16" s="170"/>
      <c r="J16" s="170"/>
      <c r="K16" s="170"/>
      <c r="L16" s="170"/>
      <c r="M16" s="170"/>
      <c r="N16" s="170"/>
      <c r="O16" s="170"/>
      <c r="P16" s="170"/>
      <c r="Q16" s="170"/>
      <c r="R16" s="175"/>
      <c r="S16" s="175"/>
      <c r="T16" s="175"/>
      <c r="U16" s="175"/>
      <c r="V16" s="175"/>
      <c r="W16" s="175"/>
      <c r="X16" s="175"/>
      <c r="Y16" s="175"/>
      <c r="Z16" s="175"/>
      <c r="AA16" s="175"/>
      <c r="AB16" s="175"/>
      <c r="AC16" s="175"/>
      <c r="AD16" s="175"/>
      <c r="AE16" s="175"/>
      <c r="AF16" s="175"/>
      <c r="AG16" s="175"/>
      <c r="AH16" s="175"/>
      <c r="AI16" s="175"/>
      <c r="AJ16" s="175"/>
      <c r="AK16" s="175"/>
      <c r="AL16" s="175"/>
      <c r="AM16" s="175"/>
      <c r="AN16" s="175"/>
      <c r="AO16" s="175"/>
      <c r="AP16" s="175"/>
      <c r="AQ16" s="175"/>
      <c r="AR16" s="175"/>
      <c r="AS16" s="175"/>
      <c r="AT16" s="175"/>
      <c r="AU16" s="175"/>
      <c r="AV16" s="175"/>
      <c r="AW16" s="175"/>
      <c r="AX16" s="175"/>
      <c r="AY16" s="175"/>
      <c r="AZ16" s="170"/>
      <c r="BA16" s="170"/>
      <c r="BB16" s="170"/>
      <c r="BC16" s="170"/>
      <c r="BD16" s="170"/>
      <c r="BE16" s="170"/>
      <c r="BF16" s="170"/>
      <c r="BG16" s="170"/>
      <c r="BH16" s="170"/>
      <c r="BI16" s="170"/>
      <c r="BJ16" s="170"/>
      <c r="BK16" s="170"/>
      <c r="BL16" s="170"/>
      <c r="BM16" s="170"/>
      <c r="BN16" s="170"/>
      <c r="BO16" s="170"/>
      <c r="BP16" s="170"/>
      <c r="BQ16" s="170"/>
      <c r="BR16" s="170"/>
    </row>
    <row r="17" spans="1:85" ht="14.25" customHeight="1" x14ac:dyDescent="0.25">
      <c r="A17" s="170"/>
      <c r="B17" s="170"/>
      <c r="C17" s="170"/>
      <c r="D17" s="170"/>
      <c r="E17" s="170"/>
      <c r="F17" s="170"/>
      <c r="G17" s="170"/>
      <c r="H17" s="170"/>
      <c r="I17" s="170"/>
      <c r="J17" s="170"/>
      <c r="K17" s="170"/>
      <c r="L17" s="170"/>
      <c r="M17" s="170"/>
      <c r="N17" s="170"/>
      <c r="O17" s="170"/>
      <c r="P17" s="170"/>
      <c r="Q17" s="170"/>
      <c r="R17" s="175"/>
      <c r="S17" s="175"/>
      <c r="T17" s="175"/>
      <c r="U17" s="175"/>
      <c r="V17" s="175"/>
      <c r="W17" s="175"/>
      <c r="X17" s="175"/>
      <c r="Y17" s="175"/>
      <c r="Z17" s="175"/>
      <c r="AA17" s="175"/>
      <c r="AB17" s="175"/>
      <c r="AC17" s="175"/>
      <c r="AD17" s="175"/>
      <c r="AE17" s="175"/>
      <c r="AF17" s="175"/>
      <c r="AG17" s="175"/>
      <c r="AH17" s="175"/>
      <c r="AI17" s="175"/>
      <c r="AJ17" s="175"/>
      <c r="AK17" s="175"/>
      <c r="AL17" s="175"/>
      <c r="AM17" s="175"/>
      <c r="AN17" s="175"/>
      <c r="AO17" s="175"/>
      <c r="AP17" s="175"/>
      <c r="AQ17" s="175"/>
      <c r="AR17" s="175"/>
      <c r="AS17" s="175"/>
      <c r="AT17" s="175"/>
      <c r="AU17" s="175"/>
      <c r="AV17" s="175"/>
      <c r="AW17" s="175"/>
      <c r="AX17" s="175"/>
      <c r="AY17" s="175"/>
      <c r="AZ17" s="170"/>
      <c r="BA17" s="170"/>
      <c r="BB17" s="170"/>
      <c r="BC17" s="170"/>
      <c r="BD17" s="170"/>
      <c r="BE17" s="170"/>
      <c r="BF17" s="170"/>
      <c r="BG17" s="170"/>
      <c r="BH17" s="170"/>
      <c r="BI17" s="170"/>
      <c r="BJ17" s="170"/>
      <c r="BK17" s="170"/>
      <c r="BL17" s="170"/>
      <c r="BM17" s="170"/>
      <c r="BN17" s="170"/>
      <c r="BO17" s="170"/>
      <c r="BP17" s="170"/>
      <c r="BQ17" s="170"/>
      <c r="BR17" s="170"/>
    </row>
    <row r="18" spans="1:85" ht="14.25" customHeight="1" x14ac:dyDescent="0.25">
      <c r="A18" s="170"/>
      <c r="B18" s="170"/>
      <c r="C18" s="170"/>
      <c r="D18" s="170"/>
      <c r="E18" s="170"/>
      <c r="F18" s="170"/>
      <c r="G18" s="170"/>
      <c r="H18" s="170"/>
      <c r="I18" s="170"/>
      <c r="J18" s="170"/>
      <c r="K18" s="170"/>
      <c r="L18" s="170"/>
      <c r="M18" s="170"/>
      <c r="N18" s="170"/>
      <c r="O18" s="170"/>
      <c r="P18" s="170"/>
      <c r="Q18" s="170"/>
      <c r="R18" s="175"/>
      <c r="S18" s="175"/>
      <c r="T18" s="175"/>
      <c r="U18" s="175"/>
      <c r="V18" s="175"/>
      <c r="W18" s="175"/>
      <c r="X18" s="175"/>
      <c r="Y18" s="175"/>
      <c r="Z18" s="175"/>
      <c r="AA18" s="175"/>
      <c r="AB18" s="175"/>
      <c r="AC18" s="175"/>
      <c r="AD18" s="175"/>
      <c r="AE18" s="175"/>
      <c r="AF18" s="175"/>
      <c r="AG18" s="175"/>
      <c r="AH18" s="175"/>
      <c r="AI18" s="175"/>
      <c r="AJ18" s="175"/>
      <c r="AK18" s="175"/>
      <c r="AL18" s="175"/>
      <c r="AM18" s="175"/>
      <c r="AN18" s="175"/>
      <c r="AO18" s="175"/>
      <c r="AP18" s="175"/>
      <c r="AQ18" s="175"/>
      <c r="AR18" s="175"/>
      <c r="AS18" s="175"/>
      <c r="AT18" s="175"/>
      <c r="AU18" s="175"/>
      <c r="AV18" s="175"/>
      <c r="AW18" s="175"/>
      <c r="AX18" s="175"/>
      <c r="AY18" s="175"/>
      <c r="AZ18" s="170"/>
      <c r="BA18" s="170"/>
      <c r="BB18" s="170"/>
      <c r="BC18" s="170"/>
      <c r="BD18" s="170"/>
      <c r="BE18" s="170"/>
      <c r="BF18" s="170"/>
      <c r="BG18" s="170"/>
      <c r="BH18" s="170"/>
      <c r="BI18" s="170"/>
      <c r="BJ18" s="170"/>
      <c r="BK18" s="170"/>
      <c r="BL18" s="170"/>
      <c r="BM18" s="170"/>
      <c r="BN18" s="170"/>
      <c r="BO18" s="170"/>
      <c r="BP18" s="170"/>
      <c r="BQ18" s="170"/>
      <c r="BR18" s="170"/>
    </row>
    <row r="19" spans="1:85" ht="14.25" customHeight="1" x14ac:dyDescent="0.25">
      <c r="A19" s="170" t="s">
        <v>60</v>
      </c>
      <c r="B19" s="170"/>
      <c r="C19" s="170"/>
      <c r="D19" s="170"/>
      <c r="E19" s="170"/>
      <c r="F19" s="170"/>
      <c r="G19" s="170"/>
      <c r="H19" s="170"/>
      <c r="I19" s="170"/>
      <c r="J19" s="170"/>
      <c r="K19" s="170"/>
      <c r="L19" s="170"/>
      <c r="M19" s="170"/>
      <c r="N19" s="170"/>
      <c r="O19" s="170"/>
      <c r="P19" s="170"/>
      <c r="Q19" s="170"/>
      <c r="R19" s="170" t="s">
        <v>253</v>
      </c>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1" t="s">
        <v>232</v>
      </c>
      <c r="BA19" s="171"/>
      <c r="BB19" s="171"/>
      <c r="BC19" s="171"/>
      <c r="BD19" s="171"/>
      <c r="BE19" s="171"/>
      <c r="BF19" s="171"/>
      <c r="BG19" s="171"/>
      <c r="BH19" s="171"/>
      <c r="BI19" s="171"/>
      <c r="BJ19" s="171"/>
      <c r="BK19" s="171"/>
      <c r="BL19" s="171"/>
      <c r="BM19" s="171"/>
      <c r="BN19" s="171"/>
      <c r="BO19" s="171"/>
      <c r="BP19" s="171"/>
      <c r="BQ19" s="171"/>
      <c r="BR19" s="171"/>
    </row>
    <row r="20" spans="1:85" ht="14.25" customHeight="1" x14ac:dyDescent="0.25">
      <c r="A20" s="170"/>
      <c r="B20" s="170"/>
      <c r="C20" s="170"/>
      <c r="D20" s="170"/>
      <c r="E20" s="170"/>
      <c r="F20" s="170"/>
      <c r="G20" s="170"/>
      <c r="H20" s="170"/>
      <c r="I20" s="170"/>
      <c r="J20" s="170"/>
      <c r="K20" s="170"/>
      <c r="L20" s="170"/>
      <c r="M20" s="170"/>
      <c r="N20" s="170"/>
      <c r="O20" s="170"/>
      <c r="P20" s="170"/>
      <c r="Q20" s="170"/>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1"/>
      <c r="BA20" s="171"/>
      <c r="BB20" s="171"/>
      <c r="BC20" s="171"/>
      <c r="BD20" s="171"/>
      <c r="BE20" s="171"/>
      <c r="BF20" s="171"/>
      <c r="BG20" s="171"/>
      <c r="BH20" s="171"/>
      <c r="BI20" s="171"/>
      <c r="BJ20" s="171"/>
      <c r="BK20" s="171"/>
      <c r="BL20" s="171"/>
      <c r="BM20" s="171"/>
      <c r="BN20" s="171"/>
      <c r="BO20" s="171"/>
      <c r="BP20" s="171"/>
      <c r="BQ20" s="171"/>
      <c r="BR20" s="171"/>
    </row>
    <row r="21" spans="1:85" ht="14.25" customHeight="1" x14ac:dyDescent="0.25">
      <c r="A21" s="170"/>
      <c r="B21" s="170"/>
      <c r="C21" s="170"/>
      <c r="D21" s="170"/>
      <c r="E21" s="170"/>
      <c r="F21" s="170"/>
      <c r="G21" s="170"/>
      <c r="H21" s="170"/>
      <c r="I21" s="170"/>
      <c r="J21" s="170"/>
      <c r="K21" s="170"/>
      <c r="L21" s="170"/>
      <c r="M21" s="170"/>
      <c r="N21" s="170"/>
      <c r="O21" s="170"/>
      <c r="P21" s="170"/>
      <c r="Q21" s="170"/>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1"/>
      <c r="BA21" s="171"/>
      <c r="BB21" s="171"/>
      <c r="BC21" s="171"/>
      <c r="BD21" s="171"/>
      <c r="BE21" s="171"/>
      <c r="BF21" s="171"/>
      <c r="BG21" s="171"/>
      <c r="BH21" s="171"/>
      <c r="BI21" s="171"/>
      <c r="BJ21" s="171"/>
      <c r="BK21" s="171"/>
      <c r="BL21" s="171"/>
      <c r="BM21" s="171"/>
      <c r="BN21" s="171"/>
      <c r="BO21" s="171"/>
      <c r="BP21" s="171"/>
      <c r="BQ21" s="171"/>
      <c r="BR21" s="171"/>
    </row>
    <row r="22" spans="1:85" ht="14.25" customHeight="1" x14ac:dyDescent="0.25">
      <c r="A22" s="170"/>
      <c r="B22" s="170"/>
      <c r="C22" s="170"/>
      <c r="D22" s="170"/>
      <c r="E22" s="170"/>
      <c r="F22" s="170"/>
      <c r="G22" s="170"/>
      <c r="H22" s="170"/>
      <c r="I22" s="170"/>
      <c r="J22" s="170"/>
      <c r="K22" s="170"/>
      <c r="L22" s="170"/>
      <c r="M22" s="170"/>
      <c r="N22" s="170"/>
      <c r="O22" s="170"/>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1"/>
      <c r="BA22" s="171"/>
      <c r="BB22" s="171"/>
      <c r="BC22" s="171"/>
      <c r="BD22" s="171"/>
      <c r="BE22" s="171"/>
      <c r="BF22" s="171"/>
      <c r="BG22" s="171"/>
      <c r="BH22" s="171"/>
      <c r="BI22" s="171"/>
      <c r="BJ22" s="171"/>
      <c r="BK22" s="171"/>
      <c r="BL22" s="171"/>
      <c r="BM22" s="171"/>
      <c r="BN22" s="171"/>
      <c r="BO22" s="171"/>
      <c r="BP22" s="171"/>
      <c r="BQ22" s="171"/>
      <c r="BR22" s="171"/>
    </row>
    <row r="23" spans="1:85" ht="14.25" customHeight="1" x14ac:dyDescent="0.25">
      <c r="A23" s="173" t="s">
        <v>61</v>
      </c>
      <c r="B23" s="173"/>
      <c r="C23" s="173"/>
      <c r="D23" s="173"/>
      <c r="E23" s="173"/>
      <c r="F23" s="173"/>
      <c r="G23" s="173"/>
      <c r="H23" s="173"/>
      <c r="I23" s="173"/>
      <c r="J23" s="173"/>
      <c r="K23" s="173"/>
      <c r="L23" s="173"/>
      <c r="M23" s="173"/>
      <c r="N23" s="173"/>
      <c r="O23" s="173"/>
      <c r="P23" s="173"/>
      <c r="Q23" s="173"/>
      <c r="R23" s="170" t="s">
        <v>124</v>
      </c>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2"/>
      <c r="BA23" s="172"/>
      <c r="BB23" s="172"/>
      <c r="BC23" s="172"/>
      <c r="BD23" s="172"/>
      <c r="BE23" s="172"/>
      <c r="BF23" s="172"/>
      <c r="BG23" s="172"/>
      <c r="BH23" s="172"/>
      <c r="BI23" s="172"/>
      <c r="BJ23" s="172"/>
      <c r="BK23" s="172"/>
      <c r="BL23" s="172"/>
      <c r="BM23" s="172"/>
      <c r="BN23" s="172"/>
      <c r="BO23" s="172"/>
      <c r="BP23" s="172"/>
      <c r="BQ23" s="172"/>
      <c r="BR23" s="172"/>
    </row>
    <row r="24" spans="1:85" ht="14.25" customHeight="1" x14ac:dyDescent="0.25">
      <c r="A24" s="173"/>
      <c r="B24" s="173"/>
      <c r="C24" s="173"/>
      <c r="D24" s="173"/>
      <c r="E24" s="173"/>
      <c r="F24" s="173"/>
      <c r="G24" s="173"/>
      <c r="H24" s="173"/>
      <c r="I24" s="173"/>
      <c r="J24" s="173"/>
      <c r="K24" s="173"/>
      <c r="L24" s="173"/>
      <c r="M24" s="173"/>
      <c r="N24" s="173"/>
      <c r="O24" s="173"/>
      <c r="P24" s="173"/>
      <c r="Q24" s="173"/>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2"/>
      <c r="BA24" s="172"/>
      <c r="BB24" s="172"/>
      <c r="BC24" s="172"/>
      <c r="BD24" s="172"/>
      <c r="BE24" s="172"/>
      <c r="BF24" s="172"/>
      <c r="BG24" s="172"/>
      <c r="BH24" s="172"/>
      <c r="BI24" s="172"/>
      <c r="BJ24" s="172"/>
      <c r="BK24" s="172"/>
      <c r="BL24" s="172"/>
      <c r="BM24" s="172"/>
      <c r="BN24" s="172"/>
      <c r="BO24" s="172"/>
      <c r="BP24" s="172"/>
      <c r="BQ24" s="172"/>
      <c r="BR24" s="172"/>
    </row>
    <row r="25" spans="1:85" ht="14.25" customHeight="1" x14ac:dyDescent="0.25">
      <c r="A25" s="173"/>
      <c r="B25" s="173"/>
      <c r="C25" s="173"/>
      <c r="D25" s="173"/>
      <c r="E25" s="173"/>
      <c r="F25" s="173"/>
      <c r="G25" s="173"/>
      <c r="H25" s="173"/>
      <c r="I25" s="173"/>
      <c r="J25" s="173"/>
      <c r="K25" s="173"/>
      <c r="L25" s="173"/>
      <c r="M25" s="173"/>
      <c r="N25" s="173"/>
      <c r="O25" s="173"/>
      <c r="P25" s="173"/>
      <c r="Q25" s="173"/>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2"/>
      <c r="BA25" s="172"/>
      <c r="BB25" s="172"/>
      <c r="BC25" s="172"/>
      <c r="BD25" s="172"/>
      <c r="BE25" s="172"/>
      <c r="BF25" s="172"/>
      <c r="BG25" s="172"/>
      <c r="BH25" s="172"/>
      <c r="BI25" s="172"/>
      <c r="BJ25" s="172"/>
      <c r="BK25" s="172"/>
      <c r="BL25" s="172"/>
      <c r="BM25" s="172"/>
      <c r="BN25" s="172"/>
      <c r="BO25" s="172"/>
      <c r="BP25" s="172"/>
      <c r="BQ25" s="172"/>
      <c r="BR25" s="172"/>
    </row>
    <row r="26" spans="1:85" ht="14.25" customHeight="1" x14ac:dyDescent="0.25">
      <c r="A26" s="173"/>
      <c r="B26" s="173"/>
      <c r="C26" s="173"/>
      <c r="D26" s="173"/>
      <c r="E26" s="173"/>
      <c r="F26" s="173"/>
      <c r="G26" s="173"/>
      <c r="H26" s="173"/>
      <c r="I26" s="173"/>
      <c r="J26" s="173"/>
      <c r="K26" s="173"/>
      <c r="L26" s="173"/>
      <c r="M26" s="173"/>
      <c r="N26" s="173"/>
      <c r="O26" s="173"/>
      <c r="P26" s="173"/>
      <c r="Q26" s="173"/>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2"/>
      <c r="BA26" s="172"/>
      <c r="BB26" s="172"/>
      <c r="BC26" s="172"/>
      <c r="BD26" s="172"/>
      <c r="BE26" s="172"/>
      <c r="BF26" s="172"/>
      <c r="BG26" s="172"/>
      <c r="BH26" s="172"/>
      <c r="BI26" s="172"/>
      <c r="BJ26" s="172"/>
      <c r="BK26" s="172"/>
      <c r="BL26" s="172"/>
      <c r="BM26" s="172"/>
      <c r="BN26" s="172"/>
      <c r="BO26" s="172"/>
      <c r="BP26" s="172"/>
      <c r="BQ26" s="172"/>
      <c r="BR26" s="172"/>
    </row>
    <row r="27" spans="1:85" ht="14.25" customHeight="1" x14ac:dyDescent="0.25">
      <c r="A27" s="76"/>
      <c r="B27" s="76"/>
      <c r="C27" s="76"/>
      <c r="D27" s="76"/>
      <c r="E27" s="76"/>
      <c r="F27" s="76"/>
      <c r="G27" s="76"/>
      <c r="H27" s="76"/>
      <c r="I27" s="76"/>
      <c r="J27" s="76"/>
      <c r="K27" s="76"/>
      <c r="L27" s="76"/>
      <c r="M27" s="76"/>
      <c r="N27" s="76"/>
      <c r="O27" s="76"/>
      <c r="P27" s="76"/>
      <c r="Q27" s="76"/>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5"/>
      <c r="BA27" s="75"/>
      <c r="BB27" s="75"/>
      <c r="BC27" s="75"/>
      <c r="BD27" s="75"/>
      <c r="BE27" s="75"/>
      <c r="BF27" s="75"/>
      <c r="BG27" s="75"/>
      <c r="BH27" s="75"/>
      <c r="BI27" s="75"/>
      <c r="BJ27" s="75"/>
      <c r="BK27" s="75"/>
      <c r="BL27" s="75"/>
      <c r="BM27" s="75"/>
      <c r="BN27" s="75"/>
      <c r="BO27" s="75"/>
      <c r="BP27" s="75"/>
      <c r="BQ27" s="75"/>
      <c r="BR27" s="75"/>
    </row>
    <row r="28" spans="1:85" ht="14.25" customHeight="1" x14ac:dyDescent="0.25">
      <c r="A28" s="75"/>
      <c r="B28" s="3"/>
      <c r="C28" s="3"/>
      <c r="D28" s="75"/>
      <c r="E28" s="75"/>
      <c r="F28" s="75"/>
      <c r="G28" s="75"/>
      <c r="H28" s="75"/>
      <c r="I28" s="75"/>
      <c r="J28" s="75"/>
      <c r="K28" s="75"/>
      <c r="L28" s="75"/>
      <c r="M28" s="75"/>
      <c r="N28" s="75"/>
      <c r="O28" s="75"/>
      <c r="P28" s="75"/>
      <c r="Q28" s="75"/>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5"/>
      <c r="BA28" s="75"/>
      <c r="BB28" s="75"/>
      <c r="BC28" s="75"/>
      <c r="BD28" s="75"/>
      <c r="BE28" s="75"/>
      <c r="BF28" s="75"/>
      <c r="BG28" s="75"/>
      <c r="BH28" s="75"/>
      <c r="BI28" s="75"/>
      <c r="BJ28" s="75"/>
      <c r="BK28" s="75"/>
      <c r="BL28" s="75"/>
      <c r="BM28" s="75"/>
      <c r="BN28" s="75"/>
      <c r="BO28" s="75"/>
      <c r="BP28" s="75"/>
      <c r="BQ28" s="75"/>
      <c r="BR28" s="75"/>
    </row>
    <row r="29" spans="1:85" ht="14.25" customHeight="1" x14ac:dyDescent="0.25">
      <c r="A29" s="153" t="s">
        <v>65</v>
      </c>
      <c r="B29" s="153"/>
      <c r="C29" s="153"/>
      <c r="D29" s="153"/>
      <c r="E29" s="153"/>
      <c r="F29" s="153"/>
      <c r="G29" s="153"/>
      <c r="H29" s="153"/>
      <c r="I29" s="153"/>
      <c r="J29" s="153"/>
      <c r="K29" s="153"/>
      <c r="L29" s="153"/>
      <c r="M29" s="153"/>
      <c r="N29" s="153"/>
      <c r="O29" s="153"/>
      <c r="P29" s="153"/>
      <c r="Q29" s="153"/>
      <c r="R29" s="153"/>
      <c r="S29" s="153"/>
      <c r="T29" s="153"/>
      <c r="U29" s="153"/>
      <c r="V29" s="153"/>
      <c r="W29" s="153"/>
      <c r="X29" s="153"/>
      <c r="Y29" s="153"/>
      <c r="Z29" s="153"/>
      <c r="AA29" s="153"/>
      <c r="AB29" s="153"/>
      <c r="AC29" s="153"/>
      <c r="AD29" s="153"/>
      <c r="AE29" s="153"/>
      <c r="AF29" s="153"/>
      <c r="AG29" s="153"/>
      <c r="AH29" s="153"/>
      <c r="AI29" s="153"/>
      <c r="AJ29" s="153"/>
      <c r="AK29" s="153"/>
      <c r="AL29" s="153"/>
      <c r="AM29" s="153"/>
      <c r="AN29" s="153"/>
      <c r="AO29" s="153"/>
      <c r="AP29" s="153"/>
      <c r="AQ29" s="153"/>
      <c r="AR29" s="153"/>
      <c r="AS29" s="153"/>
      <c r="AT29" s="153"/>
      <c r="AU29" s="153"/>
      <c r="AV29" s="153"/>
      <c r="AW29" s="153"/>
      <c r="AX29" s="153"/>
      <c r="AY29" s="153"/>
      <c r="AZ29" s="153"/>
      <c r="BA29" s="153"/>
      <c r="BB29" s="153"/>
      <c r="BC29" s="153"/>
      <c r="BD29" s="153"/>
      <c r="BE29" s="153"/>
      <c r="BF29" s="153"/>
      <c r="BG29" s="153"/>
      <c r="BH29" s="153"/>
      <c r="BI29" s="153"/>
      <c r="BJ29" s="153"/>
      <c r="BK29" s="153"/>
      <c r="BL29" s="153"/>
      <c r="BM29" s="153"/>
      <c r="BN29" s="153"/>
      <c r="BO29" s="153"/>
      <c r="BP29" s="153"/>
      <c r="BQ29" s="153"/>
      <c r="BR29" s="153"/>
    </row>
    <row r="30" spans="1:85" ht="14.25" customHeight="1" x14ac:dyDescent="0.25">
      <c r="A30" s="154"/>
      <c r="B30" s="154"/>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c r="AA30" s="154"/>
      <c r="AB30" s="154"/>
      <c r="AC30" s="154"/>
      <c r="AD30" s="154"/>
      <c r="AE30" s="154"/>
      <c r="AF30" s="154"/>
      <c r="AG30" s="154"/>
      <c r="AH30" s="154"/>
      <c r="AI30" s="154"/>
      <c r="AJ30" s="154"/>
      <c r="AK30" s="154"/>
      <c r="AL30" s="154"/>
      <c r="AM30" s="154"/>
      <c r="AN30" s="154"/>
      <c r="AO30" s="154"/>
      <c r="AP30" s="154"/>
      <c r="AQ30" s="154"/>
      <c r="AR30" s="154"/>
      <c r="AS30" s="154"/>
      <c r="AT30" s="154"/>
      <c r="AU30" s="154"/>
      <c r="AV30" s="154"/>
      <c r="AW30" s="154"/>
      <c r="AX30" s="154"/>
      <c r="AY30" s="154"/>
      <c r="AZ30" s="154"/>
      <c r="BA30" s="154"/>
      <c r="BB30" s="154"/>
      <c r="BC30" s="154"/>
      <c r="BD30" s="154"/>
      <c r="BE30" s="154"/>
      <c r="BF30" s="154"/>
      <c r="BG30" s="154"/>
      <c r="BH30" s="154"/>
      <c r="BI30" s="154"/>
      <c r="BJ30" s="154"/>
      <c r="BK30" s="154"/>
      <c r="BL30" s="154"/>
      <c r="BM30" s="154"/>
      <c r="BN30" s="154"/>
      <c r="BO30" s="154"/>
      <c r="BP30" s="154"/>
      <c r="BQ30" s="154"/>
      <c r="BR30" s="154"/>
    </row>
    <row r="31" spans="1:85" ht="14.25" customHeight="1" x14ac:dyDescent="0.25">
      <c r="A31" s="134" t="s">
        <v>86</v>
      </c>
      <c r="B31" s="134"/>
      <c r="C31" s="106" t="s">
        <v>85</v>
      </c>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6"/>
      <c r="BA31" s="106"/>
      <c r="BB31" s="106"/>
      <c r="BC31" s="236" t="s">
        <v>87</v>
      </c>
      <c r="BD31" s="210"/>
      <c r="BE31" s="233" t="s">
        <v>95</v>
      </c>
      <c r="BF31" s="234"/>
      <c r="BG31" s="234"/>
      <c r="BH31" s="234"/>
      <c r="BI31" s="234"/>
      <c r="BJ31" s="234"/>
      <c r="BK31" s="234"/>
      <c r="BL31" s="235"/>
      <c r="BM31" s="236" t="s">
        <v>92</v>
      </c>
      <c r="BN31" s="210"/>
      <c r="BO31" s="133" t="s">
        <v>93</v>
      </c>
      <c r="BP31" s="133"/>
      <c r="BQ31" s="209" t="s">
        <v>94</v>
      </c>
      <c r="BR31" s="210"/>
      <c r="BT31" s="233"/>
      <c r="BU31" s="234"/>
      <c r="BV31" s="234"/>
      <c r="BW31" s="234"/>
      <c r="BX31" s="234"/>
      <c r="BY31" s="234"/>
      <c r="BZ31" s="234"/>
      <c r="CA31" s="235"/>
      <c r="CB31" s="236"/>
      <c r="CC31" s="210"/>
      <c r="CD31" s="133"/>
      <c r="CE31" s="133"/>
      <c r="CF31" s="209"/>
      <c r="CG31" s="210"/>
    </row>
    <row r="32" spans="1:85" ht="177.75" customHeight="1" x14ac:dyDescent="0.25">
      <c r="A32" s="134"/>
      <c r="B32" s="134"/>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c r="AZ32" s="106"/>
      <c r="BA32" s="106"/>
      <c r="BB32" s="106"/>
      <c r="BC32" s="237"/>
      <c r="BD32" s="212"/>
      <c r="BE32" s="135" t="s">
        <v>88</v>
      </c>
      <c r="BF32" s="135"/>
      <c r="BG32" s="215" t="s">
        <v>89</v>
      </c>
      <c r="BH32" s="217"/>
      <c r="BI32" s="215" t="s">
        <v>90</v>
      </c>
      <c r="BJ32" s="217"/>
      <c r="BK32" s="134" t="s">
        <v>91</v>
      </c>
      <c r="BL32" s="134"/>
      <c r="BM32" s="237"/>
      <c r="BN32" s="212"/>
      <c r="BO32" s="133"/>
      <c r="BP32" s="133"/>
      <c r="BQ32" s="211"/>
      <c r="BR32" s="212"/>
      <c r="BT32" s="215"/>
      <c r="BU32" s="216"/>
      <c r="BV32" s="217"/>
      <c r="BW32" s="215"/>
      <c r="BX32" s="217"/>
      <c r="BY32" s="224"/>
      <c r="BZ32" s="225"/>
      <c r="CA32" s="226"/>
      <c r="CB32" s="237"/>
      <c r="CC32" s="212"/>
      <c r="CD32" s="133"/>
      <c r="CE32" s="133"/>
      <c r="CF32" s="211"/>
      <c r="CG32" s="212"/>
    </row>
    <row r="33" spans="1:85" ht="14.25" customHeight="1" x14ac:dyDescent="0.25">
      <c r="A33" s="134"/>
      <c r="B33" s="134"/>
      <c r="C33" s="167" t="s">
        <v>73</v>
      </c>
      <c r="D33" s="168"/>
      <c r="E33" s="168"/>
      <c r="F33" s="152"/>
      <c r="G33" s="106" t="s">
        <v>74</v>
      </c>
      <c r="H33" s="106"/>
      <c r="I33" s="106"/>
      <c r="J33" s="106"/>
      <c r="K33" s="106" t="s">
        <v>75</v>
      </c>
      <c r="L33" s="106"/>
      <c r="M33" s="106"/>
      <c r="N33" s="106"/>
      <c r="O33" s="106"/>
      <c r="P33" s="167" t="s">
        <v>76</v>
      </c>
      <c r="Q33" s="168"/>
      <c r="R33" s="168"/>
      <c r="S33" s="152"/>
      <c r="T33" s="167" t="s">
        <v>77</v>
      </c>
      <c r="U33" s="168"/>
      <c r="V33" s="168"/>
      <c r="W33" s="168"/>
      <c r="X33" s="152"/>
      <c r="Y33" s="167" t="s">
        <v>78</v>
      </c>
      <c r="Z33" s="168"/>
      <c r="AA33" s="168"/>
      <c r="AB33" s="152"/>
      <c r="AC33" s="167" t="s">
        <v>79</v>
      </c>
      <c r="AD33" s="168"/>
      <c r="AE33" s="168"/>
      <c r="AF33" s="152"/>
      <c r="AG33" s="167" t="s">
        <v>80</v>
      </c>
      <c r="AH33" s="168"/>
      <c r="AI33" s="168"/>
      <c r="AJ33" s="152"/>
      <c r="AK33" s="167" t="s">
        <v>81</v>
      </c>
      <c r="AL33" s="168"/>
      <c r="AM33" s="168"/>
      <c r="AN33" s="168"/>
      <c r="AO33" s="152"/>
      <c r="AP33" s="167" t="s">
        <v>82</v>
      </c>
      <c r="AQ33" s="168"/>
      <c r="AR33" s="168"/>
      <c r="AS33" s="152"/>
      <c r="AT33" s="167" t="s">
        <v>83</v>
      </c>
      <c r="AU33" s="168"/>
      <c r="AV33" s="168"/>
      <c r="AW33" s="168"/>
      <c r="AX33" s="152"/>
      <c r="AY33" s="167" t="s">
        <v>84</v>
      </c>
      <c r="AZ33" s="168"/>
      <c r="BA33" s="168"/>
      <c r="BB33" s="152"/>
      <c r="BC33" s="237"/>
      <c r="BD33" s="212"/>
      <c r="BE33" s="135"/>
      <c r="BF33" s="135"/>
      <c r="BG33" s="218"/>
      <c r="BH33" s="220"/>
      <c r="BI33" s="218"/>
      <c r="BJ33" s="220"/>
      <c r="BK33" s="134"/>
      <c r="BL33" s="134"/>
      <c r="BM33" s="237"/>
      <c r="BN33" s="212"/>
      <c r="BO33" s="133"/>
      <c r="BP33" s="133"/>
      <c r="BQ33" s="211"/>
      <c r="BR33" s="212"/>
      <c r="BT33" s="218"/>
      <c r="BU33" s="219"/>
      <c r="BV33" s="220"/>
      <c r="BW33" s="218"/>
      <c r="BX33" s="220"/>
      <c r="BY33" s="227"/>
      <c r="BZ33" s="228"/>
      <c r="CA33" s="229"/>
      <c r="CB33" s="237"/>
      <c r="CC33" s="212"/>
      <c r="CD33" s="133"/>
      <c r="CE33" s="133"/>
      <c r="CF33" s="211"/>
      <c r="CG33" s="212"/>
    </row>
    <row r="34" spans="1:85" ht="14.25" customHeight="1" x14ac:dyDescent="0.25">
      <c r="A34" s="134"/>
      <c r="B34" s="134"/>
      <c r="C34" s="72">
        <v>1</v>
      </c>
      <c r="D34" s="72">
        <v>2</v>
      </c>
      <c r="E34" s="72">
        <v>3</v>
      </c>
      <c r="F34" s="72">
        <v>4</v>
      </c>
      <c r="G34" s="72">
        <v>5</v>
      </c>
      <c r="H34" s="72">
        <v>6</v>
      </c>
      <c r="I34" s="72">
        <v>7</v>
      </c>
      <c r="J34" s="72">
        <v>8</v>
      </c>
      <c r="K34" s="72">
        <v>9</v>
      </c>
      <c r="L34" s="72">
        <v>10</v>
      </c>
      <c r="M34" s="72">
        <v>11</v>
      </c>
      <c r="N34" s="72">
        <v>12</v>
      </c>
      <c r="O34" s="72">
        <v>13</v>
      </c>
      <c r="P34" s="72">
        <v>14</v>
      </c>
      <c r="Q34" s="72">
        <v>15</v>
      </c>
      <c r="R34" s="72">
        <v>16</v>
      </c>
      <c r="S34" s="72">
        <v>17</v>
      </c>
      <c r="T34" s="72">
        <v>18</v>
      </c>
      <c r="U34" s="72">
        <v>19</v>
      </c>
      <c r="V34" s="72">
        <v>20</v>
      </c>
      <c r="W34" s="72">
        <v>21</v>
      </c>
      <c r="X34" s="72">
        <v>22</v>
      </c>
      <c r="Y34" s="72">
        <v>23</v>
      </c>
      <c r="Z34" s="72">
        <v>24</v>
      </c>
      <c r="AA34" s="72">
        <v>25</v>
      </c>
      <c r="AB34" s="72">
        <v>26</v>
      </c>
      <c r="AC34" s="72">
        <v>27</v>
      </c>
      <c r="AD34" s="72">
        <v>28</v>
      </c>
      <c r="AE34" s="72">
        <v>29</v>
      </c>
      <c r="AF34" s="72">
        <v>30</v>
      </c>
      <c r="AG34" s="72">
        <v>31</v>
      </c>
      <c r="AH34" s="72">
        <v>32</v>
      </c>
      <c r="AI34" s="72">
        <v>33</v>
      </c>
      <c r="AJ34" s="72">
        <v>34</v>
      </c>
      <c r="AK34" s="72">
        <v>35</v>
      </c>
      <c r="AL34" s="72">
        <v>36</v>
      </c>
      <c r="AM34" s="72">
        <v>37</v>
      </c>
      <c r="AN34" s="72">
        <v>38</v>
      </c>
      <c r="AO34" s="72">
        <v>39</v>
      </c>
      <c r="AP34" s="72">
        <v>40</v>
      </c>
      <c r="AQ34" s="72">
        <v>41</v>
      </c>
      <c r="AR34" s="72">
        <v>42</v>
      </c>
      <c r="AS34" s="72">
        <v>43</v>
      </c>
      <c r="AT34" s="72">
        <v>44</v>
      </c>
      <c r="AU34" s="72">
        <v>45</v>
      </c>
      <c r="AV34" s="72">
        <v>46</v>
      </c>
      <c r="AW34" s="72">
        <v>47</v>
      </c>
      <c r="AX34" s="72">
        <v>48</v>
      </c>
      <c r="AY34" s="72">
        <v>49</v>
      </c>
      <c r="AZ34" s="72">
        <v>50</v>
      </c>
      <c r="BA34" s="72">
        <v>51</v>
      </c>
      <c r="BB34" s="72">
        <v>52</v>
      </c>
      <c r="BC34" s="238"/>
      <c r="BD34" s="214"/>
      <c r="BE34" s="135"/>
      <c r="BF34" s="135"/>
      <c r="BG34" s="221"/>
      <c r="BH34" s="223"/>
      <c r="BI34" s="221"/>
      <c r="BJ34" s="223"/>
      <c r="BK34" s="134"/>
      <c r="BL34" s="134"/>
      <c r="BM34" s="238"/>
      <c r="BN34" s="214"/>
      <c r="BO34" s="133"/>
      <c r="BP34" s="133"/>
      <c r="BQ34" s="213"/>
      <c r="BR34" s="214"/>
      <c r="BT34" s="221"/>
      <c r="BU34" s="222"/>
      <c r="BV34" s="223"/>
      <c r="BW34" s="221"/>
      <c r="BX34" s="223"/>
      <c r="BY34" s="230"/>
      <c r="BZ34" s="231"/>
      <c r="CA34" s="232"/>
      <c r="CB34" s="238"/>
      <c r="CC34" s="214"/>
      <c r="CD34" s="133"/>
      <c r="CE34" s="133"/>
      <c r="CF34" s="213"/>
      <c r="CG34" s="214"/>
    </row>
    <row r="35" spans="1:85" ht="14.25" customHeight="1" x14ac:dyDescent="0.25">
      <c r="A35" s="106" t="s">
        <v>0</v>
      </c>
      <c r="B35" s="106"/>
      <c r="C35" s="72" t="s">
        <v>106</v>
      </c>
      <c r="D35" s="72"/>
      <c r="E35" s="72"/>
      <c r="F35" s="72"/>
      <c r="G35" s="72"/>
      <c r="H35" s="72"/>
      <c r="I35" s="72"/>
      <c r="J35" s="72"/>
      <c r="K35" s="72"/>
      <c r="L35" s="72"/>
      <c r="M35" s="72"/>
      <c r="N35" s="72"/>
      <c r="O35" s="72"/>
      <c r="P35" s="72"/>
      <c r="Q35" s="72"/>
      <c r="R35" s="72"/>
      <c r="S35" s="72" t="s">
        <v>2</v>
      </c>
      <c r="T35" s="72" t="s">
        <v>2</v>
      </c>
      <c r="U35" s="72" t="s">
        <v>1</v>
      </c>
      <c r="V35" s="72" t="s">
        <v>1</v>
      </c>
      <c r="W35" s="72" t="s">
        <v>106</v>
      </c>
      <c r="X35" s="72" t="s">
        <v>0</v>
      </c>
      <c r="Y35" s="72" t="s">
        <v>0</v>
      </c>
      <c r="Z35" s="72" t="s">
        <v>0</v>
      </c>
      <c r="AA35" s="72" t="s">
        <v>0</v>
      </c>
      <c r="AB35" s="72" t="s">
        <v>0</v>
      </c>
      <c r="AC35" s="72"/>
      <c r="AD35" s="72"/>
      <c r="AE35" s="72"/>
      <c r="AF35" s="72"/>
      <c r="AG35" s="72"/>
      <c r="AH35" s="72"/>
      <c r="AI35" s="72"/>
      <c r="AJ35" s="72"/>
      <c r="AK35" s="72"/>
      <c r="AL35" s="72"/>
      <c r="AM35" s="72"/>
      <c r="AN35" s="72"/>
      <c r="AO35" s="72"/>
      <c r="AP35" s="72"/>
      <c r="AQ35" s="72"/>
      <c r="AR35" s="72" t="s">
        <v>1</v>
      </c>
      <c r="AS35" s="72" t="s">
        <v>1</v>
      </c>
      <c r="AT35" s="72" t="s">
        <v>2</v>
      </c>
      <c r="AU35" s="72" t="s">
        <v>2</v>
      </c>
      <c r="AV35" s="72" t="s">
        <v>2</v>
      </c>
      <c r="AW35" s="72" t="s">
        <v>2</v>
      </c>
      <c r="AX35" s="72" t="s">
        <v>2</v>
      </c>
      <c r="AY35" s="72" t="s">
        <v>2</v>
      </c>
      <c r="AZ35" s="72" t="s">
        <v>2</v>
      </c>
      <c r="BA35" s="72" t="s">
        <v>2</v>
      </c>
      <c r="BB35" s="72" t="s">
        <v>2</v>
      </c>
      <c r="BC35" s="167">
        <f>SUM(BE35:BN35)</f>
        <v>41</v>
      </c>
      <c r="BD35" s="152"/>
      <c r="BE35" s="106">
        <v>30</v>
      </c>
      <c r="BF35" s="106"/>
      <c r="BG35" s="167">
        <v>5</v>
      </c>
      <c r="BH35" s="152"/>
      <c r="BI35" s="167"/>
      <c r="BJ35" s="152"/>
      <c r="BK35" s="168">
        <v>4</v>
      </c>
      <c r="BL35" s="152"/>
      <c r="BM35" s="167">
        <v>2</v>
      </c>
      <c r="BN35" s="152"/>
      <c r="BO35" s="167">
        <v>11</v>
      </c>
      <c r="BP35" s="152"/>
      <c r="BQ35" s="106">
        <f>BO35+BC35</f>
        <v>52</v>
      </c>
      <c r="BR35" s="106"/>
    </row>
    <row r="36" spans="1:85" ht="14.25" customHeight="1" x14ac:dyDescent="0.25">
      <c r="A36" s="106" t="s">
        <v>3</v>
      </c>
      <c r="B36" s="106"/>
      <c r="C36" s="72" t="s">
        <v>106</v>
      </c>
      <c r="D36" s="72"/>
      <c r="E36" s="72"/>
      <c r="F36" s="72"/>
      <c r="G36" s="72"/>
      <c r="H36" s="72"/>
      <c r="I36" s="72"/>
      <c r="J36" s="72"/>
      <c r="K36" s="72"/>
      <c r="L36" s="72"/>
      <c r="M36" s="72"/>
      <c r="N36" s="72"/>
      <c r="O36" s="72"/>
      <c r="P36" s="72"/>
      <c r="Q36" s="72"/>
      <c r="R36" s="72"/>
      <c r="S36" s="72" t="s">
        <v>2</v>
      </c>
      <c r="T36" s="72" t="s">
        <v>2</v>
      </c>
      <c r="U36" s="72" t="s">
        <v>1</v>
      </c>
      <c r="V36" s="72" t="s">
        <v>1</v>
      </c>
      <c r="W36" s="72" t="s">
        <v>106</v>
      </c>
      <c r="X36" s="72" t="s">
        <v>22</v>
      </c>
      <c r="Y36" s="72" t="s">
        <v>22</v>
      </c>
      <c r="Z36" s="72" t="s">
        <v>22</v>
      </c>
      <c r="AA36" s="72" t="s">
        <v>22</v>
      </c>
      <c r="AB36" s="72" t="s">
        <v>22</v>
      </c>
      <c r="AC36" s="72"/>
      <c r="AD36" s="72"/>
      <c r="AE36" s="72"/>
      <c r="AF36" s="72"/>
      <c r="AG36" s="72"/>
      <c r="AH36" s="72"/>
      <c r="AI36" s="72"/>
      <c r="AJ36" s="72"/>
      <c r="AK36" s="72"/>
      <c r="AL36" s="72"/>
      <c r="AM36" s="72"/>
      <c r="AN36" s="72"/>
      <c r="AO36" s="72"/>
      <c r="AP36" s="72"/>
      <c r="AQ36" s="72"/>
      <c r="AR36" s="72" t="s">
        <v>1</v>
      </c>
      <c r="AS36" s="72" t="s">
        <v>102</v>
      </c>
      <c r="AT36" s="72" t="s">
        <v>2</v>
      </c>
      <c r="AU36" s="72" t="s">
        <v>2</v>
      </c>
      <c r="AV36" s="72" t="s">
        <v>2</v>
      </c>
      <c r="AW36" s="72" t="s">
        <v>2</v>
      </c>
      <c r="AX36" s="72" t="s">
        <v>2</v>
      </c>
      <c r="AY36" s="72"/>
      <c r="AZ36" s="72"/>
      <c r="BA36" s="72"/>
      <c r="BB36" s="72"/>
      <c r="BC36" s="167">
        <f>SUM(BE36:BN36)</f>
        <v>41</v>
      </c>
      <c r="BD36" s="152"/>
      <c r="BE36" s="106">
        <v>30</v>
      </c>
      <c r="BF36" s="106"/>
      <c r="BG36" s="167"/>
      <c r="BH36" s="152"/>
      <c r="BI36" s="167">
        <v>5</v>
      </c>
      <c r="BJ36" s="152"/>
      <c r="BK36" s="168">
        <v>4</v>
      </c>
      <c r="BL36" s="152"/>
      <c r="BM36" s="167">
        <v>2</v>
      </c>
      <c r="BN36" s="152"/>
      <c r="BO36" s="167">
        <v>7</v>
      </c>
      <c r="BP36" s="152"/>
      <c r="BQ36" s="106">
        <f>BO36+BC36</f>
        <v>48</v>
      </c>
      <c r="BR36" s="106"/>
    </row>
    <row r="37" spans="1:85" ht="14.25" customHeight="1" x14ac:dyDescent="0.25">
      <c r="A37" s="169" t="s">
        <v>4</v>
      </c>
      <c r="B37" s="169"/>
      <c r="C37" s="169"/>
      <c r="D37" s="169"/>
      <c r="E37" s="169"/>
      <c r="F37" s="169"/>
      <c r="G37" s="169"/>
      <c r="H37" s="169"/>
      <c r="I37" s="169"/>
      <c r="J37" s="169"/>
      <c r="K37" s="169"/>
      <c r="L37" s="169"/>
      <c r="M37" s="169"/>
      <c r="N37" s="169"/>
      <c r="O37" s="169"/>
      <c r="P37" s="169"/>
      <c r="Q37" s="169"/>
      <c r="R37" s="169"/>
      <c r="S37" s="169"/>
      <c r="T37" s="169"/>
      <c r="U37" s="169"/>
      <c r="V37" s="169"/>
      <c r="W37" s="169"/>
      <c r="X37" s="169"/>
      <c r="Y37" s="169"/>
      <c r="Z37" s="169"/>
      <c r="AA37" s="169"/>
      <c r="AB37" s="169"/>
      <c r="AC37" s="169"/>
      <c r="AD37" s="169"/>
      <c r="AE37" s="169"/>
      <c r="AF37" s="169"/>
      <c r="AG37" s="169"/>
      <c r="AH37" s="169"/>
      <c r="AI37" s="169"/>
      <c r="AJ37" s="169"/>
      <c r="AK37" s="169"/>
      <c r="AL37" s="169"/>
      <c r="AM37" s="169"/>
      <c r="AN37" s="169"/>
      <c r="AO37" s="169"/>
      <c r="AP37" s="169"/>
      <c r="AQ37" s="169"/>
      <c r="AR37" s="169"/>
      <c r="AS37" s="169"/>
      <c r="AT37" s="169"/>
      <c r="AU37" s="169"/>
      <c r="AV37" s="169"/>
      <c r="AW37" s="169"/>
      <c r="AX37" s="169"/>
      <c r="AY37" s="169"/>
      <c r="AZ37" s="169"/>
      <c r="BA37" s="169"/>
      <c r="BB37" s="169"/>
      <c r="BC37" s="167">
        <f>SUM(BC35:BD36)</f>
        <v>82</v>
      </c>
      <c r="BD37" s="152"/>
      <c r="BE37" s="106">
        <f>SUM(BE35:BF36)</f>
        <v>60</v>
      </c>
      <c r="BF37" s="106"/>
      <c r="BG37" s="106">
        <f t="shared" ref="BG37" si="0">SUM(BG35:BH36)</f>
        <v>5</v>
      </c>
      <c r="BH37" s="106"/>
      <c r="BI37" s="106">
        <f t="shared" ref="BI37" si="1">SUM(BI35:BJ36)</f>
        <v>5</v>
      </c>
      <c r="BJ37" s="106"/>
      <c r="BK37" s="106">
        <f t="shared" ref="BK37" si="2">SUM(BK35:BL36)</f>
        <v>8</v>
      </c>
      <c r="BL37" s="106"/>
      <c r="BM37" s="106">
        <f t="shared" ref="BM37" si="3">SUM(BM35:BN36)</f>
        <v>4</v>
      </c>
      <c r="BN37" s="106"/>
      <c r="BO37" s="106">
        <f t="shared" ref="BO37" si="4">SUM(BO35:BP36)</f>
        <v>18</v>
      </c>
      <c r="BP37" s="106"/>
      <c r="BQ37" s="106">
        <f>SUM(BQ35:BR36)</f>
        <v>100</v>
      </c>
      <c r="BR37" s="106"/>
    </row>
    <row r="38" spans="1:85" ht="14.25" customHeight="1" x14ac:dyDescent="0.25">
      <c r="A38" s="4"/>
      <c r="B38" s="5"/>
      <c r="C38" s="5"/>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7"/>
      <c r="AF38" s="6"/>
      <c r="AG38" s="6"/>
      <c r="AH38" s="6"/>
      <c r="AI38" s="6"/>
      <c r="AJ38" s="6"/>
      <c r="AK38" s="6"/>
      <c r="AL38" s="6"/>
      <c r="AM38" s="6"/>
      <c r="AN38" s="6"/>
      <c r="AO38" s="6"/>
      <c r="AP38" s="6"/>
      <c r="AQ38" s="8"/>
      <c r="AR38" s="6"/>
      <c r="AS38" s="6"/>
      <c r="AT38" s="6"/>
      <c r="AU38" s="6"/>
      <c r="AV38" s="8"/>
      <c r="AW38" s="6"/>
      <c r="AX38" s="6"/>
      <c r="AY38" s="6"/>
      <c r="AZ38" s="6"/>
      <c r="BA38" s="6"/>
      <c r="BB38" s="6"/>
      <c r="BC38" s="77"/>
      <c r="BD38" s="77"/>
      <c r="BE38" s="77"/>
      <c r="BF38" s="77"/>
      <c r="BG38" s="77"/>
      <c r="BH38" s="77"/>
      <c r="BI38" s="77"/>
      <c r="BJ38" s="77"/>
      <c r="BK38" s="77"/>
      <c r="BL38" s="77"/>
      <c r="BM38" s="77"/>
      <c r="BN38" s="77"/>
      <c r="BO38" s="9"/>
      <c r="BP38" s="9"/>
      <c r="BQ38" s="9"/>
      <c r="BR38" s="8"/>
    </row>
    <row r="39" spans="1:85" ht="14.25" customHeight="1" x14ac:dyDescent="0.25">
      <c r="A39" s="4"/>
      <c r="B39" s="160"/>
      <c r="C39" s="160"/>
      <c r="D39" s="161" t="s">
        <v>96</v>
      </c>
      <c r="E39" s="143"/>
      <c r="F39" s="143"/>
      <c r="G39" s="143"/>
      <c r="H39" s="143"/>
      <c r="I39" s="143"/>
      <c r="J39" s="143"/>
      <c r="K39" s="162" t="s">
        <v>102</v>
      </c>
      <c r="L39" s="162"/>
      <c r="M39" s="162"/>
      <c r="N39" s="162"/>
      <c r="O39" s="163" t="s">
        <v>97</v>
      </c>
      <c r="P39" s="163"/>
      <c r="Q39" s="163"/>
      <c r="R39" s="164"/>
      <c r="S39" s="162" t="s">
        <v>0</v>
      </c>
      <c r="T39" s="162"/>
      <c r="U39" s="162"/>
      <c r="V39" s="165" t="s">
        <v>98</v>
      </c>
      <c r="W39" s="165"/>
      <c r="X39" s="165"/>
      <c r="Y39" s="165"/>
      <c r="Z39" s="165"/>
      <c r="AA39" s="166"/>
      <c r="AB39" s="162" t="s">
        <v>103</v>
      </c>
      <c r="AC39" s="162"/>
      <c r="AD39" s="162"/>
      <c r="AE39" s="7"/>
      <c r="AF39" s="163" t="s">
        <v>99</v>
      </c>
      <c r="AG39" s="163"/>
      <c r="AH39" s="163"/>
      <c r="AI39" s="163"/>
      <c r="AJ39" s="163"/>
      <c r="AK39" s="163"/>
      <c r="AL39" s="163"/>
      <c r="AM39" s="164"/>
      <c r="AN39" s="162" t="s">
        <v>104</v>
      </c>
      <c r="AO39" s="162"/>
      <c r="AP39" s="162"/>
      <c r="AQ39" s="8"/>
      <c r="AR39" s="177" t="s">
        <v>100</v>
      </c>
      <c r="AS39" s="177"/>
      <c r="AT39" s="177"/>
      <c r="AU39" s="177"/>
      <c r="AV39" s="8"/>
      <c r="AW39" s="162" t="s">
        <v>105</v>
      </c>
      <c r="AX39" s="162"/>
      <c r="AY39" s="162"/>
      <c r="AZ39" s="177" t="s">
        <v>101</v>
      </c>
      <c r="BA39" s="177"/>
      <c r="BB39" s="177"/>
      <c r="BC39" s="177"/>
      <c r="BD39" s="138" t="s">
        <v>106</v>
      </c>
      <c r="BE39" s="138"/>
      <c r="BF39" s="138"/>
      <c r="BG39" s="138"/>
      <c r="BH39" s="139" t="s">
        <v>92</v>
      </c>
      <c r="BI39" s="139"/>
      <c r="BJ39" s="139"/>
      <c r="BK39" s="139"/>
      <c r="BL39" s="139"/>
      <c r="BM39" s="139"/>
      <c r="BN39" s="139"/>
      <c r="BO39" s="9"/>
      <c r="BP39" s="9"/>
      <c r="BQ39" s="9"/>
      <c r="BR39" s="8"/>
    </row>
    <row r="40" spans="1:85" ht="14.25" customHeight="1" x14ac:dyDescent="0.25">
      <c r="A40" s="4"/>
      <c r="B40" s="160"/>
      <c r="C40" s="160"/>
      <c r="D40" s="161"/>
      <c r="E40" s="143"/>
      <c r="F40" s="143"/>
      <c r="G40" s="143"/>
      <c r="H40" s="143"/>
      <c r="I40" s="143"/>
      <c r="J40" s="143"/>
      <c r="K40" s="162"/>
      <c r="L40" s="162"/>
      <c r="M40" s="162"/>
      <c r="N40" s="162"/>
      <c r="O40" s="163"/>
      <c r="P40" s="163"/>
      <c r="Q40" s="163"/>
      <c r="R40" s="164"/>
      <c r="S40" s="162"/>
      <c r="T40" s="162"/>
      <c r="U40" s="162"/>
      <c r="V40" s="165"/>
      <c r="W40" s="165"/>
      <c r="X40" s="165"/>
      <c r="Y40" s="165"/>
      <c r="Z40" s="165"/>
      <c r="AA40" s="166"/>
      <c r="AB40" s="162"/>
      <c r="AC40" s="162"/>
      <c r="AD40" s="162"/>
      <c r="AE40" s="7"/>
      <c r="AF40" s="163"/>
      <c r="AG40" s="163"/>
      <c r="AH40" s="163"/>
      <c r="AI40" s="163"/>
      <c r="AJ40" s="163"/>
      <c r="AK40" s="163"/>
      <c r="AL40" s="163"/>
      <c r="AM40" s="164"/>
      <c r="AN40" s="162"/>
      <c r="AO40" s="162"/>
      <c r="AP40" s="162"/>
      <c r="AQ40" s="8"/>
      <c r="AR40" s="177"/>
      <c r="AS40" s="177"/>
      <c r="AT40" s="177"/>
      <c r="AU40" s="177"/>
      <c r="AV40" s="8"/>
      <c r="AW40" s="162"/>
      <c r="AX40" s="162"/>
      <c r="AY40" s="162"/>
      <c r="AZ40" s="177"/>
      <c r="BA40" s="177"/>
      <c r="BB40" s="177"/>
      <c r="BC40" s="177"/>
      <c r="BD40" s="138"/>
      <c r="BE40" s="138"/>
      <c r="BF40" s="138"/>
      <c r="BG40" s="138"/>
      <c r="BH40" s="139"/>
      <c r="BI40" s="139"/>
      <c r="BJ40" s="139"/>
      <c r="BK40" s="139"/>
      <c r="BL40" s="139"/>
      <c r="BM40" s="139"/>
      <c r="BN40" s="139"/>
      <c r="BO40" s="9"/>
      <c r="BP40" s="9"/>
      <c r="BQ40" s="9"/>
      <c r="BR40" s="8"/>
    </row>
    <row r="41" spans="1:85" ht="14.25" customHeight="1" x14ac:dyDescent="0.25">
      <c r="A41" s="4"/>
      <c r="B41" s="160"/>
      <c r="C41" s="160"/>
      <c r="D41" s="161"/>
      <c r="E41" s="143"/>
      <c r="F41" s="143"/>
      <c r="G41" s="143"/>
      <c r="H41" s="143"/>
      <c r="I41" s="143"/>
      <c r="J41" s="143"/>
      <c r="K41" s="162"/>
      <c r="L41" s="162"/>
      <c r="M41" s="162"/>
      <c r="N41" s="162"/>
      <c r="O41" s="163"/>
      <c r="P41" s="163"/>
      <c r="Q41" s="163"/>
      <c r="R41" s="164"/>
      <c r="S41" s="162"/>
      <c r="T41" s="162"/>
      <c r="U41" s="162"/>
      <c r="V41" s="165"/>
      <c r="W41" s="165"/>
      <c r="X41" s="165"/>
      <c r="Y41" s="165"/>
      <c r="Z41" s="165"/>
      <c r="AA41" s="166"/>
      <c r="AB41" s="162"/>
      <c r="AC41" s="162"/>
      <c r="AD41" s="162"/>
      <c r="AE41" s="7"/>
      <c r="AF41" s="163"/>
      <c r="AG41" s="163"/>
      <c r="AH41" s="163"/>
      <c r="AI41" s="163"/>
      <c r="AJ41" s="163"/>
      <c r="AK41" s="163"/>
      <c r="AL41" s="163"/>
      <c r="AM41" s="164"/>
      <c r="AN41" s="162"/>
      <c r="AO41" s="162"/>
      <c r="AP41" s="162"/>
      <c r="AQ41" s="8"/>
      <c r="AR41" s="177"/>
      <c r="AS41" s="177"/>
      <c r="AT41" s="177"/>
      <c r="AU41" s="177"/>
      <c r="AV41" s="8"/>
      <c r="AW41" s="162"/>
      <c r="AX41" s="162"/>
      <c r="AY41" s="162"/>
      <c r="AZ41" s="177"/>
      <c r="BA41" s="177"/>
      <c r="BB41" s="177"/>
      <c r="BC41" s="177"/>
      <c r="BD41" s="138"/>
      <c r="BE41" s="138"/>
      <c r="BF41" s="138"/>
      <c r="BG41" s="138"/>
      <c r="BH41" s="139"/>
      <c r="BI41" s="139"/>
      <c r="BJ41" s="139"/>
      <c r="BK41" s="139"/>
      <c r="BL41" s="139"/>
      <c r="BM41" s="139"/>
      <c r="BN41" s="139"/>
      <c r="BO41" s="9"/>
      <c r="BP41" s="9"/>
      <c r="BQ41" s="9"/>
      <c r="BR41" s="8"/>
    </row>
    <row r="42" spans="1:85" ht="14.25" customHeight="1" x14ac:dyDescent="0.25">
      <c r="A42" s="4"/>
      <c r="B42" s="10"/>
      <c r="C42" s="11"/>
      <c r="D42" s="12"/>
      <c r="E42" s="4"/>
      <c r="F42" s="4"/>
      <c r="G42" s="4"/>
      <c r="H42" s="4"/>
      <c r="I42" s="66"/>
      <c r="J42" s="66"/>
      <c r="K42" s="66"/>
      <c r="L42" s="66"/>
      <c r="M42" s="66"/>
      <c r="N42" s="66"/>
      <c r="O42" s="13"/>
      <c r="P42" s="13"/>
      <c r="Q42" s="13"/>
      <c r="R42" s="13"/>
      <c r="S42" s="66"/>
      <c r="T42" s="66"/>
      <c r="U42" s="66"/>
      <c r="V42" s="66"/>
      <c r="W42" s="66"/>
      <c r="X42" s="66"/>
      <c r="Y42" s="13"/>
      <c r="Z42" s="13"/>
      <c r="AA42" s="13"/>
      <c r="AB42" s="13"/>
      <c r="AC42" s="66"/>
      <c r="AD42" s="66"/>
      <c r="AE42" s="66"/>
      <c r="AF42" s="66"/>
      <c r="AG42" s="66"/>
      <c r="AH42" s="66"/>
      <c r="AI42" s="13"/>
      <c r="AJ42" s="13"/>
      <c r="AK42" s="13"/>
      <c r="AL42" s="13"/>
      <c r="AM42" s="66"/>
      <c r="AN42" s="66"/>
      <c r="AO42" s="66"/>
      <c r="AP42" s="66"/>
      <c r="AQ42" s="66"/>
      <c r="AR42" s="66"/>
      <c r="AS42" s="13"/>
      <c r="AT42" s="13"/>
      <c r="AU42" s="13"/>
      <c r="AV42" s="13"/>
      <c r="AW42" s="66"/>
      <c r="AX42" s="66"/>
      <c r="AY42" s="66"/>
      <c r="AZ42" s="66"/>
      <c r="BA42" s="66"/>
      <c r="BB42" s="66"/>
      <c r="BC42" s="13"/>
      <c r="BD42" s="13"/>
      <c r="BE42" s="13"/>
      <c r="BF42" s="13"/>
      <c r="BG42" s="66"/>
      <c r="BH42" s="66"/>
      <c r="BI42" s="66"/>
      <c r="BJ42" s="66"/>
      <c r="BK42" s="66"/>
      <c r="BL42" s="66"/>
      <c r="BM42" s="73"/>
      <c r="BN42" s="4"/>
      <c r="BO42" s="4"/>
      <c r="BP42" s="4"/>
      <c r="BQ42" s="4"/>
      <c r="BR42" s="4"/>
    </row>
    <row r="43" spans="1:85" ht="14.25" customHeight="1" x14ac:dyDescent="0.25">
      <c r="A43" s="4"/>
      <c r="B43" s="10"/>
      <c r="C43" s="11"/>
      <c r="D43" s="12"/>
      <c r="E43" s="4"/>
      <c r="F43" s="4"/>
      <c r="G43" s="4"/>
      <c r="H43" s="4"/>
      <c r="I43" s="66"/>
      <c r="J43" s="66"/>
      <c r="K43" s="66"/>
      <c r="L43" s="66"/>
      <c r="M43" s="66"/>
      <c r="N43" s="66"/>
      <c r="O43" s="13"/>
      <c r="P43" s="13"/>
      <c r="Q43" s="13"/>
      <c r="R43" s="13"/>
      <c r="S43" s="66"/>
      <c r="T43" s="66"/>
      <c r="U43" s="66"/>
      <c r="V43" s="66"/>
      <c r="W43" s="66"/>
      <c r="X43" s="66"/>
      <c r="Y43" s="13"/>
      <c r="Z43" s="13"/>
      <c r="AA43" s="13"/>
      <c r="AB43" s="13"/>
      <c r="AC43" s="66"/>
      <c r="AD43" s="66"/>
      <c r="AE43" s="66"/>
      <c r="AF43" s="66"/>
      <c r="AG43" s="66"/>
      <c r="AH43" s="66"/>
      <c r="AI43" s="13"/>
      <c r="AJ43" s="13"/>
      <c r="AK43" s="13"/>
      <c r="AL43" s="13"/>
      <c r="AM43" s="66"/>
      <c r="AN43" s="66"/>
      <c r="AO43" s="66"/>
      <c r="AP43" s="66"/>
      <c r="AQ43" s="66"/>
      <c r="AR43" s="66"/>
      <c r="AS43" s="13"/>
      <c r="AT43" s="13"/>
      <c r="AU43" s="13"/>
      <c r="AV43" s="13"/>
      <c r="AW43" s="66"/>
      <c r="AX43" s="66"/>
      <c r="AY43" s="66"/>
      <c r="AZ43" s="66"/>
      <c r="BA43" s="66"/>
      <c r="BB43" s="66"/>
      <c r="BC43" s="13"/>
      <c r="BD43" s="13"/>
      <c r="BE43" s="13"/>
      <c r="BF43" s="13"/>
      <c r="BG43" s="66"/>
      <c r="BH43" s="66"/>
      <c r="BI43" s="66"/>
      <c r="BJ43" s="66"/>
      <c r="BK43" s="66"/>
      <c r="BL43" s="66"/>
      <c r="BM43" s="73"/>
      <c r="BN43" s="4"/>
      <c r="BO43" s="4"/>
      <c r="BP43" s="4"/>
      <c r="BQ43" s="4"/>
      <c r="BR43" s="4"/>
    </row>
    <row r="44" spans="1:85" ht="14.25" customHeight="1" x14ac:dyDescent="0.25">
      <c r="A44" s="153" t="s">
        <v>66</v>
      </c>
      <c r="B44" s="153"/>
      <c r="C44" s="153"/>
      <c r="D44" s="153"/>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3"/>
      <c r="BK44" s="153"/>
      <c r="BL44" s="153"/>
      <c r="BM44" s="153"/>
      <c r="BN44" s="153"/>
      <c r="BO44" s="153"/>
      <c r="BP44" s="153"/>
      <c r="BQ44" s="153"/>
      <c r="BR44" s="153"/>
    </row>
    <row r="45" spans="1:85" ht="14.25" customHeight="1" x14ac:dyDescent="0.25">
      <c r="A45" s="154"/>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4"/>
      <c r="AX45" s="154"/>
      <c r="AY45" s="154"/>
      <c r="AZ45" s="154"/>
      <c r="BA45" s="154"/>
      <c r="BB45" s="154"/>
      <c r="BC45" s="154"/>
      <c r="BD45" s="154"/>
      <c r="BE45" s="154"/>
      <c r="BF45" s="154"/>
      <c r="BG45" s="154"/>
      <c r="BH45" s="154"/>
      <c r="BI45" s="154"/>
      <c r="BJ45" s="154"/>
      <c r="BK45" s="154"/>
      <c r="BL45" s="154"/>
      <c r="BM45" s="154"/>
      <c r="BN45" s="154"/>
      <c r="BO45" s="154"/>
      <c r="BP45" s="154"/>
      <c r="BQ45" s="154"/>
      <c r="BR45" s="154"/>
    </row>
    <row r="46" spans="1:85" ht="14.25" customHeight="1" x14ac:dyDescent="0.25">
      <c r="A46" s="106" t="s">
        <v>108</v>
      </c>
      <c r="B46" s="133" t="s">
        <v>107</v>
      </c>
      <c r="C46" s="134"/>
      <c r="D46" s="132" t="s">
        <v>126</v>
      </c>
      <c r="E46" s="132"/>
      <c r="F46" s="132"/>
      <c r="G46" s="132"/>
      <c r="H46" s="132"/>
      <c r="I46" s="132"/>
      <c r="J46" s="132"/>
      <c r="K46" s="132"/>
      <c r="L46" s="132"/>
      <c r="M46" s="132"/>
      <c r="N46" s="132"/>
      <c r="O46" s="155"/>
      <c r="P46" s="156" t="s">
        <v>113</v>
      </c>
      <c r="Q46" s="132"/>
      <c r="R46" s="132"/>
      <c r="S46" s="132"/>
      <c r="T46" s="132"/>
      <c r="U46" s="132"/>
      <c r="V46" s="132"/>
      <c r="W46" s="132"/>
      <c r="X46" s="132"/>
      <c r="Y46" s="132"/>
      <c r="Z46" s="132"/>
      <c r="AA46" s="132"/>
      <c r="AB46" s="132"/>
      <c r="AC46" s="132"/>
      <c r="AD46" s="132"/>
      <c r="AE46" s="132"/>
      <c r="AF46" s="132"/>
      <c r="AG46" s="132"/>
      <c r="AH46" s="132"/>
      <c r="AI46" s="132"/>
      <c r="AJ46" s="132"/>
      <c r="AK46" s="132"/>
      <c r="AL46" s="132"/>
      <c r="AM46" s="132"/>
      <c r="AN46" s="132"/>
      <c r="AO46" s="132"/>
      <c r="AP46" s="155"/>
      <c r="AQ46" s="157" t="s">
        <v>179</v>
      </c>
      <c r="AR46" s="132"/>
      <c r="AS46" s="132"/>
      <c r="AT46" s="132"/>
      <c r="AU46" s="132"/>
      <c r="AV46" s="132"/>
      <c r="AW46" s="132"/>
      <c r="AX46" s="132"/>
      <c r="AY46" s="132"/>
      <c r="AZ46" s="132"/>
      <c r="BA46" s="132"/>
      <c r="BB46" s="155"/>
      <c r="BC46" s="157" t="s">
        <v>180</v>
      </c>
      <c r="BD46" s="132"/>
      <c r="BE46" s="132"/>
      <c r="BF46" s="132"/>
      <c r="BG46" s="132"/>
      <c r="BH46" s="132"/>
      <c r="BI46" s="132"/>
      <c r="BJ46" s="132"/>
      <c r="BK46" s="132"/>
      <c r="BL46" s="132"/>
      <c r="BM46" s="132"/>
      <c r="BN46" s="155"/>
      <c r="BO46" s="158" t="s">
        <v>123</v>
      </c>
      <c r="BP46" s="134"/>
      <c r="BQ46" s="134"/>
      <c r="BR46" s="134"/>
    </row>
    <row r="47" spans="1:85" ht="14.25" customHeight="1" x14ac:dyDescent="0.25">
      <c r="A47" s="106"/>
      <c r="B47" s="134"/>
      <c r="C47" s="134"/>
      <c r="D47" s="132"/>
      <c r="E47" s="132"/>
      <c r="F47" s="132"/>
      <c r="G47" s="132"/>
      <c r="H47" s="132"/>
      <c r="I47" s="132"/>
      <c r="J47" s="132"/>
      <c r="K47" s="132"/>
      <c r="L47" s="132"/>
      <c r="M47" s="132"/>
      <c r="N47" s="132"/>
      <c r="O47" s="155"/>
      <c r="P47" s="156"/>
      <c r="Q47" s="132"/>
      <c r="R47" s="132"/>
      <c r="S47" s="132"/>
      <c r="T47" s="132"/>
      <c r="U47" s="132"/>
      <c r="V47" s="132"/>
      <c r="W47" s="132"/>
      <c r="X47" s="132"/>
      <c r="Y47" s="132"/>
      <c r="Z47" s="132"/>
      <c r="AA47" s="132"/>
      <c r="AB47" s="132"/>
      <c r="AC47" s="132"/>
      <c r="AD47" s="132"/>
      <c r="AE47" s="132"/>
      <c r="AF47" s="132"/>
      <c r="AG47" s="132"/>
      <c r="AH47" s="132"/>
      <c r="AI47" s="132"/>
      <c r="AJ47" s="132"/>
      <c r="AK47" s="132"/>
      <c r="AL47" s="132"/>
      <c r="AM47" s="132"/>
      <c r="AN47" s="132"/>
      <c r="AO47" s="132"/>
      <c r="AP47" s="155"/>
      <c r="AQ47" s="157"/>
      <c r="AR47" s="132"/>
      <c r="AS47" s="132"/>
      <c r="AT47" s="132"/>
      <c r="AU47" s="132"/>
      <c r="AV47" s="132"/>
      <c r="AW47" s="132"/>
      <c r="AX47" s="132"/>
      <c r="AY47" s="132"/>
      <c r="AZ47" s="132"/>
      <c r="BA47" s="132"/>
      <c r="BB47" s="155"/>
      <c r="BC47" s="157"/>
      <c r="BD47" s="132"/>
      <c r="BE47" s="132"/>
      <c r="BF47" s="132"/>
      <c r="BG47" s="132"/>
      <c r="BH47" s="132"/>
      <c r="BI47" s="132"/>
      <c r="BJ47" s="132"/>
      <c r="BK47" s="132"/>
      <c r="BL47" s="132"/>
      <c r="BM47" s="132"/>
      <c r="BN47" s="155"/>
      <c r="BO47" s="158"/>
      <c r="BP47" s="134"/>
      <c r="BQ47" s="134"/>
      <c r="BR47" s="134"/>
      <c r="BS47" s="71"/>
      <c r="BT47" s="71"/>
      <c r="BU47" s="71"/>
      <c r="BV47" s="71"/>
      <c r="BW47" s="71"/>
      <c r="BX47" s="71"/>
      <c r="BY47" s="71"/>
      <c r="BZ47" s="71"/>
    </row>
    <row r="48" spans="1:85" ht="14.25" customHeight="1" x14ac:dyDescent="0.25">
      <c r="A48" s="106"/>
      <c r="B48" s="134"/>
      <c r="C48" s="134"/>
      <c r="D48" s="132"/>
      <c r="E48" s="132"/>
      <c r="F48" s="132"/>
      <c r="G48" s="132"/>
      <c r="H48" s="132"/>
      <c r="I48" s="132"/>
      <c r="J48" s="132"/>
      <c r="K48" s="132"/>
      <c r="L48" s="132"/>
      <c r="M48" s="132"/>
      <c r="N48" s="132"/>
      <c r="O48" s="155"/>
      <c r="P48" s="157" t="s">
        <v>109</v>
      </c>
      <c r="Q48" s="132"/>
      <c r="R48" s="132"/>
      <c r="S48" s="132"/>
      <c r="T48" s="132"/>
      <c r="U48" s="155"/>
      <c r="V48" s="156" t="s">
        <v>114</v>
      </c>
      <c r="W48" s="132"/>
      <c r="X48" s="132"/>
      <c r="Y48" s="132"/>
      <c r="Z48" s="132"/>
      <c r="AA48" s="132"/>
      <c r="AB48" s="132"/>
      <c r="AC48" s="132"/>
      <c r="AD48" s="132"/>
      <c r="AE48" s="132"/>
      <c r="AF48" s="132"/>
      <c r="AG48" s="132"/>
      <c r="AH48" s="132"/>
      <c r="AI48" s="132"/>
      <c r="AJ48" s="132"/>
      <c r="AK48" s="132"/>
      <c r="AL48" s="132"/>
      <c r="AM48" s="132"/>
      <c r="AN48" s="135" t="s">
        <v>120</v>
      </c>
      <c r="AO48" s="135"/>
      <c r="AP48" s="159"/>
      <c r="AQ48" s="144" t="s">
        <v>124</v>
      </c>
      <c r="AR48" s="106"/>
      <c r="AS48" s="106"/>
      <c r="AT48" s="106"/>
      <c r="AU48" s="106"/>
      <c r="AV48" s="106"/>
      <c r="AW48" s="106" t="s">
        <v>125</v>
      </c>
      <c r="AX48" s="106"/>
      <c r="AY48" s="106"/>
      <c r="AZ48" s="106"/>
      <c r="BA48" s="106"/>
      <c r="BB48" s="147"/>
      <c r="BC48" s="144" t="s">
        <v>124</v>
      </c>
      <c r="BD48" s="106"/>
      <c r="BE48" s="106"/>
      <c r="BF48" s="106"/>
      <c r="BG48" s="106"/>
      <c r="BH48" s="106"/>
      <c r="BI48" s="106" t="s">
        <v>125</v>
      </c>
      <c r="BJ48" s="106"/>
      <c r="BK48" s="106"/>
      <c r="BL48" s="106"/>
      <c r="BM48" s="106"/>
      <c r="BN48" s="147"/>
      <c r="BO48" s="158"/>
      <c r="BP48" s="134"/>
      <c r="BQ48" s="134"/>
      <c r="BR48" s="134"/>
      <c r="BS48" s="71"/>
      <c r="BT48" s="71"/>
      <c r="BU48" s="71"/>
      <c r="BV48" s="71"/>
      <c r="BW48" s="71"/>
      <c r="BX48" s="71"/>
      <c r="BY48" s="71"/>
      <c r="BZ48" s="71"/>
    </row>
    <row r="49" spans="1:78" ht="14.25" customHeight="1" x14ac:dyDescent="0.25">
      <c r="A49" s="106"/>
      <c r="B49" s="134"/>
      <c r="C49" s="134"/>
      <c r="D49" s="132"/>
      <c r="E49" s="132"/>
      <c r="F49" s="132"/>
      <c r="G49" s="132"/>
      <c r="H49" s="132"/>
      <c r="I49" s="132"/>
      <c r="J49" s="132"/>
      <c r="K49" s="132"/>
      <c r="L49" s="132"/>
      <c r="M49" s="132"/>
      <c r="N49" s="132"/>
      <c r="O49" s="155"/>
      <c r="P49" s="157"/>
      <c r="Q49" s="132"/>
      <c r="R49" s="132"/>
      <c r="S49" s="132"/>
      <c r="T49" s="132"/>
      <c r="U49" s="155"/>
      <c r="V49" s="156"/>
      <c r="W49" s="132"/>
      <c r="X49" s="132"/>
      <c r="Y49" s="132"/>
      <c r="Z49" s="132"/>
      <c r="AA49" s="132"/>
      <c r="AB49" s="132"/>
      <c r="AC49" s="132"/>
      <c r="AD49" s="132"/>
      <c r="AE49" s="132"/>
      <c r="AF49" s="132"/>
      <c r="AG49" s="132"/>
      <c r="AH49" s="132"/>
      <c r="AI49" s="132"/>
      <c r="AJ49" s="132"/>
      <c r="AK49" s="132"/>
      <c r="AL49" s="132"/>
      <c r="AM49" s="132"/>
      <c r="AN49" s="135"/>
      <c r="AO49" s="135"/>
      <c r="AP49" s="159"/>
      <c r="AQ49" s="144"/>
      <c r="AR49" s="106"/>
      <c r="AS49" s="106"/>
      <c r="AT49" s="106"/>
      <c r="AU49" s="106"/>
      <c r="AV49" s="106"/>
      <c r="AW49" s="106"/>
      <c r="AX49" s="106"/>
      <c r="AY49" s="106"/>
      <c r="AZ49" s="106"/>
      <c r="BA49" s="106"/>
      <c r="BB49" s="147"/>
      <c r="BC49" s="144"/>
      <c r="BD49" s="106"/>
      <c r="BE49" s="106"/>
      <c r="BF49" s="106"/>
      <c r="BG49" s="106"/>
      <c r="BH49" s="106"/>
      <c r="BI49" s="106"/>
      <c r="BJ49" s="106"/>
      <c r="BK49" s="106"/>
      <c r="BL49" s="106"/>
      <c r="BM49" s="106"/>
      <c r="BN49" s="147"/>
      <c r="BO49" s="158"/>
      <c r="BP49" s="134"/>
      <c r="BQ49" s="134"/>
      <c r="BR49" s="134"/>
      <c r="BS49" s="71"/>
      <c r="BT49" s="71"/>
      <c r="BU49" s="71"/>
      <c r="BV49" s="71"/>
      <c r="BW49" s="71"/>
      <c r="BX49" s="71"/>
      <c r="BY49" s="71"/>
      <c r="BZ49" s="71"/>
    </row>
    <row r="50" spans="1:78" ht="14.25" customHeight="1" x14ac:dyDescent="0.25">
      <c r="A50" s="106"/>
      <c r="B50" s="134"/>
      <c r="C50" s="134"/>
      <c r="D50" s="132"/>
      <c r="E50" s="132"/>
      <c r="F50" s="132"/>
      <c r="G50" s="132"/>
      <c r="H50" s="132"/>
      <c r="I50" s="132"/>
      <c r="J50" s="132"/>
      <c r="K50" s="132"/>
      <c r="L50" s="132"/>
      <c r="M50" s="132"/>
      <c r="N50" s="132"/>
      <c r="O50" s="155"/>
      <c r="P50" s="157"/>
      <c r="Q50" s="132"/>
      <c r="R50" s="132"/>
      <c r="S50" s="132"/>
      <c r="T50" s="132"/>
      <c r="U50" s="155"/>
      <c r="V50" s="176" t="s">
        <v>87</v>
      </c>
      <c r="W50" s="135"/>
      <c r="X50" s="135"/>
      <c r="Y50" s="135" t="s">
        <v>115</v>
      </c>
      <c r="Z50" s="135"/>
      <c r="AA50" s="135"/>
      <c r="AB50" s="135" t="s">
        <v>116</v>
      </c>
      <c r="AC50" s="135"/>
      <c r="AD50" s="135"/>
      <c r="AE50" s="135" t="s">
        <v>117</v>
      </c>
      <c r="AF50" s="135"/>
      <c r="AG50" s="135"/>
      <c r="AH50" s="135" t="s">
        <v>118</v>
      </c>
      <c r="AI50" s="135"/>
      <c r="AJ50" s="135"/>
      <c r="AK50" s="135" t="s">
        <v>119</v>
      </c>
      <c r="AL50" s="135"/>
      <c r="AM50" s="135"/>
      <c r="AN50" s="135"/>
      <c r="AO50" s="135"/>
      <c r="AP50" s="159"/>
      <c r="AQ50" s="144">
        <v>1</v>
      </c>
      <c r="AR50" s="106"/>
      <c r="AS50" s="106"/>
      <c r="AT50" s="106">
        <v>2</v>
      </c>
      <c r="AU50" s="106"/>
      <c r="AV50" s="106"/>
      <c r="AW50" s="106">
        <v>3</v>
      </c>
      <c r="AX50" s="106"/>
      <c r="AY50" s="106"/>
      <c r="AZ50" s="106">
        <v>4</v>
      </c>
      <c r="BA50" s="106"/>
      <c r="BB50" s="147"/>
      <c r="BC50" s="144">
        <v>1</v>
      </c>
      <c r="BD50" s="106"/>
      <c r="BE50" s="106"/>
      <c r="BF50" s="106">
        <v>2</v>
      </c>
      <c r="BG50" s="106"/>
      <c r="BH50" s="106"/>
      <c r="BI50" s="106">
        <v>3</v>
      </c>
      <c r="BJ50" s="106"/>
      <c r="BK50" s="106"/>
      <c r="BL50" s="106">
        <v>4</v>
      </c>
      <c r="BM50" s="106"/>
      <c r="BN50" s="147"/>
      <c r="BO50" s="158"/>
      <c r="BP50" s="134"/>
      <c r="BQ50" s="134"/>
      <c r="BR50" s="134"/>
      <c r="BS50" s="71"/>
      <c r="BT50" s="71"/>
      <c r="BU50" s="71"/>
      <c r="BV50" s="71"/>
      <c r="BW50" s="71"/>
      <c r="BX50" s="71"/>
      <c r="BY50" s="71"/>
      <c r="BZ50" s="71"/>
    </row>
    <row r="51" spans="1:78" ht="14.25" customHeight="1" x14ac:dyDescent="0.25">
      <c r="A51" s="106"/>
      <c r="B51" s="134"/>
      <c r="C51" s="134"/>
      <c r="D51" s="132"/>
      <c r="E51" s="132"/>
      <c r="F51" s="132"/>
      <c r="G51" s="132"/>
      <c r="H51" s="132"/>
      <c r="I51" s="132"/>
      <c r="J51" s="132"/>
      <c r="K51" s="132"/>
      <c r="L51" s="132"/>
      <c r="M51" s="132"/>
      <c r="N51" s="132"/>
      <c r="O51" s="155"/>
      <c r="P51" s="157"/>
      <c r="Q51" s="132"/>
      <c r="R51" s="132"/>
      <c r="S51" s="132"/>
      <c r="T51" s="132"/>
      <c r="U51" s="155"/>
      <c r="V51" s="176"/>
      <c r="W51" s="135"/>
      <c r="X51" s="135"/>
      <c r="Y51" s="135"/>
      <c r="Z51" s="135"/>
      <c r="AA51" s="135"/>
      <c r="AB51" s="135"/>
      <c r="AC51" s="135"/>
      <c r="AD51" s="135"/>
      <c r="AE51" s="135"/>
      <c r="AF51" s="135"/>
      <c r="AG51" s="135"/>
      <c r="AH51" s="135"/>
      <c r="AI51" s="135"/>
      <c r="AJ51" s="135"/>
      <c r="AK51" s="135"/>
      <c r="AL51" s="135"/>
      <c r="AM51" s="135"/>
      <c r="AN51" s="135"/>
      <c r="AO51" s="135"/>
      <c r="AP51" s="159"/>
      <c r="AQ51" s="144"/>
      <c r="AR51" s="106"/>
      <c r="AS51" s="106"/>
      <c r="AT51" s="106"/>
      <c r="AU51" s="106"/>
      <c r="AV51" s="106"/>
      <c r="AW51" s="106"/>
      <c r="AX51" s="106"/>
      <c r="AY51" s="106"/>
      <c r="AZ51" s="106"/>
      <c r="BA51" s="106"/>
      <c r="BB51" s="147"/>
      <c r="BC51" s="144"/>
      <c r="BD51" s="106"/>
      <c r="BE51" s="106"/>
      <c r="BF51" s="106"/>
      <c r="BG51" s="106"/>
      <c r="BH51" s="106"/>
      <c r="BI51" s="106"/>
      <c r="BJ51" s="106"/>
      <c r="BK51" s="106"/>
      <c r="BL51" s="106"/>
      <c r="BM51" s="106"/>
      <c r="BN51" s="147"/>
      <c r="BO51" s="158"/>
      <c r="BP51" s="134"/>
      <c r="BQ51" s="134"/>
      <c r="BR51" s="134"/>
      <c r="BS51" s="71"/>
      <c r="BT51" s="71"/>
      <c r="BU51" s="71"/>
      <c r="BV51" s="71"/>
      <c r="BW51" s="71"/>
      <c r="BX51" s="71"/>
      <c r="BY51" s="71"/>
      <c r="BZ51" s="71"/>
    </row>
    <row r="52" spans="1:78" ht="14.25" customHeight="1" x14ac:dyDescent="0.25">
      <c r="A52" s="106"/>
      <c r="B52" s="134"/>
      <c r="C52" s="134"/>
      <c r="D52" s="132"/>
      <c r="E52" s="132"/>
      <c r="F52" s="132"/>
      <c r="G52" s="132"/>
      <c r="H52" s="132"/>
      <c r="I52" s="132"/>
      <c r="J52" s="132"/>
      <c r="K52" s="132"/>
      <c r="L52" s="132"/>
      <c r="M52" s="132"/>
      <c r="N52" s="132"/>
      <c r="O52" s="155"/>
      <c r="P52" s="157"/>
      <c r="Q52" s="132"/>
      <c r="R52" s="132"/>
      <c r="S52" s="132"/>
      <c r="T52" s="132"/>
      <c r="U52" s="155"/>
      <c r="V52" s="176"/>
      <c r="W52" s="135"/>
      <c r="X52" s="135"/>
      <c r="Y52" s="135"/>
      <c r="Z52" s="135"/>
      <c r="AA52" s="135"/>
      <c r="AB52" s="135"/>
      <c r="AC52" s="135"/>
      <c r="AD52" s="135"/>
      <c r="AE52" s="135"/>
      <c r="AF52" s="135"/>
      <c r="AG52" s="135"/>
      <c r="AH52" s="135"/>
      <c r="AI52" s="135"/>
      <c r="AJ52" s="135"/>
      <c r="AK52" s="135"/>
      <c r="AL52" s="135"/>
      <c r="AM52" s="135"/>
      <c r="AN52" s="135"/>
      <c r="AO52" s="135"/>
      <c r="AP52" s="159"/>
      <c r="AQ52" s="157" t="s">
        <v>121</v>
      </c>
      <c r="AR52" s="132"/>
      <c r="AS52" s="132"/>
      <c r="AT52" s="132"/>
      <c r="AU52" s="132"/>
      <c r="AV52" s="132"/>
      <c r="AW52" s="132"/>
      <c r="AX52" s="132"/>
      <c r="AY52" s="132"/>
      <c r="AZ52" s="132"/>
      <c r="BA52" s="132"/>
      <c r="BB52" s="155"/>
      <c r="BC52" s="157" t="s">
        <v>122</v>
      </c>
      <c r="BD52" s="132"/>
      <c r="BE52" s="132"/>
      <c r="BF52" s="132"/>
      <c r="BG52" s="132"/>
      <c r="BH52" s="132"/>
      <c r="BI52" s="132"/>
      <c r="BJ52" s="132"/>
      <c r="BK52" s="132"/>
      <c r="BL52" s="132"/>
      <c r="BM52" s="132"/>
      <c r="BN52" s="155"/>
      <c r="BO52" s="158"/>
      <c r="BP52" s="134"/>
      <c r="BQ52" s="134"/>
      <c r="BR52" s="134"/>
      <c r="BS52" s="71"/>
      <c r="BT52" s="71"/>
      <c r="BU52" s="71"/>
      <c r="BV52" s="71"/>
      <c r="BW52" s="71"/>
      <c r="BX52" s="71"/>
      <c r="BY52" s="71"/>
      <c r="BZ52" s="71"/>
    </row>
    <row r="53" spans="1:78" ht="14.25" customHeight="1" x14ac:dyDescent="0.25">
      <c r="A53" s="106"/>
      <c r="B53" s="134"/>
      <c r="C53" s="134"/>
      <c r="D53" s="132"/>
      <c r="E53" s="132"/>
      <c r="F53" s="132"/>
      <c r="G53" s="132"/>
      <c r="H53" s="132"/>
      <c r="I53" s="132"/>
      <c r="J53" s="132"/>
      <c r="K53" s="132"/>
      <c r="L53" s="132"/>
      <c r="M53" s="132"/>
      <c r="N53" s="132"/>
      <c r="O53" s="155"/>
      <c r="P53" s="157"/>
      <c r="Q53" s="132"/>
      <c r="R53" s="132"/>
      <c r="S53" s="132"/>
      <c r="T53" s="132"/>
      <c r="U53" s="155"/>
      <c r="V53" s="176"/>
      <c r="W53" s="135"/>
      <c r="X53" s="135"/>
      <c r="Y53" s="135"/>
      <c r="Z53" s="135"/>
      <c r="AA53" s="135"/>
      <c r="AB53" s="135"/>
      <c r="AC53" s="135"/>
      <c r="AD53" s="135"/>
      <c r="AE53" s="135"/>
      <c r="AF53" s="135"/>
      <c r="AG53" s="135"/>
      <c r="AH53" s="135"/>
      <c r="AI53" s="135"/>
      <c r="AJ53" s="135"/>
      <c r="AK53" s="135"/>
      <c r="AL53" s="135"/>
      <c r="AM53" s="135"/>
      <c r="AN53" s="135"/>
      <c r="AO53" s="135"/>
      <c r="AP53" s="159"/>
      <c r="AQ53" s="157"/>
      <c r="AR53" s="132"/>
      <c r="AS53" s="132"/>
      <c r="AT53" s="132"/>
      <c r="AU53" s="132"/>
      <c r="AV53" s="132"/>
      <c r="AW53" s="132"/>
      <c r="AX53" s="132"/>
      <c r="AY53" s="132"/>
      <c r="AZ53" s="132"/>
      <c r="BA53" s="132"/>
      <c r="BB53" s="155"/>
      <c r="BC53" s="157"/>
      <c r="BD53" s="132"/>
      <c r="BE53" s="132"/>
      <c r="BF53" s="132"/>
      <c r="BG53" s="132"/>
      <c r="BH53" s="132"/>
      <c r="BI53" s="132"/>
      <c r="BJ53" s="132"/>
      <c r="BK53" s="132"/>
      <c r="BL53" s="132"/>
      <c r="BM53" s="132"/>
      <c r="BN53" s="155"/>
      <c r="BO53" s="158"/>
      <c r="BP53" s="134"/>
      <c r="BQ53" s="134"/>
      <c r="BR53" s="134"/>
      <c r="BS53" s="71"/>
      <c r="BT53" s="71"/>
      <c r="BU53" s="71"/>
      <c r="BV53" s="71"/>
      <c r="BW53" s="71"/>
      <c r="BX53" s="71"/>
      <c r="BY53" s="71"/>
      <c r="BZ53" s="71"/>
    </row>
    <row r="54" spans="1:78" ht="14.25" customHeight="1" x14ac:dyDescent="0.25">
      <c r="A54" s="106"/>
      <c r="B54" s="134"/>
      <c r="C54" s="134"/>
      <c r="D54" s="132"/>
      <c r="E54" s="132"/>
      <c r="F54" s="132"/>
      <c r="G54" s="132"/>
      <c r="H54" s="132"/>
      <c r="I54" s="132"/>
      <c r="J54" s="132"/>
      <c r="K54" s="132"/>
      <c r="L54" s="132"/>
      <c r="M54" s="132"/>
      <c r="N54" s="132"/>
      <c r="O54" s="155"/>
      <c r="P54" s="157"/>
      <c r="Q54" s="132"/>
      <c r="R54" s="132"/>
      <c r="S54" s="132"/>
      <c r="T54" s="132"/>
      <c r="U54" s="155"/>
      <c r="V54" s="176"/>
      <c r="W54" s="135"/>
      <c r="X54" s="135"/>
      <c r="Y54" s="135"/>
      <c r="Z54" s="135"/>
      <c r="AA54" s="135"/>
      <c r="AB54" s="135"/>
      <c r="AC54" s="135"/>
      <c r="AD54" s="135"/>
      <c r="AE54" s="135"/>
      <c r="AF54" s="135"/>
      <c r="AG54" s="135"/>
      <c r="AH54" s="135"/>
      <c r="AI54" s="135"/>
      <c r="AJ54" s="135"/>
      <c r="AK54" s="135"/>
      <c r="AL54" s="135"/>
      <c r="AM54" s="135"/>
      <c r="AN54" s="135"/>
      <c r="AO54" s="135"/>
      <c r="AP54" s="159"/>
      <c r="AQ54" s="144">
        <v>15</v>
      </c>
      <c r="AR54" s="106"/>
      <c r="AS54" s="106"/>
      <c r="AT54" s="106">
        <v>15</v>
      </c>
      <c r="AU54" s="106"/>
      <c r="AV54" s="106"/>
      <c r="AW54" s="106">
        <v>15</v>
      </c>
      <c r="AX54" s="106"/>
      <c r="AY54" s="106"/>
      <c r="AZ54" s="106">
        <v>15</v>
      </c>
      <c r="BA54" s="106"/>
      <c r="BB54" s="147"/>
      <c r="BC54" s="144">
        <v>15</v>
      </c>
      <c r="BD54" s="106"/>
      <c r="BE54" s="106"/>
      <c r="BF54" s="106">
        <v>15</v>
      </c>
      <c r="BG54" s="106"/>
      <c r="BH54" s="106"/>
      <c r="BI54" s="106">
        <v>15</v>
      </c>
      <c r="BJ54" s="106"/>
      <c r="BK54" s="106"/>
      <c r="BL54" s="106">
        <v>15</v>
      </c>
      <c r="BM54" s="106"/>
      <c r="BN54" s="147"/>
      <c r="BO54" s="158"/>
      <c r="BP54" s="134"/>
      <c r="BQ54" s="134"/>
      <c r="BR54" s="134"/>
      <c r="BS54" s="71"/>
      <c r="BT54" s="71"/>
      <c r="BU54" s="71"/>
      <c r="BV54" s="71"/>
      <c r="BW54" s="71"/>
      <c r="BX54" s="71"/>
      <c r="BY54" s="71"/>
      <c r="BZ54" s="71"/>
    </row>
    <row r="55" spans="1:78" ht="14.25" customHeight="1" x14ac:dyDescent="0.25">
      <c r="A55" s="106"/>
      <c r="B55" s="134"/>
      <c r="C55" s="134"/>
      <c r="D55" s="132"/>
      <c r="E55" s="132"/>
      <c r="F55" s="132"/>
      <c r="G55" s="132"/>
      <c r="H55" s="132"/>
      <c r="I55" s="132"/>
      <c r="J55" s="132"/>
      <c r="K55" s="132"/>
      <c r="L55" s="132"/>
      <c r="M55" s="132"/>
      <c r="N55" s="132"/>
      <c r="O55" s="155"/>
      <c r="P55" s="144" t="s">
        <v>110</v>
      </c>
      <c r="Q55" s="106"/>
      <c r="R55" s="106"/>
      <c r="S55" s="106" t="s">
        <v>5</v>
      </c>
      <c r="T55" s="106"/>
      <c r="U55" s="147"/>
      <c r="V55" s="176"/>
      <c r="W55" s="135"/>
      <c r="X55" s="135"/>
      <c r="Y55" s="135"/>
      <c r="Z55" s="135"/>
      <c r="AA55" s="135"/>
      <c r="AB55" s="135"/>
      <c r="AC55" s="135"/>
      <c r="AD55" s="135"/>
      <c r="AE55" s="135"/>
      <c r="AF55" s="135"/>
      <c r="AG55" s="135"/>
      <c r="AH55" s="135"/>
      <c r="AI55" s="135"/>
      <c r="AJ55" s="135"/>
      <c r="AK55" s="135"/>
      <c r="AL55" s="135"/>
      <c r="AM55" s="135"/>
      <c r="AN55" s="135"/>
      <c r="AO55" s="135"/>
      <c r="AP55" s="159"/>
      <c r="AQ55" s="144"/>
      <c r="AR55" s="106"/>
      <c r="AS55" s="106"/>
      <c r="AT55" s="106"/>
      <c r="AU55" s="106"/>
      <c r="AV55" s="106"/>
      <c r="AW55" s="106"/>
      <c r="AX55" s="106"/>
      <c r="AY55" s="106"/>
      <c r="AZ55" s="106"/>
      <c r="BA55" s="106"/>
      <c r="BB55" s="147"/>
      <c r="BC55" s="144"/>
      <c r="BD55" s="106"/>
      <c r="BE55" s="106"/>
      <c r="BF55" s="106"/>
      <c r="BG55" s="106"/>
      <c r="BH55" s="106"/>
      <c r="BI55" s="106"/>
      <c r="BJ55" s="106"/>
      <c r="BK55" s="106"/>
      <c r="BL55" s="106"/>
      <c r="BM55" s="106"/>
      <c r="BN55" s="147"/>
      <c r="BO55" s="158"/>
      <c r="BP55" s="134"/>
      <c r="BQ55" s="134"/>
      <c r="BR55" s="134"/>
      <c r="BS55" s="71"/>
      <c r="BT55" s="71"/>
      <c r="BU55" s="71"/>
      <c r="BV55" s="71"/>
      <c r="BW55" s="71"/>
      <c r="BX55" s="71"/>
      <c r="BY55" s="71"/>
      <c r="BZ55" s="71"/>
    </row>
    <row r="56" spans="1:78" ht="14.25" customHeight="1" x14ac:dyDescent="0.25">
      <c r="A56" s="72">
        <v>1</v>
      </c>
      <c r="B56" s="130"/>
      <c r="C56" s="130"/>
      <c r="D56" s="106">
        <v>2</v>
      </c>
      <c r="E56" s="106"/>
      <c r="F56" s="106"/>
      <c r="G56" s="106"/>
      <c r="H56" s="106"/>
      <c r="I56" s="106"/>
      <c r="J56" s="106"/>
      <c r="K56" s="106"/>
      <c r="L56" s="106"/>
      <c r="M56" s="106"/>
      <c r="N56" s="106"/>
      <c r="O56" s="147"/>
      <c r="P56" s="144">
        <v>3</v>
      </c>
      <c r="Q56" s="106"/>
      <c r="R56" s="106"/>
      <c r="S56" s="106">
        <v>4</v>
      </c>
      <c r="T56" s="106"/>
      <c r="U56" s="147"/>
      <c r="V56" s="152">
        <v>5</v>
      </c>
      <c r="W56" s="106"/>
      <c r="X56" s="106"/>
      <c r="Y56" s="106">
        <v>6</v>
      </c>
      <c r="Z56" s="106"/>
      <c r="AA56" s="106"/>
      <c r="AB56" s="106">
        <v>7</v>
      </c>
      <c r="AC56" s="106"/>
      <c r="AD56" s="106"/>
      <c r="AE56" s="106">
        <v>8</v>
      </c>
      <c r="AF56" s="106"/>
      <c r="AG56" s="106"/>
      <c r="AH56" s="106">
        <v>9</v>
      </c>
      <c r="AI56" s="106"/>
      <c r="AJ56" s="106"/>
      <c r="AK56" s="106">
        <v>10</v>
      </c>
      <c r="AL56" s="106"/>
      <c r="AM56" s="106"/>
      <c r="AN56" s="106">
        <v>11</v>
      </c>
      <c r="AO56" s="106"/>
      <c r="AP56" s="147"/>
      <c r="AQ56" s="144">
        <v>12</v>
      </c>
      <c r="AR56" s="106"/>
      <c r="AS56" s="106"/>
      <c r="AT56" s="106">
        <v>13</v>
      </c>
      <c r="AU56" s="106"/>
      <c r="AV56" s="106"/>
      <c r="AW56" s="106">
        <v>14</v>
      </c>
      <c r="AX56" s="106"/>
      <c r="AY56" s="106"/>
      <c r="AZ56" s="106">
        <v>15</v>
      </c>
      <c r="BA56" s="106"/>
      <c r="BB56" s="147"/>
      <c r="BC56" s="144">
        <v>16</v>
      </c>
      <c r="BD56" s="106"/>
      <c r="BE56" s="106"/>
      <c r="BF56" s="106">
        <v>17</v>
      </c>
      <c r="BG56" s="106"/>
      <c r="BH56" s="106"/>
      <c r="BI56" s="106">
        <v>18</v>
      </c>
      <c r="BJ56" s="106"/>
      <c r="BK56" s="106"/>
      <c r="BL56" s="106">
        <v>19</v>
      </c>
      <c r="BM56" s="106"/>
      <c r="BN56" s="147"/>
      <c r="BO56" s="152">
        <v>20</v>
      </c>
      <c r="BP56" s="106"/>
      <c r="BQ56" s="106"/>
      <c r="BR56" s="106"/>
      <c r="BS56" s="71"/>
      <c r="BT56" s="71"/>
      <c r="BU56" s="71"/>
      <c r="BV56" s="71"/>
      <c r="BW56" s="71"/>
      <c r="BX56" s="71"/>
      <c r="BY56" s="71"/>
      <c r="BZ56" s="71"/>
    </row>
    <row r="57" spans="1:78" ht="14.25" customHeight="1" x14ac:dyDescent="0.25">
      <c r="A57" s="72" t="s">
        <v>6</v>
      </c>
      <c r="B57" s="243"/>
      <c r="C57" s="243"/>
      <c r="D57" s="182" t="s">
        <v>111</v>
      </c>
      <c r="E57" s="182"/>
      <c r="F57" s="182"/>
      <c r="G57" s="182"/>
      <c r="H57" s="182"/>
      <c r="I57" s="182"/>
      <c r="J57" s="182"/>
      <c r="K57" s="182"/>
      <c r="L57" s="182"/>
      <c r="M57" s="182"/>
      <c r="N57" s="182"/>
      <c r="O57" s="183"/>
      <c r="P57" s="144">
        <f>SUM(V57+AN57)</f>
        <v>1470</v>
      </c>
      <c r="Q57" s="106"/>
      <c r="R57" s="106"/>
      <c r="S57" s="131">
        <f>P57/3600*100</f>
        <v>40.833333333333336</v>
      </c>
      <c r="T57" s="131"/>
      <c r="U57" s="151"/>
      <c r="V57" s="152">
        <f t="shared" ref="V57" si="5">SUM(AQ57+AT57+AW57+AZ57)*15</f>
        <v>570</v>
      </c>
      <c r="W57" s="106"/>
      <c r="X57" s="106"/>
      <c r="Y57" s="106">
        <f>SUM(Y58:AA67)</f>
        <v>166</v>
      </c>
      <c r="Z57" s="106"/>
      <c r="AA57" s="106"/>
      <c r="AB57" s="106">
        <f>SUM(AB58:AD67)</f>
        <v>182</v>
      </c>
      <c r="AC57" s="106"/>
      <c r="AD57" s="106"/>
      <c r="AE57" s="106">
        <f>SUM(AE58:AG67)</f>
        <v>150</v>
      </c>
      <c r="AF57" s="106"/>
      <c r="AG57" s="106"/>
      <c r="AH57" s="106">
        <f>SUM(AH58:AJ67)</f>
        <v>72</v>
      </c>
      <c r="AI57" s="106"/>
      <c r="AJ57" s="106"/>
      <c r="AK57" s="106">
        <f>SUM(AK58:AM67)</f>
        <v>0</v>
      </c>
      <c r="AL57" s="106"/>
      <c r="AM57" s="106"/>
      <c r="AN57" s="106">
        <f>SUM(AN58:AP67)</f>
        <v>900</v>
      </c>
      <c r="AO57" s="106"/>
      <c r="AP57" s="147"/>
      <c r="AQ57" s="144">
        <f>SUM(AQ58:AS67)</f>
        <v>16</v>
      </c>
      <c r="AR57" s="106"/>
      <c r="AS57" s="106"/>
      <c r="AT57" s="106">
        <f>SUM(AT58:AV67)</f>
        <v>6</v>
      </c>
      <c r="AU57" s="106"/>
      <c r="AV57" s="106"/>
      <c r="AW57" s="106">
        <f>SUM(AW58:AY67)</f>
        <v>10</v>
      </c>
      <c r="AX57" s="106"/>
      <c r="AY57" s="106"/>
      <c r="AZ57" s="106">
        <f>SUM(AZ58:BB67)</f>
        <v>6</v>
      </c>
      <c r="BA57" s="106"/>
      <c r="BB57" s="147"/>
      <c r="BC57" s="144">
        <f>SUM(BC58:BE67)</f>
        <v>22</v>
      </c>
      <c r="BD57" s="106"/>
      <c r="BE57" s="106"/>
      <c r="BF57" s="106">
        <f>SUM(BF58:BH67)</f>
        <v>7</v>
      </c>
      <c r="BG57" s="106"/>
      <c r="BH57" s="106"/>
      <c r="BI57" s="106">
        <f>SUM(BI58:BK67)</f>
        <v>12</v>
      </c>
      <c r="BJ57" s="106"/>
      <c r="BK57" s="106"/>
      <c r="BL57" s="106">
        <f>SUM(BL58:BN67)</f>
        <v>8</v>
      </c>
      <c r="BM57" s="106"/>
      <c r="BN57" s="147"/>
      <c r="BO57" s="148">
        <f>SUM(P57/30)</f>
        <v>49</v>
      </c>
      <c r="BP57" s="105"/>
      <c r="BQ57" s="105"/>
      <c r="BR57" s="105"/>
      <c r="BS57" s="71"/>
      <c r="BT57" s="71"/>
      <c r="BU57" s="71"/>
      <c r="BV57" s="71"/>
      <c r="BW57" s="71"/>
      <c r="BX57" s="71"/>
      <c r="BY57" s="71"/>
      <c r="BZ57" s="71"/>
    </row>
    <row r="58" spans="1:78" ht="14.25" customHeight="1" x14ac:dyDescent="0.25">
      <c r="A58" s="14" t="s">
        <v>7</v>
      </c>
      <c r="B58" s="104" t="s">
        <v>31</v>
      </c>
      <c r="C58" s="104"/>
      <c r="D58" s="149" t="s">
        <v>142</v>
      </c>
      <c r="E58" s="149"/>
      <c r="F58" s="149"/>
      <c r="G58" s="149"/>
      <c r="H58" s="149"/>
      <c r="I58" s="149"/>
      <c r="J58" s="149"/>
      <c r="K58" s="149"/>
      <c r="L58" s="149"/>
      <c r="M58" s="149"/>
      <c r="N58" s="149"/>
      <c r="O58" s="150"/>
      <c r="P58" s="144">
        <f t="shared" ref="P58:P59" si="6">SUM(V58+AN58)</f>
        <v>90</v>
      </c>
      <c r="Q58" s="106"/>
      <c r="R58" s="106"/>
      <c r="S58" s="131"/>
      <c r="T58" s="131"/>
      <c r="U58" s="151"/>
      <c r="V58" s="152">
        <f t="shared" ref="V58:V68" si="7">SUM(AQ58+AT58+AW58+AZ58)*15</f>
        <v>30</v>
      </c>
      <c r="W58" s="106"/>
      <c r="X58" s="106"/>
      <c r="Y58" s="104">
        <v>16</v>
      </c>
      <c r="Z58" s="104"/>
      <c r="AA58" s="104"/>
      <c r="AB58" s="104">
        <v>14</v>
      </c>
      <c r="AC58" s="104"/>
      <c r="AD58" s="104"/>
      <c r="AE58" s="104"/>
      <c r="AF58" s="104"/>
      <c r="AG58" s="104"/>
      <c r="AH58" s="104"/>
      <c r="AI58" s="104"/>
      <c r="AJ58" s="104"/>
      <c r="AK58" s="104"/>
      <c r="AL58" s="104"/>
      <c r="AM58" s="104"/>
      <c r="AN58" s="104">
        <v>60</v>
      </c>
      <c r="AO58" s="104"/>
      <c r="AP58" s="145"/>
      <c r="AQ58" s="146">
        <v>2</v>
      </c>
      <c r="AR58" s="104"/>
      <c r="AS58" s="104"/>
      <c r="AT58" s="104"/>
      <c r="AU58" s="104"/>
      <c r="AV58" s="104"/>
      <c r="AW58" s="104"/>
      <c r="AX58" s="104"/>
      <c r="AY58" s="104"/>
      <c r="AZ58" s="104"/>
      <c r="BA58" s="104"/>
      <c r="BB58" s="145"/>
      <c r="BC58" s="146">
        <v>3</v>
      </c>
      <c r="BD58" s="104"/>
      <c r="BE58" s="104"/>
      <c r="BF58" s="104"/>
      <c r="BG58" s="104"/>
      <c r="BH58" s="104"/>
      <c r="BI58" s="104"/>
      <c r="BJ58" s="104"/>
      <c r="BK58" s="104"/>
      <c r="BL58" s="104"/>
      <c r="BM58" s="104"/>
      <c r="BN58" s="145"/>
      <c r="BO58" s="148">
        <f t="shared" ref="BO58:BO59" si="8">SUM(P58/30)</f>
        <v>3</v>
      </c>
      <c r="BP58" s="105"/>
      <c r="BQ58" s="105"/>
      <c r="BR58" s="105"/>
      <c r="BS58" s="71">
        <f>SUM(V58/P58)*100</f>
        <v>33.333333333333329</v>
      </c>
      <c r="BT58" s="71">
        <f>SUM(AN58/P58)*100</f>
        <v>66.666666666666657</v>
      </c>
      <c r="BU58" s="71">
        <f>SUM(Y58:AJ58)</f>
        <v>30</v>
      </c>
      <c r="BV58" s="15">
        <f>IF(BU58=V58,1,0)</f>
        <v>1</v>
      </c>
      <c r="BW58" s="15" t="str">
        <f>IF(BV58=1,"тўғри","хато")</f>
        <v>тўғри</v>
      </c>
      <c r="BX58" s="71">
        <f>SUM(BC58:BN58)</f>
        <v>3</v>
      </c>
      <c r="BY58" s="15">
        <f>IF(BX58=BO58,1,0)</f>
        <v>1</v>
      </c>
      <c r="BZ58" s="15" t="str">
        <f>IF(BY58=1,"тўғри","хато")</f>
        <v>тўғри</v>
      </c>
    </row>
    <row r="59" spans="1:78" ht="14.25" customHeight="1" x14ac:dyDescent="0.25">
      <c r="A59" s="14" t="s">
        <v>8</v>
      </c>
      <c r="B59" s="104" t="s">
        <v>213</v>
      </c>
      <c r="C59" s="104"/>
      <c r="D59" s="149" t="s">
        <v>143</v>
      </c>
      <c r="E59" s="149"/>
      <c r="F59" s="149"/>
      <c r="G59" s="149"/>
      <c r="H59" s="149"/>
      <c r="I59" s="149"/>
      <c r="J59" s="149"/>
      <c r="K59" s="149"/>
      <c r="L59" s="149"/>
      <c r="M59" s="149"/>
      <c r="N59" s="149"/>
      <c r="O59" s="150"/>
      <c r="P59" s="144">
        <f t="shared" si="6"/>
        <v>90</v>
      </c>
      <c r="Q59" s="106"/>
      <c r="R59" s="106"/>
      <c r="S59" s="131"/>
      <c r="T59" s="131"/>
      <c r="U59" s="151"/>
      <c r="V59" s="152">
        <f t="shared" si="7"/>
        <v>30</v>
      </c>
      <c r="W59" s="106"/>
      <c r="X59" s="106"/>
      <c r="Y59" s="104">
        <v>16</v>
      </c>
      <c r="Z59" s="104"/>
      <c r="AA59" s="104"/>
      <c r="AB59" s="104">
        <v>14</v>
      </c>
      <c r="AC59" s="104"/>
      <c r="AD59" s="104"/>
      <c r="AE59" s="104"/>
      <c r="AF59" s="104"/>
      <c r="AG59" s="104"/>
      <c r="AH59" s="104"/>
      <c r="AI59" s="104"/>
      <c r="AJ59" s="104"/>
      <c r="AK59" s="104"/>
      <c r="AL59" s="104"/>
      <c r="AM59" s="104"/>
      <c r="AN59" s="104">
        <v>60</v>
      </c>
      <c r="AO59" s="104"/>
      <c r="AP59" s="145"/>
      <c r="AQ59" s="146"/>
      <c r="AR59" s="104"/>
      <c r="AS59" s="104"/>
      <c r="AT59" s="104"/>
      <c r="AU59" s="104"/>
      <c r="AV59" s="104"/>
      <c r="AW59" s="104">
        <v>2</v>
      </c>
      <c r="AX59" s="104"/>
      <c r="AY59" s="104"/>
      <c r="AZ59" s="104"/>
      <c r="BA59" s="104"/>
      <c r="BB59" s="145"/>
      <c r="BC59" s="146"/>
      <c r="BD59" s="104"/>
      <c r="BE59" s="104"/>
      <c r="BF59" s="104"/>
      <c r="BG59" s="104"/>
      <c r="BH59" s="104"/>
      <c r="BI59" s="104">
        <v>3</v>
      </c>
      <c r="BJ59" s="104"/>
      <c r="BK59" s="104"/>
      <c r="BL59" s="104"/>
      <c r="BM59" s="104"/>
      <c r="BN59" s="145"/>
      <c r="BO59" s="148">
        <f t="shared" si="8"/>
        <v>3</v>
      </c>
      <c r="BP59" s="105"/>
      <c r="BQ59" s="105"/>
      <c r="BR59" s="105"/>
      <c r="BS59" s="71">
        <f t="shared" ref="BS59" si="9">SUM(V59/P59)*100</f>
        <v>33.333333333333329</v>
      </c>
      <c r="BT59" s="71">
        <f t="shared" ref="BT59" si="10">SUM(AN59/P59)*100</f>
        <v>66.666666666666657</v>
      </c>
      <c r="BU59" s="71">
        <f t="shared" ref="BU59" si="11">SUM(Y59:AJ59)</f>
        <v>30</v>
      </c>
      <c r="BV59" s="15">
        <f t="shared" ref="BV59" si="12">IF(BU59=V59,1,0)</f>
        <v>1</v>
      </c>
      <c r="BW59" s="15" t="str">
        <f t="shared" ref="BW59" si="13">IF(BV59=1,"тўғри","хато")</f>
        <v>тўғри</v>
      </c>
      <c r="BX59" s="71">
        <f t="shared" ref="BX59" si="14">SUM(BC59:BN59)</f>
        <v>3</v>
      </c>
      <c r="BY59" s="15">
        <f t="shared" ref="BY59" si="15">IF(BX59=BO59,1,0)</f>
        <v>1</v>
      </c>
      <c r="BZ59" s="15" t="str">
        <f t="shared" ref="BZ59" si="16">IF(BY59=1,"тўғри","хато")</f>
        <v>тўғри</v>
      </c>
    </row>
    <row r="60" spans="1:78" ht="14.25" customHeight="1" x14ac:dyDescent="0.25">
      <c r="A60" s="14" t="s">
        <v>23</v>
      </c>
      <c r="B60" s="241" t="s">
        <v>36</v>
      </c>
      <c r="C60" s="242"/>
      <c r="D60" s="149" t="s">
        <v>150</v>
      </c>
      <c r="E60" s="149"/>
      <c r="F60" s="149"/>
      <c r="G60" s="149"/>
      <c r="H60" s="149"/>
      <c r="I60" s="149"/>
      <c r="J60" s="149"/>
      <c r="K60" s="149"/>
      <c r="L60" s="149"/>
      <c r="M60" s="149"/>
      <c r="N60" s="149"/>
      <c r="O60" s="150"/>
      <c r="P60" s="144">
        <f t="shared" ref="P60:P63" si="17">SUM(V60+AN60)</f>
        <v>300</v>
      </c>
      <c r="Q60" s="106"/>
      <c r="R60" s="106"/>
      <c r="S60" s="131"/>
      <c r="T60" s="131"/>
      <c r="U60" s="151"/>
      <c r="V60" s="152">
        <f t="shared" si="7"/>
        <v>120</v>
      </c>
      <c r="W60" s="106"/>
      <c r="X60" s="106"/>
      <c r="Y60" s="104"/>
      <c r="Z60" s="104"/>
      <c r="AA60" s="104"/>
      <c r="AB60" s="104"/>
      <c r="AC60" s="104"/>
      <c r="AD60" s="104"/>
      <c r="AE60" s="104">
        <v>120</v>
      </c>
      <c r="AF60" s="104"/>
      <c r="AG60" s="104"/>
      <c r="AH60" s="104"/>
      <c r="AI60" s="104"/>
      <c r="AJ60" s="104"/>
      <c r="AK60" s="104"/>
      <c r="AL60" s="104"/>
      <c r="AM60" s="104"/>
      <c r="AN60" s="104">
        <v>180</v>
      </c>
      <c r="AO60" s="104"/>
      <c r="AP60" s="145"/>
      <c r="AQ60" s="146">
        <v>2</v>
      </c>
      <c r="AR60" s="104"/>
      <c r="AS60" s="104"/>
      <c r="AT60" s="104">
        <v>2</v>
      </c>
      <c r="AU60" s="104"/>
      <c r="AV60" s="104"/>
      <c r="AW60" s="104">
        <v>2</v>
      </c>
      <c r="AX60" s="104"/>
      <c r="AY60" s="104"/>
      <c r="AZ60" s="104">
        <v>2</v>
      </c>
      <c r="BA60" s="104"/>
      <c r="BB60" s="145"/>
      <c r="BC60" s="146">
        <v>3</v>
      </c>
      <c r="BD60" s="104"/>
      <c r="BE60" s="104"/>
      <c r="BF60" s="104">
        <v>3</v>
      </c>
      <c r="BG60" s="104"/>
      <c r="BH60" s="104"/>
      <c r="BI60" s="104">
        <v>2</v>
      </c>
      <c r="BJ60" s="104"/>
      <c r="BK60" s="104"/>
      <c r="BL60" s="104">
        <v>2</v>
      </c>
      <c r="BM60" s="104"/>
      <c r="BN60" s="145"/>
      <c r="BO60" s="148">
        <f t="shared" ref="BO60:BO77" si="18">SUM(P60/30)</f>
        <v>10</v>
      </c>
      <c r="BP60" s="105"/>
      <c r="BQ60" s="105"/>
      <c r="BR60" s="105"/>
      <c r="BS60" s="71">
        <f t="shared" ref="BS60:BS83" si="19">SUM(V60/P60)*100</f>
        <v>40</v>
      </c>
      <c r="BT60" s="71">
        <f t="shared" ref="BT60:BT83" si="20">SUM(AN60/P60)*100</f>
        <v>60</v>
      </c>
      <c r="BU60" s="71">
        <f t="shared" ref="BU60:BU78" si="21">SUM(Y60:AJ60)</f>
        <v>120</v>
      </c>
      <c r="BV60" s="15">
        <f t="shared" ref="BV60:BV78" si="22">IF(BU60=V60,1,0)</f>
        <v>1</v>
      </c>
      <c r="BW60" s="15" t="str">
        <f t="shared" ref="BW60:BW78" si="23">IF(BV60=1,"тўғри","хато")</f>
        <v>тўғри</v>
      </c>
      <c r="BX60" s="71">
        <f t="shared" ref="BX60:BX83" si="24">SUM(BC60:BN60)</f>
        <v>10</v>
      </c>
      <c r="BY60" s="15">
        <f t="shared" ref="BY60:BY83" si="25">IF(BX60=BO60,1,0)</f>
        <v>1</v>
      </c>
      <c r="BZ60" s="15" t="str">
        <f t="shared" ref="BZ60:BZ83" si="26">IF(BY60=1,"тўғри","хато")</f>
        <v>тўғри</v>
      </c>
    </row>
    <row r="61" spans="1:78" ht="14.25" customHeight="1" x14ac:dyDescent="0.25">
      <c r="A61" s="14" t="s">
        <v>24</v>
      </c>
      <c r="B61" s="241" t="s">
        <v>53</v>
      </c>
      <c r="C61" s="242"/>
      <c r="D61" s="149" t="s">
        <v>151</v>
      </c>
      <c r="E61" s="149"/>
      <c r="F61" s="149"/>
      <c r="G61" s="149"/>
      <c r="H61" s="149"/>
      <c r="I61" s="149"/>
      <c r="J61" s="149"/>
      <c r="K61" s="149"/>
      <c r="L61" s="149"/>
      <c r="M61" s="149"/>
      <c r="N61" s="149"/>
      <c r="O61" s="150"/>
      <c r="P61" s="144">
        <f t="shared" si="17"/>
        <v>150</v>
      </c>
      <c r="Q61" s="106"/>
      <c r="R61" s="106"/>
      <c r="S61" s="131"/>
      <c r="T61" s="131"/>
      <c r="U61" s="151"/>
      <c r="V61" s="152">
        <f t="shared" si="7"/>
        <v>60</v>
      </c>
      <c r="W61" s="106"/>
      <c r="X61" s="106"/>
      <c r="Y61" s="104">
        <v>20</v>
      </c>
      <c r="Z61" s="104"/>
      <c r="AA61" s="104"/>
      <c r="AB61" s="104">
        <v>20</v>
      </c>
      <c r="AC61" s="104"/>
      <c r="AD61" s="104"/>
      <c r="AE61" s="104">
        <v>10</v>
      </c>
      <c r="AF61" s="104"/>
      <c r="AG61" s="104"/>
      <c r="AH61" s="104">
        <v>10</v>
      </c>
      <c r="AI61" s="104"/>
      <c r="AJ61" s="104"/>
      <c r="AK61" s="104"/>
      <c r="AL61" s="104"/>
      <c r="AM61" s="104"/>
      <c r="AN61" s="104">
        <v>90</v>
      </c>
      <c r="AO61" s="104"/>
      <c r="AP61" s="145"/>
      <c r="AQ61" s="146">
        <v>2</v>
      </c>
      <c r="AR61" s="104"/>
      <c r="AS61" s="104"/>
      <c r="AT61" s="104">
        <v>2</v>
      </c>
      <c r="AU61" s="104"/>
      <c r="AV61" s="104"/>
      <c r="AW61" s="104"/>
      <c r="AX61" s="104"/>
      <c r="AY61" s="104"/>
      <c r="AZ61" s="104"/>
      <c r="BA61" s="104"/>
      <c r="BB61" s="145"/>
      <c r="BC61" s="146">
        <v>3</v>
      </c>
      <c r="BD61" s="104"/>
      <c r="BE61" s="104"/>
      <c r="BF61" s="104">
        <v>2</v>
      </c>
      <c r="BG61" s="104"/>
      <c r="BH61" s="104"/>
      <c r="BI61" s="104"/>
      <c r="BJ61" s="104"/>
      <c r="BK61" s="104"/>
      <c r="BL61" s="104"/>
      <c r="BM61" s="104"/>
      <c r="BN61" s="145"/>
      <c r="BO61" s="148">
        <f t="shared" si="18"/>
        <v>5</v>
      </c>
      <c r="BP61" s="105"/>
      <c r="BQ61" s="105"/>
      <c r="BR61" s="105"/>
      <c r="BS61" s="71">
        <f t="shared" si="19"/>
        <v>40</v>
      </c>
      <c r="BT61" s="71">
        <f t="shared" si="20"/>
        <v>60</v>
      </c>
      <c r="BU61" s="71">
        <f t="shared" si="21"/>
        <v>60</v>
      </c>
      <c r="BV61" s="15">
        <f t="shared" si="22"/>
        <v>1</v>
      </c>
      <c r="BW61" s="15" t="str">
        <f t="shared" si="23"/>
        <v>тўғри</v>
      </c>
      <c r="BX61" s="71">
        <f t="shared" si="24"/>
        <v>5</v>
      </c>
      <c r="BY61" s="15">
        <f t="shared" si="25"/>
        <v>1</v>
      </c>
      <c r="BZ61" s="15" t="str">
        <f t="shared" si="26"/>
        <v>тўғри</v>
      </c>
    </row>
    <row r="62" spans="1:78" ht="14.25" customHeight="1" x14ac:dyDescent="0.25">
      <c r="A62" s="14" t="s">
        <v>25</v>
      </c>
      <c r="B62" s="104" t="s">
        <v>219</v>
      </c>
      <c r="C62" s="104"/>
      <c r="D62" s="149" t="s">
        <v>152</v>
      </c>
      <c r="E62" s="149"/>
      <c r="F62" s="149"/>
      <c r="G62" s="149"/>
      <c r="H62" s="149"/>
      <c r="I62" s="149"/>
      <c r="J62" s="149"/>
      <c r="K62" s="149"/>
      <c r="L62" s="149"/>
      <c r="M62" s="149"/>
      <c r="N62" s="149"/>
      <c r="O62" s="150"/>
      <c r="P62" s="144">
        <f t="shared" si="17"/>
        <v>150</v>
      </c>
      <c r="Q62" s="106"/>
      <c r="R62" s="106"/>
      <c r="S62" s="131"/>
      <c r="T62" s="131"/>
      <c r="U62" s="151"/>
      <c r="V62" s="152">
        <f t="shared" si="7"/>
        <v>60</v>
      </c>
      <c r="W62" s="106"/>
      <c r="X62" s="106"/>
      <c r="Y62" s="104">
        <v>20</v>
      </c>
      <c r="Z62" s="104"/>
      <c r="AA62" s="104"/>
      <c r="AB62" s="104">
        <v>20</v>
      </c>
      <c r="AC62" s="104"/>
      <c r="AD62" s="104"/>
      <c r="AE62" s="104">
        <v>10</v>
      </c>
      <c r="AF62" s="104"/>
      <c r="AG62" s="104"/>
      <c r="AH62" s="104">
        <v>10</v>
      </c>
      <c r="AI62" s="104"/>
      <c r="AJ62" s="104"/>
      <c r="AK62" s="106"/>
      <c r="AL62" s="106"/>
      <c r="AM62" s="106"/>
      <c r="AN62" s="104">
        <v>90</v>
      </c>
      <c r="AO62" s="104"/>
      <c r="AP62" s="145"/>
      <c r="AQ62" s="146"/>
      <c r="AR62" s="104"/>
      <c r="AS62" s="104"/>
      <c r="AT62" s="104"/>
      <c r="AU62" s="104"/>
      <c r="AV62" s="104"/>
      <c r="AW62" s="104">
        <v>2</v>
      </c>
      <c r="AX62" s="104"/>
      <c r="AY62" s="104"/>
      <c r="AZ62" s="104">
        <v>2</v>
      </c>
      <c r="BA62" s="104"/>
      <c r="BB62" s="145"/>
      <c r="BC62" s="146"/>
      <c r="BD62" s="104"/>
      <c r="BE62" s="104"/>
      <c r="BF62" s="104"/>
      <c r="BG62" s="104"/>
      <c r="BH62" s="104"/>
      <c r="BI62" s="104">
        <v>2</v>
      </c>
      <c r="BJ62" s="104"/>
      <c r="BK62" s="104"/>
      <c r="BL62" s="104">
        <v>3</v>
      </c>
      <c r="BM62" s="104"/>
      <c r="BN62" s="145"/>
      <c r="BO62" s="148">
        <f t="shared" si="18"/>
        <v>5</v>
      </c>
      <c r="BP62" s="105"/>
      <c r="BQ62" s="105"/>
      <c r="BR62" s="105"/>
      <c r="BS62" s="71">
        <f t="shared" si="19"/>
        <v>40</v>
      </c>
      <c r="BT62" s="71">
        <f t="shared" si="20"/>
        <v>60</v>
      </c>
      <c r="BU62" s="71">
        <f t="shared" si="21"/>
        <v>60</v>
      </c>
      <c r="BV62" s="15">
        <f t="shared" si="22"/>
        <v>1</v>
      </c>
      <c r="BW62" s="15" t="str">
        <f t="shared" si="23"/>
        <v>тўғри</v>
      </c>
      <c r="BX62" s="71">
        <f t="shared" si="24"/>
        <v>5</v>
      </c>
      <c r="BY62" s="15">
        <f t="shared" si="25"/>
        <v>1</v>
      </c>
      <c r="BZ62" s="15" t="str">
        <f t="shared" si="26"/>
        <v>тўғри</v>
      </c>
    </row>
    <row r="63" spans="1:78" ht="14.25" customHeight="1" x14ac:dyDescent="0.25">
      <c r="A63" s="14" t="s">
        <v>26</v>
      </c>
      <c r="B63" s="104" t="s">
        <v>218</v>
      </c>
      <c r="C63" s="104"/>
      <c r="D63" s="149" t="s">
        <v>153</v>
      </c>
      <c r="E63" s="149"/>
      <c r="F63" s="149"/>
      <c r="G63" s="149"/>
      <c r="H63" s="149"/>
      <c r="I63" s="149"/>
      <c r="J63" s="149"/>
      <c r="K63" s="149"/>
      <c r="L63" s="149"/>
      <c r="M63" s="149"/>
      <c r="N63" s="149"/>
      <c r="O63" s="150"/>
      <c r="P63" s="144">
        <f t="shared" si="17"/>
        <v>150</v>
      </c>
      <c r="Q63" s="106"/>
      <c r="R63" s="106"/>
      <c r="S63" s="131"/>
      <c r="T63" s="131"/>
      <c r="U63" s="151"/>
      <c r="V63" s="152">
        <f t="shared" si="7"/>
        <v>60</v>
      </c>
      <c r="W63" s="106"/>
      <c r="X63" s="106"/>
      <c r="Y63" s="104">
        <v>20</v>
      </c>
      <c r="Z63" s="104"/>
      <c r="AA63" s="104"/>
      <c r="AB63" s="104">
        <v>20</v>
      </c>
      <c r="AC63" s="104"/>
      <c r="AD63" s="104"/>
      <c r="AE63" s="104">
        <v>10</v>
      </c>
      <c r="AF63" s="104"/>
      <c r="AG63" s="104"/>
      <c r="AH63" s="104">
        <v>10</v>
      </c>
      <c r="AI63" s="104"/>
      <c r="AJ63" s="104"/>
      <c r="AK63" s="106"/>
      <c r="AL63" s="106"/>
      <c r="AM63" s="106"/>
      <c r="AN63" s="104">
        <v>90</v>
      </c>
      <c r="AO63" s="104"/>
      <c r="AP63" s="145"/>
      <c r="AQ63" s="146"/>
      <c r="AR63" s="104"/>
      <c r="AS63" s="104"/>
      <c r="AT63" s="104"/>
      <c r="AU63" s="104"/>
      <c r="AV63" s="104"/>
      <c r="AW63" s="104">
        <v>2</v>
      </c>
      <c r="AX63" s="104"/>
      <c r="AY63" s="104"/>
      <c r="AZ63" s="104">
        <v>2</v>
      </c>
      <c r="BA63" s="104"/>
      <c r="BB63" s="145"/>
      <c r="BC63" s="146"/>
      <c r="BD63" s="104"/>
      <c r="BE63" s="104"/>
      <c r="BF63" s="104"/>
      <c r="BG63" s="104"/>
      <c r="BH63" s="104"/>
      <c r="BI63" s="104">
        <v>2</v>
      </c>
      <c r="BJ63" s="104"/>
      <c r="BK63" s="104"/>
      <c r="BL63" s="104">
        <v>3</v>
      </c>
      <c r="BM63" s="104"/>
      <c r="BN63" s="145"/>
      <c r="BO63" s="148">
        <f t="shared" si="18"/>
        <v>5</v>
      </c>
      <c r="BP63" s="105"/>
      <c r="BQ63" s="105"/>
      <c r="BR63" s="105"/>
      <c r="BS63" s="71">
        <f t="shared" si="19"/>
        <v>40</v>
      </c>
      <c r="BT63" s="71">
        <f t="shared" si="20"/>
        <v>60</v>
      </c>
      <c r="BU63" s="71">
        <f t="shared" si="21"/>
        <v>60</v>
      </c>
      <c r="BV63" s="15">
        <f t="shared" si="22"/>
        <v>1</v>
      </c>
      <c r="BW63" s="15" t="str">
        <f t="shared" si="23"/>
        <v>тўғри</v>
      </c>
      <c r="BX63" s="71">
        <f t="shared" si="24"/>
        <v>5</v>
      </c>
      <c r="BY63" s="15">
        <f t="shared" si="25"/>
        <v>1</v>
      </c>
      <c r="BZ63" s="15" t="str">
        <f t="shared" si="26"/>
        <v>тўғри</v>
      </c>
    </row>
    <row r="64" spans="1:78" ht="14.25" customHeight="1" x14ac:dyDescent="0.25">
      <c r="A64" s="14" t="s">
        <v>27</v>
      </c>
      <c r="B64" s="104" t="s">
        <v>55</v>
      </c>
      <c r="C64" s="104"/>
      <c r="D64" s="149" t="s">
        <v>154</v>
      </c>
      <c r="E64" s="149"/>
      <c r="F64" s="149"/>
      <c r="G64" s="149"/>
      <c r="H64" s="149"/>
      <c r="I64" s="149"/>
      <c r="J64" s="149"/>
      <c r="K64" s="149"/>
      <c r="L64" s="149"/>
      <c r="M64" s="149"/>
      <c r="N64" s="149"/>
      <c r="O64" s="150"/>
      <c r="P64" s="144">
        <f>SUM(V64+AN64)</f>
        <v>90</v>
      </c>
      <c r="Q64" s="106"/>
      <c r="R64" s="106"/>
      <c r="S64" s="131"/>
      <c r="T64" s="131"/>
      <c r="U64" s="151"/>
      <c r="V64" s="152">
        <f t="shared" si="7"/>
        <v>30</v>
      </c>
      <c r="W64" s="106"/>
      <c r="X64" s="106"/>
      <c r="Y64" s="104">
        <v>10</v>
      </c>
      <c r="Z64" s="104"/>
      <c r="AA64" s="104"/>
      <c r="AB64" s="104">
        <v>10</v>
      </c>
      <c r="AC64" s="104"/>
      <c r="AD64" s="104"/>
      <c r="AE64" s="104"/>
      <c r="AF64" s="104"/>
      <c r="AG64" s="104"/>
      <c r="AH64" s="104">
        <v>10</v>
      </c>
      <c r="AI64" s="104"/>
      <c r="AJ64" s="104"/>
      <c r="AK64" s="106"/>
      <c r="AL64" s="106"/>
      <c r="AM64" s="106"/>
      <c r="AN64" s="104">
        <v>60</v>
      </c>
      <c r="AO64" s="104"/>
      <c r="AP64" s="145"/>
      <c r="AQ64" s="146"/>
      <c r="AR64" s="104"/>
      <c r="AS64" s="104"/>
      <c r="AT64" s="104"/>
      <c r="AU64" s="104"/>
      <c r="AV64" s="104"/>
      <c r="AW64" s="104">
        <v>2</v>
      </c>
      <c r="AX64" s="104"/>
      <c r="AY64" s="104"/>
      <c r="AZ64" s="104"/>
      <c r="BA64" s="104"/>
      <c r="BB64" s="145"/>
      <c r="BC64" s="146"/>
      <c r="BD64" s="104"/>
      <c r="BE64" s="104"/>
      <c r="BF64" s="104"/>
      <c r="BG64" s="104"/>
      <c r="BH64" s="104"/>
      <c r="BI64" s="104">
        <v>3</v>
      </c>
      <c r="BJ64" s="104"/>
      <c r="BK64" s="104"/>
      <c r="BL64" s="104"/>
      <c r="BM64" s="104"/>
      <c r="BN64" s="145"/>
      <c r="BO64" s="148">
        <f t="shared" si="18"/>
        <v>3</v>
      </c>
      <c r="BP64" s="105"/>
      <c r="BQ64" s="105"/>
      <c r="BR64" s="105"/>
      <c r="BS64" s="71">
        <f t="shared" si="19"/>
        <v>33.333333333333329</v>
      </c>
      <c r="BT64" s="71">
        <f t="shared" si="20"/>
        <v>66.666666666666657</v>
      </c>
      <c r="BU64" s="71">
        <f t="shared" si="21"/>
        <v>30</v>
      </c>
      <c r="BV64" s="15">
        <f t="shared" si="22"/>
        <v>1</v>
      </c>
      <c r="BW64" s="15" t="str">
        <f t="shared" si="23"/>
        <v>тўғри</v>
      </c>
      <c r="BX64" s="71">
        <f t="shared" si="24"/>
        <v>3</v>
      </c>
      <c r="BY64" s="15">
        <f t="shared" si="25"/>
        <v>1</v>
      </c>
      <c r="BZ64" s="15" t="str">
        <f t="shared" si="26"/>
        <v>тўғри</v>
      </c>
    </row>
    <row r="65" spans="1:78" ht="14.25" customHeight="1" x14ac:dyDescent="0.25">
      <c r="A65" s="14" t="s">
        <v>28</v>
      </c>
      <c r="B65" s="104" t="s">
        <v>54</v>
      </c>
      <c r="C65" s="104"/>
      <c r="D65" s="239" t="s">
        <v>155</v>
      </c>
      <c r="E65" s="239"/>
      <c r="F65" s="239"/>
      <c r="G65" s="239"/>
      <c r="H65" s="239"/>
      <c r="I65" s="239"/>
      <c r="J65" s="239"/>
      <c r="K65" s="239"/>
      <c r="L65" s="239"/>
      <c r="M65" s="239"/>
      <c r="N65" s="239"/>
      <c r="O65" s="240"/>
      <c r="P65" s="144">
        <f t="shared" ref="P65" si="27">SUM(V65+AN65)</f>
        <v>150</v>
      </c>
      <c r="Q65" s="106"/>
      <c r="R65" s="106"/>
      <c r="S65" s="127"/>
      <c r="T65" s="127"/>
      <c r="U65" s="208"/>
      <c r="V65" s="152">
        <f t="shared" si="7"/>
        <v>60</v>
      </c>
      <c r="W65" s="106"/>
      <c r="X65" s="106"/>
      <c r="Y65" s="104"/>
      <c r="Z65" s="104"/>
      <c r="AA65" s="104"/>
      <c r="AB65" s="104">
        <v>60</v>
      </c>
      <c r="AC65" s="104"/>
      <c r="AD65" s="104"/>
      <c r="AE65" s="104"/>
      <c r="AF65" s="104"/>
      <c r="AG65" s="104"/>
      <c r="AH65" s="104"/>
      <c r="AI65" s="104"/>
      <c r="AJ65" s="104"/>
      <c r="AK65" s="130"/>
      <c r="AL65" s="130"/>
      <c r="AM65" s="130"/>
      <c r="AN65" s="104">
        <v>90</v>
      </c>
      <c r="AO65" s="104"/>
      <c r="AP65" s="145"/>
      <c r="AQ65" s="146">
        <v>4</v>
      </c>
      <c r="AR65" s="104"/>
      <c r="AS65" s="104"/>
      <c r="AT65" s="104"/>
      <c r="AU65" s="104"/>
      <c r="AV65" s="104"/>
      <c r="AW65" s="104"/>
      <c r="AX65" s="104"/>
      <c r="AY65" s="104"/>
      <c r="AZ65" s="104"/>
      <c r="BA65" s="104"/>
      <c r="BB65" s="145"/>
      <c r="BC65" s="146">
        <v>5</v>
      </c>
      <c r="BD65" s="104"/>
      <c r="BE65" s="104"/>
      <c r="BF65" s="104"/>
      <c r="BG65" s="104"/>
      <c r="BH65" s="104"/>
      <c r="BI65" s="104"/>
      <c r="BJ65" s="104"/>
      <c r="BK65" s="104"/>
      <c r="BL65" s="104"/>
      <c r="BM65" s="104"/>
      <c r="BN65" s="145"/>
      <c r="BO65" s="148">
        <f t="shared" si="18"/>
        <v>5</v>
      </c>
      <c r="BP65" s="105"/>
      <c r="BQ65" s="105"/>
      <c r="BR65" s="105"/>
      <c r="BS65" s="71">
        <f t="shared" si="19"/>
        <v>40</v>
      </c>
      <c r="BT65" s="71">
        <f t="shared" si="20"/>
        <v>60</v>
      </c>
      <c r="BU65" s="71">
        <f t="shared" si="21"/>
        <v>60</v>
      </c>
      <c r="BV65" s="15">
        <f t="shared" si="22"/>
        <v>1</v>
      </c>
      <c r="BW65" s="15" t="str">
        <f t="shared" si="23"/>
        <v>тўғри</v>
      </c>
      <c r="BX65" s="71">
        <f t="shared" si="24"/>
        <v>5</v>
      </c>
      <c r="BY65" s="15">
        <f t="shared" si="25"/>
        <v>1</v>
      </c>
      <c r="BZ65" s="15" t="str">
        <f t="shared" si="26"/>
        <v>тўғри</v>
      </c>
    </row>
    <row r="66" spans="1:78" ht="14.25" customHeight="1" x14ac:dyDescent="0.25">
      <c r="A66" s="14" t="s">
        <v>29</v>
      </c>
      <c r="B66" s="104" t="s">
        <v>48</v>
      </c>
      <c r="C66" s="104"/>
      <c r="D66" s="149" t="s">
        <v>156</v>
      </c>
      <c r="E66" s="149"/>
      <c r="F66" s="149"/>
      <c r="G66" s="149"/>
      <c r="H66" s="149"/>
      <c r="I66" s="149"/>
      <c r="J66" s="149"/>
      <c r="K66" s="149"/>
      <c r="L66" s="149"/>
      <c r="M66" s="149"/>
      <c r="N66" s="149"/>
      <c r="O66" s="150"/>
      <c r="P66" s="144">
        <f>SUM(V66+AN66)</f>
        <v>150</v>
      </c>
      <c r="Q66" s="106"/>
      <c r="R66" s="106"/>
      <c r="S66" s="131"/>
      <c r="T66" s="131"/>
      <c r="U66" s="151"/>
      <c r="V66" s="152">
        <f t="shared" si="7"/>
        <v>60</v>
      </c>
      <c r="W66" s="106"/>
      <c r="X66" s="106"/>
      <c r="Y66" s="104">
        <v>32</v>
      </c>
      <c r="Z66" s="104"/>
      <c r="AA66" s="104"/>
      <c r="AB66" s="104">
        <v>12</v>
      </c>
      <c r="AC66" s="104"/>
      <c r="AD66" s="104"/>
      <c r="AE66" s="104"/>
      <c r="AF66" s="104"/>
      <c r="AG66" s="104"/>
      <c r="AH66" s="104">
        <v>16</v>
      </c>
      <c r="AI66" s="104"/>
      <c r="AJ66" s="104"/>
      <c r="AK66" s="106"/>
      <c r="AL66" s="106"/>
      <c r="AM66" s="106"/>
      <c r="AN66" s="104">
        <v>90</v>
      </c>
      <c r="AO66" s="104"/>
      <c r="AP66" s="145"/>
      <c r="AQ66" s="146">
        <v>4</v>
      </c>
      <c r="AR66" s="104"/>
      <c r="AS66" s="104"/>
      <c r="AT66" s="104"/>
      <c r="AU66" s="104"/>
      <c r="AV66" s="104"/>
      <c r="AW66" s="104"/>
      <c r="AX66" s="104"/>
      <c r="AY66" s="104"/>
      <c r="AZ66" s="104"/>
      <c r="BA66" s="104"/>
      <c r="BB66" s="145"/>
      <c r="BC66" s="146">
        <v>5</v>
      </c>
      <c r="BD66" s="104"/>
      <c r="BE66" s="104"/>
      <c r="BF66" s="104"/>
      <c r="BG66" s="104"/>
      <c r="BH66" s="104"/>
      <c r="BI66" s="104"/>
      <c r="BJ66" s="104"/>
      <c r="BK66" s="104"/>
      <c r="BL66" s="104"/>
      <c r="BM66" s="104"/>
      <c r="BN66" s="145"/>
      <c r="BO66" s="148">
        <f t="shared" si="18"/>
        <v>5</v>
      </c>
      <c r="BP66" s="105"/>
      <c r="BQ66" s="105"/>
      <c r="BR66" s="105"/>
      <c r="BS66" s="71">
        <f t="shared" ref="BS66:BS77" si="28">SUM(V66/P66)*100</f>
        <v>40</v>
      </c>
      <c r="BT66" s="71">
        <f t="shared" ref="BT66:BT77" si="29">SUM(AN66/P66)*100</f>
        <v>60</v>
      </c>
      <c r="BU66" s="71">
        <f t="shared" ref="BU66:BU77" si="30">SUM(Y66:AJ66)</f>
        <v>60</v>
      </c>
      <c r="BV66" s="15">
        <f t="shared" si="22"/>
        <v>1</v>
      </c>
      <c r="BW66" s="15" t="str">
        <f t="shared" si="23"/>
        <v>тўғри</v>
      </c>
      <c r="BX66" s="71">
        <f t="shared" si="24"/>
        <v>5</v>
      </c>
      <c r="BY66" s="15">
        <f t="shared" si="25"/>
        <v>1</v>
      </c>
      <c r="BZ66" s="15" t="str">
        <f t="shared" si="26"/>
        <v>тўғри</v>
      </c>
    </row>
    <row r="67" spans="1:78" ht="14.25" customHeight="1" x14ac:dyDescent="0.25">
      <c r="A67" s="14" t="s">
        <v>30</v>
      </c>
      <c r="B67" s="104" t="s">
        <v>35</v>
      </c>
      <c r="C67" s="104"/>
      <c r="D67" s="149" t="s">
        <v>157</v>
      </c>
      <c r="E67" s="149"/>
      <c r="F67" s="149"/>
      <c r="G67" s="149"/>
      <c r="H67" s="149"/>
      <c r="I67" s="149"/>
      <c r="J67" s="149"/>
      <c r="K67" s="149"/>
      <c r="L67" s="149"/>
      <c r="M67" s="149"/>
      <c r="N67" s="149"/>
      <c r="O67" s="150"/>
      <c r="P67" s="144">
        <f>SUM(V67+AN67)</f>
        <v>150</v>
      </c>
      <c r="Q67" s="106"/>
      <c r="R67" s="106"/>
      <c r="S67" s="131"/>
      <c r="T67" s="131"/>
      <c r="U67" s="151"/>
      <c r="V67" s="152">
        <f t="shared" si="7"/>
        <v>60</v>
      </c>
      <c r="W67" s="106"/>
      <c r="X67" s="106"/>
      <c r="Y67" s="104">
        <v>32</v>
      </c>
      <c r="Z67" s="104"/>
      <c r="AA67" s="104"/>
      <c r="AB67" s="104">
        <v>12</v>
      </c>
      <c r="AC67" s="104"/>
      <c r="AD67" s="104"/>
      <c r="AE67" s="104"/>
      <c r="AF67" s="104"/>
      <c r="AG67" s="104"/>
      <c r="AH67" s="104">
        <v>16</v>
      </c>
      <c r="AI67" s="104"/>
      <c r="AJ67" s="104"/>
      <c r="AK67" s="106"/>
      <c r="AL67" s="106"/>
      <c r="AM67" s="106"/>
      <c r="AN67" s="104">
        <v>90</v>
      </c>
      <c r="AO67" s="104"/>
      <c r="AP67" s="145"/>
      <c r="AQ67" s="146">
        <v>2</v>
      </c>
      <c r="AR67" s="104"/>
      <c r="AS67" s="104"/>
      <c r="AT67" s="104">
        <v>2</v>
      </c>
      <c r="AU67" s="104"/>
      <c r="AV67" s="104"/>
      <c r="AW67" s="104"/>
      <c r="AX67" s="104"/>
      <c r="AY67" s="104"/>
      <c r="AZ67" s="104"/>
      <c r="BA67" s="104"/>
      <c r="BB67" s="145"/>
      <c r="BC67" s="146">
        <v>3</v>
      </c>
      <c r="BD67" s="104"/>
      <c r="BE67" s="104"/>
      <c r="BF67" s="104">
        <v>2</v>
      </c>
      <c r="BG67" s="104"/>
      <c r="BH67" s="104"/>
      <c r="BI67" s="104"/>
      <c r="BJ67" s="104"/>
      <c r="BK67" s="104"/>
      <c r="BL67" s="104"/>
      <c r="BM67" s="104"/>
      <c r="BN67" s="145"/>
      <c r="BO67" s="148">
        <f t="shared" si="18"/>
        <v>5</v>
      </c>
      <c r="BP67" s="105"/>
      <c r="BQ67" s="105"/>
      <c r="BR67" s="105"/>
      <c r="BS67" s="71">
        <f t="shared" si="28"/>
        <v>40</v>
      </c>
      <c r="BT67" s="71">
        <f t="shared" si="29"/>
        <v>60</v>
      </c>
      <c r="BU67" s="71">
        <f t="shared" si="30"/>
        <v>60</v>
      </c>
      <c r="BV67" s="15">
        <f t="shared" si="22"/>
        <v>1</v>
      </c>
      <c r="BW67" s="15" t="str">
        <f t="shared" si="23"/>
        <v>тўғри</v>
      </c>
      <c r="BX67" s="71">
        <f t="shared" si="24"/>
        <v>5</v>
      </c>
      <c r="BY67" s="15">
        <f t="shared" si="25"/>
        <v>1</v>
      </c>
      <c r="BZ67" s="15" t="str">
        <f t="shared" si="26"/>
        <v>тўғри</v>
      </c>
    </row>
    <row r="68" spans="1:78" ht="14.25" customHeight="1" x14ac:dyDescent="0.25">
      <c r="A68" s="72" t="s">
        <v>9</v>
      </c>
      <c r="B68" s="104"/>
      <c r="C68" s="104"/>
      <c r="D68" s="182" t="s">
        <v>112</v>
      </c>
      <c r="E68" s="182"/>
      <c r="F68" s="182"/>
      <c r="G68" s="182"/>
      <c r="H68" s="182"/>
      <c r="I68" s="182"/>
      <c r="J68" s="182"/>
      <c r="K68" s="182"/>
      <c r="L68" s="182"/>
      <c r="M68" s="182"/>
      <c r="N68" s="182"/>
      <c r="O68" s="183"/>
      <c r="P68" s="144">
        <f t="shared" ref="P68" si="31">SUM(V68+AN68)</f>
        <v>330</v>
      </c>
      <c r="Q68" s="106"/>
      <c r="R68" s="106"/>
      <c r="S68" s="131">
        <f>P68/3600*100</f>
        <v>9.1666666666666661</v>
      </c>
      <c r="T68" s="131"/>
      <c r="U68" s="151"/>
      <c r="V68" s="152">
        <f t="shared" si="7"/>
        <v>120</v>
      </c>
      <c r="W68" s="106"/>
      <c r="X68" s="106"/>
      <c r="Y68" s="106">
        <f>SUM(Y69:AA77)</f>
        <v>10</v>
      </c>
      <c r="Z68" s="106"/>
      <c r="AA68" s="106"/>
      <c r="AB68" s="106">
        <f>SUM(AB69:AD77)</f>
        <v>100</v>
      </c>
      <c r="AC68" s="106"/>
      <c r="AD68" s="106"/>
      <c r="AE68" s="106">
        <f>SUM(AE69:AG77)</f>
        <v>0</v>
      </c>
      <c r="AF68" s="106"/>
      <c r="AG68" s="106"/>
      <c r="AH68" s="106">
        <f>SUM(AH69:AJ77)</f>
        <v>10</v>
      </c>
      <c r="AI68" s="106"/>
      <c r="AJ68" s="106"/>
      <c r="AK68" s="106">
        <f>SUM(AK69:AM77)</f>
        <v>0</v>
      </c>
      <c r="AL68" s="106"/>
      <c r="AM68" s="106"/>
      <c r="AN68" s="106">
        <f>SUM(AN69:AP77)</f>
        <v>210</v>
      </c>
      <c r="AO68" s="106"/>
      <c r="AP68" s="147"/>
      <c r="AQ68" s="144">
        <f>SUM(AQ69:AS77)</f>
        <v>2</v>
      </c>
      <c r="AR68" s="106"/>
      <c r="AS68" s="106"/>
      <c r="AT68" s="106">
        <f>SUM(AT69:AV77)</f>
        <v>4</v>
      </c>
      <c r="AU68" s="106"/>
      <c r="AV68" s="106"/>
      <c r="AW68" s="106">
        <f>SUM(AW69:AY77)</f>
        <v>2</v>
      </c>
      <c r="AX68" s="106"/>
      <c r="AY68" s="106"/>
      <c r="AZ68" s="106">
        <f>SUM(AZ69:BB77)</f>
        <v>0</v>
      </c>
      <c r="BA68" s="106"/>
      <c r="BB68" s="147"/>
      <c r="BC68" s="144">
        <f>SUM(BC69:BE77)</f>
        <v>2</v>
      </c>
      <c r="BD68" s="106"/>
      <c r="BE68" s="106"/>
      <c r="BF68" s="106">
        <f>SUM(BF69:BH77)</f>
        <v>6</v>
      </c>
      <c r="BG68" s="106"/>
      <c r="BH68" s="106"/>
      <c r="BI68" s="106">
        <f>SUM(BI69:BK77)</f>
        <v>3</v>
      </c>
      <c r="BJ68" s="106"/>
      <c r="BK68" s="106"/>
      <c r="BL68" s="106">
        <f>SUM(BL69:BN77)</f>
        <v>0</v>
      </c>
      <c r="BM68" s="106"/>
      <c r="BN68" s="147"/>
      <c r="BO68" s="148">
        <f t="shared" si="18"/>
        <v>11</v>
      </c>
      <c r="BP68" s="105"/>
      <c r="BQ68" s="105"/>
      <c r="BR68" s="105"/>
      <c r="BS68" s="71">
        <f t="shared" si="28"/>
        <v>36.363636363636367</v>
      </c>
      <c r="BT68" s="71">
        <f t="shared" si="29"/>
        <v>63.636363636363633</v>
      </c>
      <c r="BU68" s="71">
        <f t="shared" si="30"/>
        <v>120</v>
      </c>
      <c r="BV68" s="15">
        <f t="shared" si="22"/>
        <v>1</v>
      </c>
      <c r="BW68" s="15" t="str">
        <f t="shared" si="23"/>
        <v>тўғри</v>
      </c>
      <c r="BX68" s="71">
        <f t="shared" si="24"/>
        <v>11</v>
      </c>
      <c r="BY68" s="15">
        <f t="shared" si="25"/>
        <v>1</v>
      </c>
      <c r="BZ68" s="15" t="str">
        <f t="shared" si="26"/>
        <v>тўғри</v>
      </c>
    </row>
    <row r="69" spans="1:78" ht="14.25" customHeight="1" x14ac:dyDescent="0.25">
      <c r="A69" s="85" t="s">
        <v>10</v>
      </c>
      <c r="B69" s="104"/>
      <c r="C69" s="104"/>
      <c r="D69" s="178" t="s">
        <v>130</v>
      </c>
      <c r="E69" s="178"/>
      <c r="F69" s="178"/>
      <c r="G69" s="178"/>
      <c r="H69" s="178"/>
      <c r="I69" s="178"/>
      <c r="J69" s="178"/>
      <c r="K69" s="178"/>
      <c r="L69" s="178"/>
      <c r="M69" s="178"/>
      <c r="N69" s="178"/>
      <c r="O69" s="179"/>
      <c r="P69" s="144">
        <f>SUM(V69+AN69)</f>
        <v>90</v>
      </c>
      <c r="Q69" s="106"/>
      <c r="R69" s="106"/>
      <c r="S69" s="131"/>
      <c r="T69" s="131"/>
      <c r="U69" s="151"/>
      <c r="V69" s="152">
        <f t="shared" ref="V69" si="32">SUM(AQ69+AT69+AW69+AZ69)*15</f>
        <v>30</v>
      </c>
      <c r="W69" s="106"/>
      <c r="X69" s="106"/>
      <c r="Y69" s="104"/>
      <c r="Z69" s="104"/>
      <c r="AA69" s="104"/>
      <c r="AB69" s="104">
        <v>30</v>
      </c>
      <c r="AC69" s="104"/>
      <c r="AD69" s="104"/>
      <c r="AE69" s="104"/>
      <c r="AF69" s="104"/>
      <c r="AG69" s="104"/>
      <c r="AH69" s="104"/>
      <c r="AI69" s="104"/>
      <c r="AJ69" s="104"/>
      <c r="AK69" s="104"/>
      <c r="AL69" s="104"/>
      <c r="AM69" s="104"/>
      <c r="AN69" s="104">
        <v>60</v>
      </c>
      <c r="AO69" s="104"/>
      <c r="AP69" s="145"/>
      <c r="AQ69" s="146"/>
      <c r="AR69" s="104"/>
      <c r="AS69" s="104"/>
      <c r="AT69" s="104">
        <v>2</v>
      </c>
      <c r="AU69" s="104"/>
      <c r="AV69" s="104"/>
      <c r="AW69" s="104"/>
      <c r="AX69" s="104"/>
      <c r="AY69" s="104"/>
      <c r="AZ69" s="104"/>
      <c r="BA69" s="104"/>
      <c r="BB69" s="145"/>
      <c r="BC69" s="146"/>
      <c r="BD69" s="104"/>
      <c r="BE69" s="104"/>
      <c r="BF69" s="104">
        <v>3</v>
      </c>
      <c r="BG69" s="104"/>
      <c r="BH69" s="104"/>
      <c r="BI69" s="104"/>
      <c r="BJ69" s="104"/>
      <c r="BK69" s="104"/>
      <c r="BL69" s="104"/>
      <c r="BM69" s="104"/>
      <c r="BN69" s="145"/>
      <c r="BO69" s="148">
        <f t="shared" si="18"/>
        <v>3</v>
      </c>
      <c r="BP69" s="105"/>
      <c r="BQ69" s="105"/>
      <c r="BR69" s="105"/>
      <c r="BS69" s="71">
        <f t="shared" si="28"/>
        <v>33.333333333333329</v>
      </c>
      <c r="BT69" s="71">
        <f t="shared" si="29"/>
        <v>66.666666666666657</v>
      </c>
      <c r="BU69" s="71">
        <f t="shared" si="30"/>
        <v>30</v>
      </c>
      <c r="BV69" s="15">
        <f t="shared" si="22"/>
        <v>1</v>
      </c>
      <c r="BW69" s="15" t="str">
        <f t="shared" si="23"/>
        <v>тўғри</v>
      </c>
      <c r="BX69" s="71">
        <f t="shared" si="24"/>
        <v>3</v>
      </c>
      <c r="BY69" s="15">
        <f t="shared" si="25"/>
        <v>1</v>
      </c>
      <c r="BZ69" s="15" t="str">
        <f t="shared" si="26"/>
        <v>тўғри</v>
      </c>
    </row>
    <row r="70" spans="1:78" ht="14.25" customHeight="1" x14ac:dyDescent="0.25">
      <c r="A70" s="71">
        <v>1</v>
      </c>
      <c r="B70" s="104" t="s">
        <v>214</v>
      </c>
      <c r="C70" s="104"/>
      <c r="D70" s="149" t="s">
        <v>136</v>
      </c>
      <c r="E70" s="149"/>
      <c r="F70" s="149"/>
      <c r="G70" s="149"/>
      <c r="H70" s="149"/>
      <c r="I70" s="149"/>
      <c r="J70" s="149"/>
      <c r="K70" s="149"/>
      <c r="L70" s="149"/>
      <c r="M70" s="149"/>
      <c r="N70" s="149"/>
      <c r="O70" s="150"/>
      <c r="P70" s="144"/>
      <c r="Q70" s="106"/>
      <c r="R70" s="106"/>
      <c r="S70" s="131"/>
      <c r="T70" s="131"/>
      <c r="U70" s="151"/>
      <c r="V70" s="152"/>
      <c r="W70" s="106"/>
      <c r="X70" s="106"/>
      <c r="Y70" s="104"/>
      <c r="Z70" s="104"/>
      <c r="AA70" s="104"/>
      <c r="AB70" s="104"/>
      <c r="AC70" s="104"/>
      <c r="AD70" s="104"/>
      <c r="AE70" s="104"/>
      <c r="AF70" s="104"/>
      <c r="AG70" s="104"/>
      <c r="AH70" s="104"/>
      <c r="AI70" s="104"/>
      <c r="AJ70" s="104"/>
      <c r="AK70" s="104"/>
      <c r="AL70" s="104"/>
      <c r="AM70" s="104"/>
      <c r="AN70" s="104"/>
      <c r="AO70" s="104"/>
      <c r="AP70" s="145"/>
      <c r="AQ70" s="146"/>
      <c r="AR70" s="104"/>
      <c r="AS70" s="104"/>
      <c r="AT70" s="104"/>
      <c r="AU70" s="104"/>
      <c r="AV70" s="104"/>
      <c r="AW70" s="104"/>
      <c r="AX70" s="104"/>
      <c r="AY70" s="104"/>
      <c r="AZ70" s="104"/>
      <c r="BA70" s="104"/>
      <c r="BB70" s="145"/>
      <c r="BC70" s="146"/>
      <c r="BD70" s="104"/>
      <c r="BE70" s="104"/>
      <c r="BF70" s="104"/>
      <c r="BG70" s="104"/>
      <c r="BH70" s="104"/>
      <c r="BI70" s="104"/>
      <c r="BJ70" s="104"/>
      <c r="BK70" s="104"/>
      <c r="BL70" s="104"/>
      <c r="BM70" s="104"/>
      <c r="BN70" s="145"/>
      <c r="BO70" s="148">
        <f t="shared" si="18"/>
        <v>0</v>
      </c>
      <c r="BP70" s="105"/>
      <c r="BQ70" s="105"/>
      <c r="BR70" s="105"/>
      <c r="BS70" s="71" t="e">
        <f t="shared" si="28"/>
        <v>#DIV/0!</v>
      </c>
      <c r="BT70" s="71" t="e">
        <f t="shared" si="29"/>
        <v>#DIV/0!</v>
      </c>
      <c r="BU70" s="71">
        <f t="shared" si="30"/>
        <v>0</v>
      </c>
      <c r="BV70" s="15">
        <f t="shared" si="22"/>
        <v>1</v>
      </c>
      <c r="BW70" s="15" t="str">
        <f t="shared" si="23"/>
        <v>тўғри</v>
      </c>
      <c r="BX70" s="71">
        <f t="shared" si="24"/>
        <v>0</v>
      </c>
      <c r="BY70" s="15">
        <f t="shared" si="25"/>
        <v>1</v>
      </c>
      <c r="BZ70" s="15" t="str">
        <f t="shared" si="26"/>
        <v>тўғри</v>
      </c>
    </row>
    <row r="71" spans="1:78" ht="14.25" customHeight="1" x14ac:dyDescent="0.25">
      <c r="A71" s="71">
        <v>2</v>
      </c>
      <c r="B71" s="104" t="s">
        <v>215</v>
      </c>
      <c r="C71" s="104"/>
      <c r="D71" s="149" t="s">
        <v>137</v>
      </c>
      <c r="E71" s="149"/>
      <c r="F71" s="149"/>
      <c r="G71" s="149"/>
      <c r="H71" s="149"/>
      <c r="I71" s="149"/>
      <c r="J71" s="149"/>
      <c r="K71" s="149"/>
      <c r="L71" s="149"/>
      <c r="M71" s="149"/>
      <c r="N71" s="149"/>
      <c r="O71" s="150"/>
      <c r="P71" s="144"/>
      <c r="Q71" s="106"/>
      <c r="R71" s="106"/>
      <c r="S71" s="131"/>
      <c r="T71" s="131"/>
      <c r="U71" s="151"/>
      <c r="V71" s="152"/>
      <c r="W71" s="106"/>
      <c r="X71" s="106"/>
      <c r="Y71" s="104"/>
      <c r="Z71" s="104"/>
      <c r="AA71" s="104"/>
      <c r="AB71" s="104"/>
      <c r="AC71" s="104"/>
      <c r="AD71" s="104"/>
      <c r="AE71" s="104"/>
      <c r="AF71" s="104"/>
      <c r="AG71" s="104"/>
      <c r="AH71" s="104"/>
      <c r="AI71" s="104"/>
      <c r="AJ71" s="104"/>
      <c r="AK71" s="104"/>
      <c r="AL71" s="104"/>
      <c r="AM71" s="104"/>
      <c r="AN71" s="104"/>
      <c r="AO71" s="104"/>
      <c r="AP71" s="145"/>
      <c r="AQ71" s="146"/>
      <c r="AR71" s="104"/>
      <c r="AS71" s="104"/>
      <c r="AT71" s="104"/>
      <c r="AU71" s="104"/>
      <c r="AV71" s="104"/>
      <c r="AW71" s="104"/>
      <c r="AX71" s="104"/>
      <c r="AY71" s="104"/>
      <c r="AZ71" s="104"/>
      <c r="BA71" s="104"/>
      <c r="BB71" s="145"/>
      <c r="BC71" s="146"/>
      <c r="BD71" s="104"/>
      <c r="BE71" s="104"/>
      <c r="BF71" s="104"/>
      <c r="BG71" s="104"/>
      <c r="BH71" s="104"/>
      <c r="BI71" s="104"/>
      <c r="BJ71" s="104"/>
      <c r="BK71" s="104"/>
      <c r="BL71" s="104"/>
      <c r="BM71" s="104"/>
      <c r="BN71" s="145"/>
      <c r="BO71" s="148">
        <f t="shared" si="18"/>
        <v>0</v>
      </c>
      <c r="BP71" s="105"/>
      <c r="BQ71" s="105"/>
      <c r="BR71" s="105"/>
      <c r="BS71" s="71" t="e">
        <f t="shared" si="28"/>
        <v>#DIV/0!</v>
      </c>
      <c r="BT71" s="71" t="e">
        <f t="shared" si="29"/>
        <v>#DIV/0!</v>
      </c>
      <c r="BU71" s="71">
        <f t="shared" si="30"/>
        <v>0</v>
      </c>
      <c r="BV71" s="15">
        <f t="shared" si="22"/>
        <v>1</v>
      </c>
      <c r="BW71" s="15" t="str">
        <f t="shared" si="23"/>
        <v>тўғри</v>
      </c>
      <c r="BX71" s="71">
        <f t="shared" si="24"/>
        <v>0</v>
      </c>
      <c r="BY71" s="15">
        <f t="shared" si="25"/>
        <v>1</v>
      </c>
      <c r="BZ71" s="15" t="str">
        <f t="shared" si="26"/>
        <v>тўғри</v>
      </c>
    </row>
    <row r="72" spans="1:78" ht="14.25" customHeight="1" x14ac:dyDescent="0.25">
      <c r="A72" s="85" t="s">
        <v>11</v>
      </c>
      <c r="B72" s="104"/>
      <c r="C72" s="104"/>
      <c r="D72" s="178" t="s">
        <v>130</v>
      </c>
      <c r="E72" s="178"/>
      <c r="F72" s="178"/>
      <c r="G72" s="178"/>
      <c r="H72" s="178"/>
      <c r="I72" s="178"/>
      <c r="J72" s="178"/>
      <c r="K72" s="178"/>
      <c r="L72" s="178"/>
      <c r="M72" s="178"/>
      <c r="N72" s="178"/>
      <c r="O72" s="179"/>
      <c r="P72" s="144">
        <f t="shared" ref="P72" si="33">SUM(V72+AN72)</f>
        <v>150</v>
      </c>
      <c r="Q72" s="106"/>
      <c r="R72" s="106"/>
      <c r="S72" s="131"/>
      <c r="T72" s="131"/>
      <c r="U72" s="151"/>
      <c r="V72" s="152">
        <f t="shared" ref="V72" si="34">SUM(AQ72+AT72+AW72+AZ72)*15</f>
        <v>60</v>
      </c>
      <c r="W72" s="106"/>
      <c r="X72" s="106"/>
      <c r="Y72" s="104"/>
      <c r="Z72" s="104"/>
      <c r="AA72" s="104"/>
      <c r="AB72" s="104">
        <v>60</v>
      </c>
      <c r="AC72" s="104"/>
      <c r="AD72" s="104"/>
      <c r="AE72" s="104"/>
      <c r="AF72" s="104"/>
      <c r="AG72" s="104"/>
      <c r="AH72" s="104"/>
      <c r="AI72" s="104"/>
      <c r="AJ72" s="104"/>
      <c r="AK72" s="106"/>
      <c r="AL72" s="106"/>
      <c r="AM72" s="106"/>
      <c r="AN72" s="104">
        <v>90</v>
      </c>
      <c r="AO72" s="104"/>
      <c r="AP72" s="145"/>
      <c r="AQ72" s="146">
        <v>2</v>
      </c>
      <c r="AR72" s="104"/>
      <c r="AS72" s="104"/>
      <c r="AT72" s="104">
        <v>2</v>
      </c>
      <c r="AU72" s="104"/>
      <c r="AV72" s="104"/>
      <c r="AW72" s="104"/>
      <c r="AX72" s="104"/>
      <c r="AY72" s="104"/>
      <c r="AZ72" s="104"/>
      <c r="BA72" s="104"/>
      <c r="BB72" s="145"/>
      <c r="BC72" s="146">
        <v>2</v>
      </c>
      <c r="BD72" s="104"/>
      <c r="BE72" s="104"/>
      <c r="BF72" s="104">
        <v>3</v>
      </c>
      <c r="BG72" s="104"/>
      <c r="BH72" s="104"/>
      <c r="BI72" s="104"/>
      <c r="BJ72" s="104"/>
      <c r="BK72" s="104"/>
      <c r="BL72" s="104"/>
      <c r="BM72" s="104"/>
      <c r="BN72" s="145"/>
      <c r="BO72" s="148">
        <f t="shared" si="18"/>
        <v>5</v>
      </c>
      <c r="BP72" s="105"/>
      <c r="BQ72" s="105"/>
      <c r="BR72" s="105"/>
      <c r="BS72" s="71">
        <f t="shared" si="28"/>
        <v>40</v>
      </c>
      <c r="BT72" s="71">
        <f t="shared" si="29"/>
        <v>60</v>
      </c>
      <c r="BU72" s="71">
        <f t="shared" si="30"/>
        <v>60</v>
      </c>
      <c r="BV72" s="15">
        <f t="shared" si="22"/>
        <v>1</v>
      </c>
      <c r="BW72" s="15" t="str">
        <f t="shared" si="23"/>
        <v>тўғри</v>
      </c>
      <c r="BX72" s="71">
        <f t="shared" si="24"/>
        <v>5</v>
      </c>
      <c r="BY72" s="15">
        <f t="shared" si="25"/>
        <v>1</v>
      </c>
      <c r="BZ72" s="15" t="str">
        <f t="shared" si="26"/>
        <v>тўғри</v>
      </c>
    </row>
    <row r="73" spans="1:78" ht="28.5" customHeight="1" x14ac:dyDescent="0.25">
      <c r="A73" s="71">
        <v>1</v>
      </c>
      <c r="B73" s="104" t="s">
        <v>216</v>
      </c>
      <c r="C73" s="104"/>
      <c r="D73" s="180" t="s">
        <v>138</v>
      </c>
      <c r="E73" s="180"/>
      <c r="F73" s="180"/>
      <c r="G73" s="180"/>
      <c r="H73" s="180"/>
      <c r="I73" s="180"/>
      <c r="J73" s="180"/>
      <c r="K73" s="180"/>
      <c r="L73" s="180"/>
      <c r="M73" s="180"/>
      <c r="N73" s="180"/>
      <c r="O73" s="181"/>
      <c r="P73" s="144"/>
      <c r="Q73" s="106"/>
      <c r="R73" s="106"/>
      <c r="S73" s="131"/>
      <c r="T73" s="131"/>
      <c r="U73" s="151"/>
      <c r="V73" s="152"/>
      <c r="W73" s="106"/>
      <c r="X73" s="106"/>
      <c r="Y73" s="104"/>
      <c r="Z73" s="104"/>
      <c r="AA73" s="104"/>
      <c r="AB73" s="104"/>
      <c r="AC73" s="104"/>
      <c r="AD73" s="104"/>
      <c r="AE73" s="104"/>
      <c r="AF73" s="104"/>
      <c r="AG73" s="104"/>
      <c r="AH73" s="104"/>
      <c r="AI73" s="104"/>
      <c r="AJ73" s="104"/>
      <c r="AK73" s="106"/>
      <c r="AL73" s="106"/>
      <c r="AM73" s="106"/>
      <c r="AN73" s="104"/>
      <c r="AO73" s="104"/>
      <c r="AP73" s="145"/>
      <c r="AQ73" s="146"/>
      <c r="AR73" s="104"/>
      <c r="AS73" s="104"/>
      <c r="AT73" s="104"/>
      <c r="AU73" s="104"/>
      <c r="AV73" s="104"/>
      <c r="AW73" s="104"/>
      <c r="AX73" s="104"/>
      <c r="AY73" s="104"/>
      <c r="AZ73" s="104"/>
      <c r="BA73" s="104"/>
      <c r="BB73" s="145"/>
      <c r="BC73" s="146"/>
      <c r="BD73" s="104"/>
      <c r="BE73" s="104"/>
      <c r="BF73" s="104"/>
      <c r="BG73" s="104"/>
      <c r="BH73" s="104"/>
      <c r="BI73" s="104"/>
      <c r="BJ73" s="104"/>
      <c r="BK73" s="104"/>
      <c r="BL73" s="104"/>
      <c r="BM73" s="104"/>
      <c r="BN73" s="145"/>
      <c r="BO73" s="148">
        <f t="shared" si="18"/>
        <v>0</v>
      </c>
      <c r="BP73" s="105"/>
      <c r="BQ73" s="105"/>
      <c r="BR73" s="105"/>
      <c r="BS73" s="71" t="e">
        <f t="shared" si="28"/>
        <v>#DIV/0!</v>
      </c>
      <c r="BT73" s="71" t="e">
        <f t="shared" si="29"/>
        <v>#DIV/0!</v>
      </c>
      <c r="BU73" s="71">
        <f t="shared" si="30"/>
        <v>0</v>
      </c>
      <c r="BV73" s="15">
        <f t="shared" si="22"/>
        <v>1</v>
      </c>
      <c r="BW73" s="15" t="str">
        <f t="shared" si="23"/>
        <v>тўғри</v>
      </c>
      <c r="BX73" s="71">
        <f t="shared" si="24"/>
        <v>0</v>
      </c>
      <c r="BY73" s="15">
        <f t="shared" si="25"/>
        <v>1</v>
      </c>
      <c r="BZ73" s="15" t="str">
        <f t="shared" si="26"/>
        <v>тўғри</v>
      </c>
    </row>
    <row r="74" spans="1:78" ht="14.25" customHeight="1" x14ac:dyDescent="0.25">
      <c r="A74" s="71">
        <v>2</v>
      </c>
      <c r="B74" s="104" t="s">
        <v>217</v>
      </c>
      <c r="C74" s="104"/>
      <c r="D74" s="149" t="s">
        <v>139</v>
      </c>
      <c r="E74" s="149"/>
      <c r="F74" s="149"/>
      <c r="G74" s="149"/>
      <c r="H74" s="149"/>
      <c r="I74" s="149"/>
      <c r="J74" s="149"/>
      <c r="K74" s="149"/>
      <c r="L74" s="149"/>
      <c r="M74" s="149"/>
      <c r="N74" s="149"/>
      <c r="O74" s="150"/>
      <c r="P74" s="144"/>
      <c r="Q74" s="106"/>
      <c r="R74" s="106"/>
      <c r="S74" s="131"/>
      <c r="T74" s="131"/>
      <c r="U74" s="151"/>
      <c r="V74" s="152"/>
      <c r="W74" s="106"/>
      <c r="X74" s="106"/>
      <c r="Y74" s="104"/>
      <c r="Z74" s="104"/>
      <c r="AA74" s="104"/>
      <c r="AB74" s="104"/>
      <c r="AC74" s="104"/>
      <c r="AD74" s="104"/>
      <c r="AE74" s="104"/>
      <c r="AF74" s="104"/>
      <c r="AG74" s="104"/>
      <c r="AH74" s="104"/>
      <c r="AI74" s="104"/>
      <c r="AJ74" s="104"/>
      <c r="AK74" s="106"/>
      <c r="AL74" s="106"/>
      <c r="AM74" s="106"/>
      <c r="AN74" s="104"/>
      <c r="AO74" s="104"/>
      <c r="AP74" s="145"/>
      <c r="AQ74" s="146"/>
      <c r="AR74" s="104"/>
      <c r="AS74" s="104"/>
      <c r="AT74" s="104"/>
      <c r="AU74" s="104"/>
      <c r="AV74" s="104"/>
      <c r="AW74" s="104"/>
      <c r="AX74" s="104"/>
      <c r="AY74" s="104"/>
      <c r="AZ74" s="104"/>
      <c r="BA74" s="104"/>
      <c r="BB74" s="145"/>
      <c r="BC74" s="146"/>
      <c r="BD74" s="104"/>
      <c r="BE74" s="104"/>
      <c r="BF74" s="104"/>
      <c r="BG74" s="104"/>
      <c r="BH74" s="104"/>
      <c r="BI74" s="104"/>
      <c r="BJ74" s="104"/>
      <c r="BK74" s="104"/>
      <c r="BL74" s="104"/>
      <c r="BM74" s="104"/>
      <c r="BN74" s="145"/>
      <c r="BO74" s="148">
        <f t="shared" si="18"/>
        <v>0</v>
      </c>
      <c r="BP74" s="105"/>
      <c r="BQ74" s="105"/>
      <c r="BR74" s="105"/>
      <c r="BS74" s="71" t="e">
        <f t="shared" si="28"/>
        <v>#DIV/0!</v>
      </c>
      <c r="BT74" s="71" t="e">
        <f t="shared" si="29"/>
        <v>#DIV/0!</v>
      </c>
      <c r="BU74" s="71">
        <f t="shared" si="30"/>
        <v>0</v>
      </c>
      <c r="BV74" s="15">
        <f t="shared" si="22"/>
        <v>1</v>
      </c>
      <c r="BW74" s="15" t="str">
        <f t="shared" si="23"/>
        <v>тўғри</v>
      </c>
      <c r="BX74" s="71">
        <f t="shared" si="24"/>
        <v>0</v>
      </c>
      <c r="BY74" s="15">
        <f t="shared" si="25"/>
        <v>1</v>
      </c>
      <c r="BZ74" s="15" t="str">
        <f t="shared" si="26"/>
        <v>тўғри</v>
      </c>
    </row>
    <row r="75" spans="1:78" ht="14.25" customHeight="1" x14ac:dyDescent="0.25">
      <c r="A75" s="85" t="s">
        <v>12</v>
      </c>
      <c r="B75" s="104"/>
      <c r="C75" s="104"/>
      <c r="D75" s="178" t="s">
        <v>131</v>
      </c>
      <c r="E75" s="178"/>
      <c r="F75" s="178"/>
      <c r="G75" s="178"/>
      <c r="H75" s="178"/>
      <c r="I75" s="178"/>
      <c r="J75" s="178"/>
      <c r="K75" s="178"/>
      <c r="L75" s="178"/>
      <c r="M75" s="178"/>
      <c r="N75" s="178"/>
      <c r="O75" s="179"/>
      <c r="P75" s="144">
        <f>SUM(V75+AN75)</f>
        <v>90</v>
      </c>
      <c r="Q75" s="106"/>
      <c r="R75" s="106"/>
      <c r="S75" s="131"/>
      <c r="T75" s="131"/>
      <c r="U75" s="151"/>
      <c r="V75" s="152">
        <f t="shared" ref="V75" si="35">SUM(AQ75+AT75+AW75+AZ75)*15</f>
        <v>30</v>
      </c>
      <c r="W75" s="106"/>
      <c r="X75" s="106"/>
      <c r="Y75" s="104">
        <v>10</v>
      </c>
      <c r="Z75" s="104"/>
      <c r="AA75" s="104"/>
      <c r="AB75" s="104">
        <v>10</v>
      </c>
      <c r="AC75" s="104"/>
      <c r="AD75" s="104"/>
      <c r="AE75" s="104"/>
      <c r="AF75" s="104"/>
      <c r="AG75" s="104"/>
      <c r="AH75" s="104">
        <v>10</v>
      </c>
      <c r="AI75" s="104"/>
      <c r="AJ75" s="104"/>
      <c r="AK75" s="106"/>
      <c r="AL75" s="106"/>
      <c r="AM75" s="106"/>
      <c r="AN75" s="104">
        <v>60</v>
      </c>
      <c r="AO75" s="104"/>
      <c r="AP75" s="145"/>
      <c r="AQ75" s="146"/>
      <c r="AR75" s="104"/>
      <c r="AS75" s="104"/>
      <c r="AT75" s="104"/>
      <c r="AU75" s="104"/>
      <c r="AV75" s="104"/>
      <c r="AW75" s="104">
        <v>2</v>
      </c>
      <c r="AX75" s="104"/>
      <c r="AY75" s="104"/>
      <c r="AZ75" s="104"/>
      <c r="BA75" s="104"/>
      <c r="BB75" s="145"/>
      <c r="BC75" s="146"/>
      <c r="BD75" s="104"/>
      <c r="BE75" s="104"/>
      <c r="BF75" s="104"/>
      <c r="BG75" s="104"/>
      <c r="BH75" s="104"/>
      <c r="BI75" s="104">
        <v>3</v>
      </c>
      <c r="BJ75" s="104"/>
      <c r="BK75" s="104"/>
      <c r="BL75" s="104"/>
      <c r="BM75" s="104"/>
      <c r="BN75" s="145"/>
      <c r="BO75" s="148">
        <f t="shared" si="18"/>
        <v>3</v>
      </c>
      <c r="BP75" s="105"/>
      <c r="BQ75" s="105"/>
      <c r="BR75" s="105"/>
      <c r="BS75" s="71">
        <f t="shared" si="28"/>
        <v>33.333333333333329</v>
      </c>
      <c r="BT75" s="71">
        <f t="shared" si="29"/>
        <v>66.666666666666657</v>
      </c>
      <c r="BU75" s="71">
        <f t="shared" si="30"/>
        <v>30</v>
      </c>
      <c r="BV75" s="15">
        <f t="shared" si="22"/>
        <v>1</v>
      </c>
      <c r="BW75" s="15" t="str">
        <f t="shared" si="23"/>
        <v>тўғри</v>
      </c>
      <c r="BX75" s="71">
        <f t="shared" si="24"/>
        <v>3</v>
      </c>
      <c r="BY75" s="15">
        <f t="shared" si="25"/>
        <v>1</v>
      </c>
      <c r="BZ75" s="15" t="str">
        <f t="shared" si="26"/>
        <v>тўғри</v>
      </c>
    </row>
    <row r="76" spans="1:78" ht="14.25" customHeight="1" x14ac:dyDescent="0.25">
      <c r="A76" s="71">
        <v>1</v>
      </c>
      <c r="B76" s="104" t="s">
        <v>32</v>
      </c>
      <c r="C76" s="104"/>
      <c r="D76" s="149" t="s">
        <v>247</v>
      </c>
      <c r="E76" s="149"/>
      <c r="F76" s="149"/>
      <c r="G76" s="149"/>
      <c r="H76" s="149"/>
      <c r="I76" s="149"/>
      <c r="J76" s="149"/>
      <c r="K76" s="149"/>
      <c r="L76" s="149"/>
      <c r="M76" s="149"/>
      <c r="N76" s="149"/>
      <c r="O76" s="150"/>
      <c r="P76" s="144"/>
      <c r="Q76" s="106"/>
      <c r="R76" s="106"/>
      <c r="S76" s="131"/>
      <c r="T76" s="131"/>
      <c r="U76" s="151"/>
      <c r="V76" s="152"/>
      <c r="W76" s="106"/>
      <c r="X76" s="106"/>
      <c r="Y76" s="104"/>
      <c r="Z76" s="104"/>
      <c r="AA76" s="104"/>
      <c r="AB76" s="104"/>
      <c r="AC76" s="104"/>
      <c r="AD76" s="104"/>
      <c r="AE76" s="104"/>
      <c r="AF76" s="104"/>
      <c r="AG76" s="104"/>
      <c r="AH76" s="104"/>
      <c r="AI76" s="104"/>
      <c r="AJ76" s="104"/>
      <c r="AK76" s="106"/>
      <c r="AL76" s="106"/>
      <c r="AM76" s="106"/>
      <c r="AN76" s="104"/>
      <c r="AO76" s="104"/>
      <c r="AP76" s="145"/>
      <c r="AQ76" s="146"/>
      <c r="AR76" s="104"/>
      <c r="AS76" s="104"/>
      <c r="AT76" s="104"/>
      <c r="AU76" s="104"/>
      <c r="AV76" s="104"/>
      <c r="AW76" s="104"/>
      <c r="AX76" s="104"/>
      <c r="AY76" s="104"/>
      <c r="AZ76" s="104"/>
      <c r="BA76" s="104"/>
      <c r="BB76" s="145"/>
      <c r="BC76" s="146"/>
      <c r="BD76" s="104"/>
      <c r="BE76" s="104"/>
      <c r="BF76" s="104"/>
      <c r="BG76" s="104"/>
      <c r="BH76" s="104"/>
      <c r="BI76" s="104"/>
      <c r="BJ76" s="104"/>
      <c r="BK76" s="104"/>
      <c r="BL76" s="104"/>
      <c r="BM76" s="104"/>
      <c r="BN76" s="145"/>
      <c r="BO76" s="148">
        <f t="shared" si="18"/>
        <v>0</v>
      </c>
      <c r="BP76" s="105"/>
      <c r="BQ76" s="105"/>
      <c r="BR76" s="105"/>
      <c r="BS76" s="71" t="e">
        <f t="shared" si="28"/>
        <v>#DIV/0!</v>
      </c>
      <c r="BT76" s="71" t="e">
        <f t="shared" si="29"/>
        <v>#DIV/0!</v>
      </c>
      <c r="BU76" s="71">
        <f t="shared" si="30"/>
        <v>0</v>
      </c>
      <c r="BV76" s="15">
        <f t="shared" si="22"/>
        <v>1</v>
      </c>
      <c r="BW76" s="15" t="str">
        <f t="shared" si="23"/>
        <v>тўғри</v>
      </c>
      <c r="BX76" s="71">
        <f t="shared" si="24"/>
        <v>0</v>
      </c>
      <c r="BY76" s="15">
        <f t="shared" si="25"/>
        <v>1</v>
      </c>
      <c r="BZ76" s="15" t="str">
        <f t="shared" si="26"/>
        <v>тўғри</v>
      </c>
    </row>
    <row r="77" spans="1:78" ht="14.25" customHeight="1" x14ac:dyDescent="0.25">
      <c r="A77" s="71">
        <v>2</v>
      </c>
      <c r="B77" s="104" t="s">
        <v>33</v>
      </c>
      <c r="C77" s="104"/>
      <c r="D77" s="149" t="s">
        <v>140</v>
      </c>
      <c r="E77" s="149"/>
      <c r="F77" s="149"/>
      <c r="G77" s="149"/>
      <c r="H77" s="149"/>
      <c r="I77" s="149"/>
      <c r="J77" s="149"/>
      <c r="K77" s="149"/>
      <c r="L77" s="149"/>
      <c r="M77" s="149"/>
      <c r="N77" s="149"/>
      <c r="O77" s="150"/>
      <c r="P77" s="144"/>
      <c r="Q77" s="106"/>
      <c r="R77" s="106"/>
      <c r="S77" s="131"/>
      <c r="T77" s="131"/>
      <c r="U77" s="151"/>
      <c r="V77" s="152"/>
      <c r="W77" s="106"/>
      <c r="X77" s="106"/>
      <c r="Y77" s="104"/>
      <c r="Z77" s="104"/>
      <c r="AA77" s="104"/>
      <c r="AB77" s="104"/>
      <c r="AC77" s="104"/>
      <c r="AD77" s="104"/>
      <c r="AE77" s="104"/>
      <c r="AF77" s="104"/>
      <c r="AG77" s="104"/>
      <c r="AH77" s="104"/>
      <c r="AI77" s="104"/>
      <c r="AJ77" s="104"/>
      <c r="AK77" s="106"/>
      <c r="AL77" s="106"/>
      <c r="AM77" s="106"/>
      <c r="AN77" s="104"/>
      <c r="AO77" s="104"/>
      <c r="AP77" s="145"/>
      <c r="AQ77" s="146"/>
      <c r="AR77" s="104"/>
      <c r="AS77" s="104"/>
      <c r="AT77" s="104"/>
      <c r="AU77" s="104"/>
      <c r="AV77" s="104"/>
      <c r="AW77" s="104"/>
      <c r="AX77" s="104"/>
      <c r="AY77" s="104"/>
      <c r="AZ77" s="104"/>
      <c r="BA77" s="104"/>
      <c r="BB77" s="145"/>
      <c r="BC77" s="146"/>
      <c r="BD77" s="104"/>
      <c r="BE77" s="104"/>
      <c r="BF77" s="104"/>
      <c r="BG77" s="104"/>
      <c r="BH77" s="104"/>
      <c r="BI77" s="104"/>
      <c r="BJ77" s="104"/>
      <c r="BK77" s="104"/>
      <c r="BL77" s="104"/>
      <c r="BM77" s="104"/>
      <c r="BN77" s="145"/>
      <c r="BO77" s="148">
        <f t="shared" si="18"/>
        <v>0</v>
      </c>
      <c r="BP77" s="105"/>
      <c r="BQ77" s="105"/>
      <c r="BR77" s="105"/>
      <c r="BS77" s="71" t="e">
        <f t="shared" si="28"/>
        <v>#DIV/0!</v>
      </c>
      <c r="BT77" s="71" t="e">
        <f t="shared" si="29"/>
        <v>#DIV/0!</v>
      </c>
      <c r="BU77" s="71">
        <f t="shared" si="30"/>
        <v>0</v>
      </c>
      <c r="BV77" s="15">
        <f t="shared" si="22"/>
        <v>1</v>
      </c>
      <c r="BW77" s="15" t="str">
        <f t="shared" si="23"/>
        <v>тўғри</v>
      </c>
      <c r="BX77" s="71">
        <f t="shared" si="24"/>
        <v>0</v>
      </c>
      <c r="BY77" s="15">
        <f t="shared" si="25"/>
        <v>1</v>
      </c>
      <c r="BZ77" s="15" t="str">
        <f t="shared" si="26"/>
        <v>тўғри</v>
      </c>
    </row>
    <row r="78" spans="1:78" ht="14.25" customHeight="1" x14ac:dyDescent="0.25">
      <c r="A78" s="71"/>
      <c r="B78" s="104"/>
      <c r="C78" s="104"/>
      <c r="D78" s="184" t="s">
        <v>133</v>
      </c>
      <c r="E78" s="184"/>
      <c r="F78" s="184"/>
      <c r="G78" s="184"/>
      <c r="H78" s="184"/>
      <c r="I78" s="184"/>
      <c r="J78" s="184"/>
      <c r="K78" s="184"/>
      <c r="L78" s="184"/>
      <c r="M78" s="184"/>
      <c r="N78" s="184"/>
      <c r="O78" s="185"/>
      <c r="P78" s="144">
        <f>SUM(V78+AN78)</f>
        <v>1800</v>
      </c>
      <c r="Q78" s="106"/>
      <c r="R78" s="106"/>
      <c r="S78" s="131">
        <f>P78/3600*100</f>
        <v>50</v>
      </c>
      <c r="T78" s="131"/>
      <c r="U78" s="151"/>
      <c r="V78" s="152">
        <f t="shared" ref="V78" si="36">SUM(AQ78+AT78+AW78+AZ78)*15</f>
        <v>690</v>
      </c>
      <c r="W78" s="106"/>
      <c r="X78" s="106"/>
      <c r="Y78" s="106">
        <f>SUM(Y68+Y57)</f>
        <v>176</v>
      </c>
      <c r="Z78" s="106"/>
      <c r="AA78" s="106"/>
      <c r="AB78" s="106">
        <f t="shared" ref="AB78" si="37">SUM(AB68+AB57)</f>
        <v>282</v>
      </c>
      <c r="AC78" s="106"/>
      <c r="AD78" s="106"/>
      <c r="AE78" s="106">
        <f t="shared" ref="AE78" si="38">SUM(AE68+AE57)</f>
        <v>150</v>
      </c>
      <c r="AF78" s="106"/>
      <c r="AG78" s="106"/>
      <c r="AH78" s="106">
        <f t="shared" ref="AH78" si="39">SUM(AH68+AH57)</f>
        <v>82</v>
      </c>
      <c r="AI78" s="106"/>
      <c r="AJ78" s="106"/>
      <c r="AK78" s="106"/>
      <c r="AL78" s="106"/>
      <c r="AM78" s="106"/>
      <c r="AN78" s="106">
        <f>SUM(AN68+AN57)</f>
        <v>1110</v>
      </c>
      <c r="AO78" s="106"/>
      <c r="AP78" s="147"/>
      <c r="AQ78" s="144">
        <f>SUM(AQ68+AQ57)</f>
        <v>18</v>
      </c>
      <c r="AR78" s="106"/>
      <c r="AS78" s="106"/>
      <c r="AT78" s="106">
        <f>SUM(AT68+AT57)</f>
        <v>10</v>
      </c>
      <c r="AU78" s="106"/>
      <c r="AV78" s="106"/>
      <c r="AW78" s="106">
        <f>SUM(AW68+AW57)</f>
        <v>12</v>
      </c>
      <c r="AX78" s="106"/>
      <c r="AY78" s="106"/>
      <c r="AZ78" s="106">
        <f>SUM(AZ68+AZ57)</f>
        <v>6</v>
      </c>
      <c r="BA78" s="106"/>
      <c r="BB78" s="147"/>
      <c r="BC78" s="144">
        <f>SUM(BC68+BC57)</f>
        <v>24</v>
      </c>
      <c r="BD78" s="106"/>
      <c r="BE78" s="106"/>
      <c r="BF78" s="106">
        <f>SUM(BF68+BF57)</f>
        <v>13</v>
      </c>
      <c r="BG78" s="106"/>
      <c r="BH78" s="106"/>
      <c r="BI78" s="106">
        <f>SUM(BI68+BI57)</f>
        <v>15</v>
      </c>
      <c r="BJ78" s="106"/>
      <c r="BK78" s="106"/>
      <c r="BL78" s="106">
        <f>SUM(BL68+BL57)</f>
        <v>8</v>
      </c>
      <c r="BM78" s="106"/>
      <c r="BN78" s="147"/>
      <c r="BO78" s="148">
        <f>SUM(P78/30)</f>
        <v>60</v>
      </c>
      <c r="BP78" s="105"/>
      <c r="BQ78" s="105"/>
      <c r="BR78" s="105"/>
      <c r="BS78" s="71">
        <f t="shared" si="19"/>
        <v>38.333333333333336</v>
      </c>
      <c r="BT78" s="71">
        <f t="shared" si="20"/>
        <v>61.666666666666671</v>
      </c>
      <c r="BU78" s="71">
        <f t="shared" si="21"/>
        <v>690</v>
      </c>
      <c r="BV78" s="15">
        <f t="shared" si="22"/>
        <v>1</v>
      </c>
      <c r="BW78" s="15" t="str">
        <f t="shared" si="23"/>
        <v>тўғри</v>
      </c>
      <c r="BX78" s="71">
        <f t="shared" si="24"/>
        <v>60</v>
      </c>
      <c r="BY78" s="15">
        <f t="shared" si="25"/>
        <v>1</v>
      </c>
      <c r="BZ78" s="15" t="str">
        <f>IF(BY78=1,"тўғри","хато")</f>
        <v>тўғри</v>
      </c>
    </row>
    <row r="79" spans="1:78" ht="14.25" customHeight="1" x14ac:dyDescent="0.25">
      <c r="A79" s="72" t="s">
        <v>49</v>
      </c>
      <c r="B79" s="104"/>
      <c r="C79" s="104"/>
      <c r="D79" s="182" t="s">
        <v>132</v>
      </c>
      <c r="E79" s="182"/>
      <c r="F79" s="182"/>
      <c r="G79" s="182"/>
      <c r="H79" s="182"/>
      <c r="I79" s="182"/>
      <c r="J79" s="182"/>
      <c r="K79" s="182"/>
      <c r="L79" s="182"/>
      <c r="M79" s="182"/>
      <c r="N79" s="182"/>
      <c r="O79" s="183"/>
      <c r="P79" s="144">
        <f>SUM(V79+AN79)</f>
        <v>1800</v>
      </c>
      <c r="Q79" s="106"/>
      <c r="R79" s="106"/>
      <c r="S79" s="131">
        <f>P79/3600*100</f>
        <v>50</v>
      </c>
      <c r="T79" s="131"/>
      <c r="U79" s="151"/>
      <c r="V79" s="152">
        <f>SUM(V80:X82)</f>
        <v>750</v>
      </c>
      <c r="W79" s="106"/>
      <c r="X79" s="106"/>
      <c r="Y79" s="106"/>
      <c r="Z79" s="106"/>
      <c r="AA79" s="106"/>
      <c r="AB79" s="106"/>
      <c r="AC79" s="106"/>
      <c r="AD79" s="106"/>
      <c r="AE79" s="106"/>
      <c r="AF79" s="106"/>
      <c r="AG79" s="106"/>
      <c r="AH79" s="106"/>
      <c r="AI79" s="106"/>
      <c r="AJ79" s="106"/>
      <c r="AK79" s="106"/>
      <c r="AL79" s="106"/>
      <c r="AM79" s="106"/>
      <c r="AN79" s="106">
        <f>SUM(AN80:AP82)</f>
        <v>1050</v>
      </c>
      <c r="AO79" s="106"/>
      <c r="AP79" s="147"/>
      <c r="AQ79" s="144">
        <f>SUM(AQ80:AS82)</f>
        <v>6</v>
      </c>
      <c r="AR79" s="106"/>
      <c r="AS79" s="106"/>
      <c r="AT79" s="106">
        <f>SUM(AT80:AV82)</f>
        <v>14</v>
      </c>
      <c r="AU79" s="106"/>
      <c r="AV79" s="106"/>
      <c r="AW79" s="106">
        <f>SUM(AW80:AY82)</f>
        <v>12</v>
      </c>
      <c r="AX79" s="106"/>
      <c r="AY79" s="106"/>
      <c r="AZ79" s="106">
        <f>SUM(AZ80:BB82)</f>
        <v>18</v>
      </c>
      <c r="BA79" s="106"/>
      <c r="BB79" s="147"/>
      <c r="BC79" s="144">
        <f>SUM(BC80:BE82)</f>
        <v>6</v>
      </c>
      <c r="BD79" s="106"/>
      <c r="BE79" s="106"/>
      <c r="BF79" s="106">
        <f>SUM(BF80:BH82)</f>
        <v>17</v>
      </c>
      <c r="BG79" s="106"/>
      <c r="BH79" s="106"/>
      <c r="BI79" s="106">
        <f>SUM(BI80:BK82)</f>
        <v>15</v>
      </c>
      <c r="BJ79" s="106"/>
      <c r="BK79" s="106"/>
      <c r="BL79" s="106">
        <f>SUM(BL80:BN82)</f>
        <v>22</v>
      </c>
      <c r="BM79" s="106"/>
      <c r="BN79" s="147"/>
      <c r="BO79" s="148">
        <f>SUM(P79/30)</f>
        <v>60</v>
      </c>
      <c r="BP79" s="105"/>
      <c r="BQ79" s="105"/>
      <c r="BR79" s="105"/>
      <c r="BS79" s="71">
        <f t="shared" si="19"/>
        <v>41.666666666666671</v>
      </c>
      <c r="BT79" s="71">
        <f t="shared" si="20"/>
        <v>58.333333333333336</v>
      </c>
      <c r="BU79" s="71"/>
      <c r="BV79" s="15"/>
      <c r="BW79" s="15"/>
      <c r="BX79" s="71">
        <f>SUM(BC79:BN79)</f>
        <v>60</v>
      </c>
      <c r="BY79" s="15">
        <f t="shared" si="25"/>
        <v>1</v>
      </c>
      <c r="BZ79" s="15" t="str">
        <f t="shared" ref="BZ79:BZ81" si="40">IF(BY79=1,"тўғри","хато")</f>
        <v>тўғри</v>
      </c>
    </row>
    <row r="80" spans="1:78" ht="28.5" customHeight="1" x14ac:dyDescent="0.25">
      <c r="A80" s="14" t="s">
        <v>50</v>
      </c>
      <c r="B80" s="104"/>
      <c r="C80" s="104"/>
      <c r="D80" s="180" t="s">
        <v>99</v>
      </c>
      <c r="E80" s="180"/>
      <c r="F80" s="180"/>
      <c r="G80" s="180"/>
      <c r="H80" s="180"/>
      <c r="I80" s="180"/>
      <c r="J80" s="180"/>
      <c r="K80" s="180"/>
      <c r="L80" s="180"/>
      <c r="M80" s="180"/>
      <c r="N80" s="180"/>
      <c r="O80" s="181"/>
      <c r="P80" s="144">
        <f>SUM(V80+AN80)</f>
        <v>1080</v>
      </c>
      <c r="Q80" s="106"/>
      <c r="R80" s="106"/>
      <c r="S80" s="106"/>
      <c r="T80" s="106"/>
      <c r="U80" s="147"/>
      <c r="V80" s="152">
        <f t="shared" ref="V80:V82" si="41">SUM(AQ80+AT80+AW80+AZ80)*15</f>
        <v>480</v>
      </c>
      <c r="W80" s="106"/>
      <c r="X80" s="106"/>
      <c r="Y80" s="106"/>
      <c r="Z80" s="106"/>
      <c r="AA80" s="106"/>
      <c r="AB80" s="106"/>
      <c r="AC80" s="106"/>
      <c r="AD80" s="106"/>
      <c r="AE80" s="106"/>
      <c r="AF80" s="106"/>
      <c r="AG80" s="106"/>
      <c r="AH80" s="106"/>
      <c r="AI80" s="106"/>
      <c r="AJ80" s="106"/>
      <c r="AK80" s="106"/>
      <c r="AL80" s="106"/>
      <c r="AM80" s="106"/>
      <c r="AN80" s="104">
        <v>600</v>
      </c>
      <c r="AO80" s="104"/>
      <c r="AP80" s="145"/>
      <c r="AQ80" s="146">
        <v>4</v>
      </c>
      <c r="AR80" s="104"/>
      <c r="AS80" s="104"/>
      <c r="AT80" s="104">
        <v>6</v>
      </c>
      <c r="AU80" s="104"/>
      <c r="AV80" s="104"/>
      <c r="AW80" s="104">
        <v>10</v>
      </c>
      <c r="AX80" s="104"/>
      <c r="AY80" s="104"/>
      <c r="AZ80" s="104">
        <v>12</v>
      </c>
      <c r="BA80" s="104"/>
      <c r="BB80" s="145"/>
      <c r="BC80" s="146">
        <v>4</v>
      </c>
      <c r="BD80" s="104"/>
      <c r="BE80" s="104"/>
      <c r="BF80" s="104">
        <v>6</v>
      </c>
      <c r="BG80" s="104"/>
      <c r="BH80" s="104"/>
      <c r="BI80" s="104">
        <v>12</v>
      </c>
      <c r="BJ80" s="104"/>
      <c r="BK80" s="104"/>
      <c r="BL80" s="104">
        <v>14</v>
      </c>
      <c r="BM80" s="104"/>
      <c r="BN80" s="145"/>
      <c r="BO80" s="148">
        <f t="shared" ref="BO80:BO82" si="42">SUM(P80/30)</f>
        <v>36</v>
      </c>
      <c r="BP80" s="105"/>
      <c r="BQ80" s="105"/>
      <c r="BR80" s="105"/>
      <c r="BS80" s="71">
        <f t="shared" si="19"/>
        <v>44.444444444444443</v>
      </c>
      <c r="BT80" s="71">
        <f t="shared" si="20"/>
        <v>55.555555555555557</v>
      </c>
      <c r="BU80" s="71"/>
      <c r="BV80" s="15"/>
      <c r="BW80" s="15" t="str">
        <f>IF(BV80=1,"тўғри","хато")</f>
        <v>хато</v>
      </c>
      <c r="BX80" s="71">
        <f>SUM(BC80:BN80)</f>
        <v>36</v>
      </c>
      <c r="BY80" s="15">
        <f t="shared" si="25"/>
        <v>1</v>
      </c>
      <c r="BZ80" s="15" t="str">
        <f t="shared" si="40"/>
        <v>тўғри</v>
      </c>
    </row>
    <row r="81" spans="1:78" ht="14.25" customHeight="1" x14ac:dyDescent="0.25">
      <c r="A81" s="14" t="s">
        <v>51</v>
      </c>
      <c r="B81" s="104"/>
      <c r="C81" s="104"/>
      <c r="D81" s="149" t="s">
        <v>134</v>
      </c>
      <c r="E81" s="149"/>
      <c r="F81" s="149"/>
      <c r="G81" s="149"/>
      <c r="H81" s="149"/>
      <c r="I81" s="149"/>
      <c r="J81" s="149"/>
      <c r="K81" s="149"/>
      <c r="L81" s="149"/>
      <c r="M81" s="149"/>
      <c r="N81" s="149"/>
      <c r="O81" s="150"/>
      <c r="P81" s="144">
        <f t="shared" ref="P81:P82" si="43">SUM(V81+AN81)</f>
        <v>240</v>
      </c>
      <c r="Q81" s="106"/>
      <c r="R81" s="106"/>
      <c r="S81" s="106"/>
      <c r="T81" s="106"/>
      <c r="U81" s="147"/>
      <c r="V81" s="152">
        <f t="shared" si="41"/>
        <v>90</v>
      </c>
      <c r="W81" s="106"/>
      <c r="X81" s="106"/>
      <c r="Y81" s="106"/>
      <c r="Z81" s="106"/>
      <c r="AA81" s="106"/>
      <c r="AB81" s="106"/>
      <c r="AC81" s="106"/>
      <c r="AD81" s="106"/>
      <c r="AE81" s="106"/>
      <c r="AF81" s="106"/>
      <c r="AG81" s="106"/>
      <c r="AH81" s="106"/>
      <c r="AI81" s="106"/>
      <c r="AJ81" s="106"/>
      <c r="AK81" s="106"/>
      <c r="AL81" s="106"/>
      <c r="AM81" s="106"/>
      <c r="AN81" s="104">
        <v>150</v>
      </c>
      <c r="AO81" s="104"/>
      <c r="AP81" s="145"/>
      <c r="AQ81" s="146">
        <v>2</v>
      </c>
      <c r="AR81" s="104"/>
      <c r="AS81" s="104"/>
      <c r="AT81" s="104">
        <v>2</v>
      </c>
      <c r="AU81" s="104"/>
      <c r="AV81" s="104"/>
      <c r="AW81" s="104">
        <v>2</v>
      </c>
      <c r="AX81" s="104"/>
      <c r="AY81" s="104"/>
      <c r="AZ81" s="104"/>
      <c r="BA81" s="104"/>
      <c r="BB81" s="145"/>
      <c r="BC81" s="146">
        <v>2</v>
      </c>
      <c r="BD81" s="104"/>
      <c r="BE81" s="104"/>
      <c r="BF81" s="104">
        <v>3</v>
      </c>
      <c r="BG81" s="104"/>
      <c r="BH81" s="104"/>
      <c r="BI81" s="104">
        <v>3</v>
      </c>
      <c r="BJ81" s="104"/>
      <c r="BK81" s="104"/>
      <c r="BL81" s="104"/>
      <c r="BM81" s="104"/>
      <c r="BN81" s="145"/>
      <c r="BO81" s="148">
        <f t="shared" si="42"/>
        <v>8</v>
      </c>
      <c r="BP81" s="105"/>
      <c r="BQ81" s="105"/>
      <c r="BR81" s="105"/>
      <c r="BS81" s="71">
        <f t="shared" si="19"/>
        <v>37.5</v>
      </c>
      <c r="BT81" s="71">
        <f t="shared" si="20"/>
        <v>62.5</v>
      </c>
      <c r="BU81" s="71"/>
      <c r="BV81" s="15"/>
      <c r="BW81" s="15" t="str">
        <f t="shared" ref="BW81:BW82" si="44">IF(BV81=1,"тўғри","хато")</f>
        <v>хато</v>
      </c>
      <c r="BX81" s="71">
        <f t="shared" ref="BX81:BX82" si="45">SUM(BC81:BN81)</f>
        <v>8</v>
      </c>
      <c r="BY81" s="15">
        <f t="shared" si="25"/>
        <v>1</v>
      </c>
      <c r="BZ81" s="15" t="str">
        <f t="shared" si="40"/>
        <v>тўғри</v>
      </c>
    </row>
    <row r="82" spans="1:78" ht="14.25" customHeight="1" x14ac:dyDescent="0.25">
      <c r="A82" s="14" t="s">
        <v>52</v>
      </c>
      <c r="B82" s="104"/>
      <c r="C82" s="104"/>
      <c r="D82" s="149" t="s">
        <v>135</v>
      </c>
      <c r="E82" s="149"/>
      <c r="F82" s="149"/>
      <c r="G82" s="149"/>
      <c r="H82" s="149"/>
      <c r="I82" s="149"/>
      <c r="J82" s="149"/>
      <c r="K82" s="149"/>
      <c r="L82" s="149"/>
      <c r="M82" s="149"/>
      <c r="N82" s="149"/>
      <c r="O82" s="150"/>
      <c r="P82" s="144">
        <f t="shared" si="43"/>
        <v>480</v>
      </c>
      <c r="Q82" s="106"/>
      <c r="R82" s="106"/>
      <c r="S82" s="106"/>
      <c r="T82" s="106"/>
      <c r="U82" s="147"/>
      <c r="V82" s="152">
        <f t="shared" si="41"/>
        <v>180</v>
      </c>
      <c r="W82" s="106"/>
      <c r="X82" s="106"/>
      <c r="Y82" s="106"/>
      <c r="Z82" s="106"/>
      <c r="AA82" s="106"/>
      <c r="AB82" s="106"/>
      <c r="AC82" s="106"/>
      <c r="AD82" s="106"/>
      <c r="AE82" s="106"/>
      <c r="AF82" s="106"/>
      <c r="AG82" s="106"/>
      <c r="AH82" s="106"/>
      <c r="AI82" s="106"/>
      <c r="AJ82" s="106"/>
      <c r="AK82" s="106"/>
      <c r="AL82" s="106"/>
      <c r="AM82" s="106"/>
      <c r="AN82" s="104">
        <v>300</v>
      </c>
      <c r="AO82" s="104"/>
      <c r="AP82" s="145"/>
      <c r="AQ82" s="146"/>
      <c r="AR82" s="104"/>
      <c r="AS82" s="104"/>
      <c r="AT82" s="104">
        <v>6</v>
      </c>
      <c r="AU82" s="104"/>
      <c r="AV82" s="104"/>
      <c r="AW82" s="104"/>
      <c r="AX82" s="104"/>
      <c r="AY82" s="104"/>
      <c r="AZ82" s="104">
        <v>6</v>
      </c>
      <c r="BA82" s="104"/>
      <c r="BB82" s="145"/>
      <c r="BC82" s="146"/>
      <c r="BD82" s="104"/>
      <c r="BE82" s="104"/>
      <c r="BF82" s="104">
        <v>8</v>
      </c>
      <c r="BG82" s="104"/>
      <c r="BH82" s="104"/>
      <c r="BI82" s="104"/>
      <c r="BJ82" s="104"/>
      <c r="BK82" s="104"/>
      <c r="BL82" s="104">
        <v>8</v>
      </c>
      <c r="BM82" s="104"/>
      <c r="BN82" s="145"/>
      <c r="BO82" s="148">
        <f t="shared" si="42"/>
        <v>16</v>
      </c>
      <c r="BP82" s="105"/>
      <c r="BQ82" s="105"/>
      <c r="BR82" s="105"/>
      <c r="BS82" s="71">
        <f t="shared" si="19"/>
        <v>37.5</v>
      </c>
      <c r="BT82" s="71">
        <f t="shared" si="20"/>
        <v>62.5</v>
      </c>
      <c r="BU82" s="71"/>
      <c r="BV82" s="15"/>
      <c r="BW82" s="15" t="str">
        <f t="shared" si="44"/>
        <v>хато</v>
      </c>
      <c r="BX82" s="71">
        <f t="shared" si="45"/>
        <v>16</v>
      </c>
      <c r="BY82" s="15">
        <f t="shared" si="25"/>
        <v>1</v>
      </c>
      <c r="BZ82" s="15" t="str">
        <f>IF(BY82=1,"тўғри","хато")</f>
        <v>тўғри</v>
      </c>
    </row>
    <row r="83" spans="1:78" ht="14.25" customHeight="1" x14ac:dyDescent="0.25">
      <c r="A83" s="71"/>
      <c r="B83" s="130"/>
      <c r="C83" s="130"/>
      <c r="D83" s="184" t="s">
        <v>133</v>
      </c>
      <c r="E83" s="184"/>
      <c r="F83" s="184"/>
      <c r="G83" s="184"/>
      <c r="H83" s="184"/>
      <c r="I83" s="184"/>
      <c r="J83" s="184"/>
      <c r="K83" s="184"/>
      <c r="L83" s="184"/>
      <c r="M83" s="184"/>
      <c r="N83" s="184"/>
      <c r="O83" s="185"/>
      <c r="P83" s="144">
        <f>SUM(P79,P78)</f>
        <v>3600</v>
      </c>
      <c r="Q83" s="106"/>
      <c r="R83" s="106"/>
      <c r="S83" s="131">
        <f>P83/3600*100</f>
        <v>100</v>
      </c>
      <c r="T83" s="131"/>
      <c r="U83" s="151"/>
      <c r="V83" s="152">
        <f>SUM(V79+V77)</f>
        <v>750</v>
      </c>
      <c r="W83" s="106"/>
      <c r="X83" s="106"/>
      <c r="Y83" s="106"/>
      <c r="Z83" s="106"/>
      <c r="AA83" s="106"/>
      <c r="AB83" s="106"/>
      <c r="AC83" s="106"/>
      <c r="AD83" s="106"/>
      <c r="AE83" s="106"/>
      <c r="AF83" s="106"/>
      <c r="AG83" s="106"/>
      <c r="AH83" s="106"/>
      <c r="AI83" s="106"/>
      <c r="AJ83" s="106"/>
      <c r="AK83" s="106"/>
      <c r="AL83" s="106"/>
      <c r="AM83" s="106"/>
      <c r="AN83" s="106">
        <f>SUM(AN79+AN78)</f>
        <v>2160</v>
      </c>
      <c r="AO83" s="106"/>
      <c r="AP83" s="147"/>
      <c r="AQ83" s="144">
        <f>SUM(AQ79+AQ78)</f>
        <v>24</v>
      </c>
      <c r="AR83" s="106"/>
      <c r="AS83" s="106"/>
      <c r="AT83" s="106">
        <f>SUM(AT79+AT78)</f>
        <v>24</v>
      </c>
      <c r="AU83" s="106"/>
      <c r="AV83" s="106"/>
      <c r="AW83" s="106">
        <f>SUM(AW79+AW78)</f>
        <v>24</v>
      </c>
      <c r="AX83" s="106"/>
      <c r="AY83" s="106"/>
      <c r="AZ83" s="106">
        <f>SUM(AZ79+AZ78)</f>
        <v>24</v>
      </c>
      <c r="BA83" s="106"/>
      <c r="BB83" s="147"/>
      <c r="BC83" s="144">
        <f>SUM(BC79+BC78)</f>
        <v>30</v>
      </c>
      <c r="BD83" s="106"/>
      <c r="BE83" s="106"/>
      <c r="BF83" s="106">
        <f>SUM(BF79+BF78)</f>
        <v>30</v>
      </c>
      <c r="BG83" s="106"/>
      <c r="BH83" s="106"/>
      <c r="BI83" s="106">
        <f>SUM(BI79+BI78)</f>
        <v>30</v>
      </c>
      <c r="BJ83" s="106"/>
      <c r="BK83" s="106"/>
      <c r="BL83" s="106">
        <f>SUM(BL79+BL78)</f>
        <v>30</v>
      </c>
      <c r="BM83" s="106"/>
      <c r="BN83" s="147"/>
      <c r="BO83" s="148">
        <f>SUM(P83/30)</f>
        <v>120</v>
      </c>
      <c r="BP83" s="105"/>
      <c r="BQ83" s="105"/>
      <c r="BR83" s="105"/>
      <c r="BS83" s="71">
        <f t="shared" si="19"/>
        <v>20.833333333333336</v>
      </c>
      <c r="BT83" s="71">
        <f t="shared" si="20"/>
        <v>60</v>
      </c>
      <c r="BU83" s="71"/>
      <c r="BV83" s="15"/>
      <c r="BW83" s="15"/>
      <c r="BX83" s="71">
        <f t="shared" si="24"/>
        <v>120</v>
      </c>
      <c r="BY83" s="15">
        <f t="shared" si="25"/>
        <v>1</v>
      </c>
      <c r="BZ83" s="15" t="str">
        <f t="shared" si="26"/>
        <v>тўғри</v>
      </c>
    </row>
    <row r="84" spans="1:78" ht="14.25" customHeight="1" x14ac:dyDescent="0.25">
      <c r="A84" s="1"/>
      <c r="B84" s="16"/>
      <c r="C84" s="16"/>
      <c r="D84" s="17"/>
      <c r="E84" s="17"/>
      <c r="F84" s="17"/>
      <c r="G84" s="17"/>
      <c r="H84" s="17"/>
      <c r="I84" s="17"/>
      <c r="J84" s="17"/>
      <c r="K84" s="17"/>
      <c r="L84" s="17"/>
      <c r="M84" s="17"/>
      <c r="N84" s="17"/>
      <c r="O84" s="17"/>
      <c r="P84" s="18"/>
      <c r="Q84" s="18"/>
      <c r="R84" s="18"/>
      <c r="S84" s="18"/>
      <c r="T84" s="18"/>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
      <c r="BC84" s="1"/>
      <c r="BD84" s="1"/>
      <c r="BE84" s="1"/>
      <c r="BF84" s="1"/>
      <c r="BG84" s="1"/>
      <c r="BH84" s="1"/>
      <c r="BI84" s="1"/>
      <c r="BJ84" s="1"/>
      <c r="BK84" s="1"/>
      <c r="BL84" s="1"/>
      <c r="BM84" s="1"/>
      <c r="BN84" s="1"/>
      <c r="BO84" s="20"/>
      <c r="BP84" s="20"/>
      <c r="BQ84" s="20"/>
      <c r="BR84" s="20"/>
    </row>
    <row r="85" spans="1:78" ht="14.25" customHeight="1" thickBot="1" x14ac:dyDescent="0.3">
      <c r="A85" s="1"/>
      <c r="B85" s="16"/>
      <c r="C85" s="16"/>
      <c r="D85" s="17"/>
      <c r="E85" s="17"/>
      <c r="F85" s="17"/>
      <c r="G85" s="17"/>
      <c r="H85" s="17"/>
      <c r="I85" s="17"/>
      <c r="J85" s="17"/>
      <c r="K85" s="17"/>
      <c r="L85" s="17"/>
      <c r="M85" s="17"/>
      <c r="N85" s="17"/>
      <c r="O85" s="17"/>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
      <c r="BC85" s="1"/>
      <c r="BD85" s="1"/>
      <c r="BE85" s="1"/>
      <c r="BF85" s="1"/>
      <c r="BG85" s="1"/>
      <c r="BH85" s="1"/>
      <c r="BI85" s="1"/>
      <c r="BJ85" s="1"/>
      <c r="BK85" s="1"/>
      <c r="BL85" s="1"/>
      <c r="BM85" s="1"/>
      <c r="BN85" s="1"/>
      <c r="BO85" s="20"/>
      <c r="BP85" s="20"/>
      <c r="BQ85" s="20"/>
      <c r="BR85" s="20"/>
    </row>
    <row r="86" spans="1:78" s="24" customFormat="1" ht="14.25" customHeight="1" x14ac:dyDescent="0.35">
      <c r="A86" s="21"/>
      <c r="B86" s="16"/>
      <c r="C86" s="16"/>
      <c r="D86" s="74"/>
      <c r="E86" s="74"/>
      <c r="F86" s="74"/>
      <c r="G86" s="74"/>
      <c r="H86" s="74"/>
      <c r="I86" s="74"/>
      <c r="J86" s="74"/>
      <c r="K86" s="74"/>
      <c r="L86" s="74"/>
      <c r="M86" s="74"/>
      <c r="N86" s="74"/>
      <c r="O86" s="74"/>
      <c r="P86" s="22"/>
      <c r="Q86" s="22"/>
      <c r="R86" s="22"/>
      <c r="S86" s="22"/>
      <c r="T86" s="22"/>
      <c r="U86" s="22"/>
      <c r="V86" s="191" t="s">
        <v>129</v>
      </c>
      <c r="W86" s="192"/>
      <c r="X86" s="192"/>
      <c r="Y86" s="192"/>
      <c r="Z86" s="192"/>
      <c r="AA86" s="192"/>
      <c r="AB86" s="192"/>
      <c r="AC86" s="192"/>
      <c r="AD86" s="192"/>
      <c r="AE86" s="192"/>
      <c r="AF86" s="192"/>
      <c r="AG86" s="192"/>
      <c r="AH86" s="192"/>
      <c r="AI86" s="192"/>
      <c r="AJ86" s="192"/>
      <c r="AK86" s="192"/>
      <c r="AL86" s="192"/>
      <c r="AM86" s="192"/>
      <c r="AN86" s="192"/>
      <c r="AO86" s="192"/>
      <c r="AP86" s="192"/>
      <c r="AQ86" s="192"/>
      <c r="AR86" s="192"/>
      <c r="AS86" s="192"/>
      <c r="AT86" s="192"/>
      <c r="AU86" s="192"/>
      <c r="AV86" s="192"/>
      <c r="AW86" s="192"/>
      <c r="AX86" s="192"/>
      <c r="AY86" s="192"/>
      <c r="AZ86" s="193"/>
      <c r="BA86" s="22"/>
      <c r="BB86" s="22"/>
      <c r="BC86" s="22"/>
      <c r="BD86" s="22"/>
      <c r="BE86" s="22"/>
      <c r="BF86" s="22"/>
      <c r="BG86" s="22"/>
      <c r="BH86" s="22"/>
      <c r="BI86" s="22"/>
      <c r="BJ86" s="22"/>
      <c r="BK86" s="22"/>
      <c r="BL86" s="22"/>
      <c r="BM86" s="22"/>
      <c r="BN86" s="22"/>
      <c r="BO86" s="23"/>
      <c r="BP86" s="23"/>
      <c r="BQ86" s="23"/>
      <c r="BR86" s="23"/>
      <c r="BS86" s="1"/>
      <c r="BT86" s="1"/>
      <c r="BU86" s="1"/>
      <c r="BV86" s="1"/>
      <c r="BW86" s="1"/>
      <c r="BX86" s="1"/>
      <c r="BY86" s="1"/>
      <c r="BZ86" s="1"/>
    </row>
    <row r="87" spans="1:78" s="24" customFormat="1" ht="14.25" customHeight="1" x14ac:dyDescent="0.35">
      <c r="A87" s="21"/>
      <c r="B87" s="16"/>
      <c r="C87" s="16"/>
      <c r="D87" s="74"/>
      <c r="E87" s="74"/>
      <c r="F87" s="74"/>
      <c r="G87" s="74"/>
      <c r="H87" s="74"/>
      <c r="I87" s="74"/>
      <c r="J87" s="74"/>
      <c r="K87" s="74"/>
      <c r="L87" s="74"/>
      <c r="M87" s="74"/>
      <c r="N87" s="74"/>
      <c r="O87" s="74"/>
      <c r="P87" s="22"/>
      <c r="Q87" s="22"/>
      <c r="R87" s="22"/>
      <c r="S87" s="22"/>
      <c r="T87" s="22"/>
      <c r="U87" s="22"/>
      <c r="V87" s="194"/>
      <c r="W87" s="195"/>
      <c r="X87" s="195"/>
      <c r="Y87" s="195"/>
      <c r="Z87" s="195"/>
      <c r="AA87" s="195"/>
      <c r="AB87" s="195"/>
      <c r="AC87" s="195"/>
      <c r="AD87" s="195"/>
      <c r="AE87" s="195"/>
      <c r="AF87" s="195"/>
      <c r="AG87" s="195"/>
      <c r="AH87" s="195"/>
      <c r="AI87" s="195"/>
      <c r="AJ87" s="195"/>
      <c r="AK87" s="195"/>
      <c r="AL87" s="195"/>
      <c r="AM87" s="195"/>
      <c r="AN87" s="195"/>
      <c r="AO87" s="195"/>
      <c r="AP87" s="195"/>
      <c r="AQ87" s="195"/>
      <c r="AR87" s="195"/>
      <c r="AS87" s="195"/>
      <c r="AT87" s="195"/>
      <c r="AU87" s="195"/>
      <c r="AV87" s="195"/>
      <c r="AW87" s="195"/>
      <c r="AX87" s="195"/>
      <c r="AY87" s="195"/>
      <c r="AZ87" s="196"/>
      <c r="BA87" s="22"/>
      <c r="BB87" s="22"/>
      <c r="BC87" s="22"/>
      <c r="BD87" s="22"/>
      <c r="BE87" s="22"/>
      <c r="BF87" s="22"/>
      <c r="BG87" s="22"/>
      <c r="BH87" s="22"/>
      <c r="BI87" s="22"/>
      <c r="BJ87" s="22"/>
      <c r="BK87" s="22"/>
      <c r="BL87" s="22"/>
      <c r="BM87" s="22"/>
      <c r="BN87" s="22"/>
      <c r="BO87" s="23"/>
      <c r="BP87" s="23"/>
      <c r="BQ87" s="23"/>
      <c r="BR87" s="23"/>
      <c r="BS87" s="1"/>
      <c r="BT87" s="1"/>
      <c r="BU87" s="1"/>
      <c r="BV87" s="1"/>
      <c r="BW87" s="1"/>
      <c r="BX87" s="1"/>
      <c r="BY87" s="1"/>
      <c r="BZ87" s="1"/>
    </row>
    <row r="88" spans="1:78" s="24" customFormat="1" ht="14.25" customHeight="1" x14ac:dyDescent="0.35">
      <c r="A88" s="21"/>
      <c r="B88" s="16"/>
      <c r="C88" s="16"/>
      <c r="D88" s="74"/>
      <c r="E88" s="74"/>
      <c r="F88" s="74"/>
      <c r="G88" s="74"/>
      <c r="H88" s="74"/>
      <c r="I88" s="74"/>
      <c r="J88" s="74"/>
      <c r="K88" s="74"/>
      <c r="L88" s="74"/>
      <c r="M88" s="74"/>
      <c r="N88" s="74"/>
      <c r="O88" s="74"/>
      <c r="P88" s="22"/>
      <c r="Q88" s="22"/>
      <c r="R88" s="22"/>
      <c r="S88" s="22"/>
      <c r="T88" s="22"/>
      <c r="U88" s="22"/>
      <c r="V88" s="197" t="s">
        <v>141</v>
      </c>
      <c r="W88" s="198"/>
      <c r="X88" s="198"/>
      <c r="Y88" s="198"/>
      <c r="Z88" s="198"/>
      <c r="AA88" s="198"/>
      <c r="AB88" s="198"/>
      <c r="AC88" s="198"/>
      <c r="AD88" s="198"/>
      <c r="AE88" s="198"/>
      <c r="AF88" s="198"/>
      <c r="AG88" s="198"/>
      <c r="AH88" s="198"/>
      <c r="AI88" s="198"/>
      <c r="AJ88" s="198"/>
      <c r="AK88" s="198"/>
      <c r="AL88" s="198"/>
      <c r="AM88" s="198"/>
      <c r="AN88" s="198"/>
      <c r="AO88" s="198"/>
      <c r="AP88" s="198"/>
      <c r="AQ88" s="198"/>
      <c r="AR88" s="198"/>
      <c r="AS88" s="198"/>
      <c r="AT88" s="198"/>
      <c r="AU88" s="198"/>
      <c r="AV88" s="198"/>
      <c r="AW88" s="198"/>
      <c r="AX88" s="198"/>
      <c r="AY88" s="198"/>
      <c r="AZ88" s="199"/>
      <c r="BA88" s="22"/>
      <c r="BB88" s="22"/>
      <c r="BC88" s="22"/>
      <c r="BD88" s="22"/>
      <c r="BE88" s="22"/>
      <c r="BF88" s="22"/>
      <c r="BG88" s="22"/>
      <c r="BH88" s="22"/>
      <c r="BI88" s="22"/>
      <c r="BJ88" s="22"/>
      <c r="BK88" s="22"/>
      <c r="BL88" s="22"/>
      <c r="BM88" s="22"/>
      <c r="BN88" s="22"/>
      <c r="BO88" s="23"/>
      <c r="BP88" s="23"/>
      <c r="BQ88" s="23"/>
      <c r="BR88" s="23"/>
      <c r="BS88" s="1"/>
      <c r="BT88" s="1"/>
      <c r="BU88" s="1"/>
      <c r="BV88" s="1"/>
      <c r="BW88" s="1"/>
      <c r="BX88" s="1"/>
      <c r="BY88" s="1"/>
      <c r="BZ88" s="1"/>
    </row>
    <row r="89" spans="1:78" ht="14.25" customHeight="1" thickBot="1" x14ac:dyDescent="0.3">
      <c r="A89" s="1"/>
      <c r="B89" s="16"/>
      <c r="C89" s="16"/>
      <c r="D89" s="18"/>
      <c r="E89" s="18"/>
      <c r="F89" s="18"/>
      <c r="G89" s="18"/>
      <c r="H89" s="18"/>
      <c r="I89" s="18"/>
      <c r="J89" s="18"/>
      <c r="K89" s="18"/>
      <c r="L89" s="18"/>
      <c r="M89" s="18"/>
      <c r="N89" s="18"/>
      <c r="O89" s="18"/>
      <c r="P89" s="25"/>
      <c r="Q89" s="25"/>
      <c r="R89" s="25"/>
      <c r="S89" s="25"/>
      <c r="T89" s="25"/>
      <c r="U89" s="25"/>
      <c r="V89" s="200"/>
      <c r="W89" s="201"/>
      <c r="X89" s="201"/>
      <c r="Y89" s="201"/>
      <c r="Z89" s="201"/>
      <c r="AA89" s="201"/>
      <c r="AB89" s="201"/>
      <c r="AC89" s="201"/>
      <c r="AD89" s="201"/>
      <c r="AE89" s="201"/>
      <c r="AF89" s="201"/>
      <c r="AG89" s="201"/>
      <c r="AH89" s="201"/>
      <c r="AI89" s="201"/>
      <c r="AJ89" s="201"/>
      <c r="AK89" s="201"/>
      <c r="AL89" s="201"/>
      <c r="AM89" s="201"/>
      <c r="AN89" s="201"/>
      <c r="AO89" s="201"/>
      <c r="AP89" s="201"/>
      <c r="AQ89" s="201"/>
      <c r="AR89" s="201"/>
      <c r="AS89" s="201"/>
      <c r="AT89" s="201"/>
      <c r="AU89" s="201"/>
      <c r="AV89" s="201"/>
      <c r="AW89" s="201"/>
      <c r="AX89" s="201"/>
      <c r="AY89" s="201"/>
      <c r="AZ89" s="202"/>
      <c r="BA89" s="25"/>
      <c r="BB89" s="25"/>
      <c r="BC89" s="25"/>
      <c r="BD89" s="25"/>
      <c r="BE89" s="25"/>
      <c r="BF89" s="25"/>
      <c r="BG89" s="25"/>
      <c r="BH89" s="25"/>
      <c r="BI89" s="25"/>
      <c r="BJ89" s="25"/>
      <c r="BK89" s="25"/>
      <c r="BL89" s="25"/>
      <c r="BM89" s="25"/>
      <c r="BN89" s="25"/>
      <c r="BO89" s="26"/>
      <c r="BP89" s="26"/>
      <c r="BQ89" s="26"/>
      <c r="BR89" s="26"/>
    </row>
    <row r="90" spans="1:78" ht="14.25" customHeight="1" x14ac:dyDescent="0.25">
      <c r="A90" s="1"/>
      <c r="B90" s="16"/>
      <c r="C90" s="16"/>
      <c r="D90" s="18"/>
      <c r="E90" s="18"/>
      <c r="F90" s="18"/>
      <c r="G90" s="18"/>
      <c r="H90" s="18"/>
      <c r="I90" s="18"/>
      <c r="J90" s="18"/>
      <c r="K90" s="18"/>
      <c r="L90" s="18"/>
      <c r="M90" s="18"/>
      <c r="N90" s="18"/>
      <c r="O90" s="18"/>
      <c r="P90" s="25"/>
      <c r="Q90" s="25"/>
      <c r="R90" s="25"/>
      <c r="S90" s="25"/>
      <c r="T90" s="25"/>
      <c r="U90" s="25"/>
      <c r="V90" s="80"/>
      <c r="W90" s="80"/>
      <c r="X90" s="80"/>
      <c r="Y90" s="80"/>
      <c r="Z90" s="80"/>
      <c r="AA90" s="80"/>
      <c r="AB90" s="80"/>
      <c r="AC90" s="80"/>
      <c r="AD90" s="80"/>
      <c r="AE90" s="80"/>
      <c r="AF90" s="80"/>
      <c r="AG90" s="80"/>
      <c r="AH90" s="80"/>
      <c r="AI90" s="80"/>
      <c r="AJ90" s="80"/>
      <c r="AK90" s="80"/>
      <c r="AL90" s="80"/>
      <c r="AM90" s="80"/>
      <c r="AN90" s="80"/>
      <c r="AO90" s="80"/>
      <c r="AP90" s="80"/>
      <c r="AQ90" s="80"/>
      <c r="AR90" s="80"/>
      <c r="AS90" s="80"/>
      <c r="AT90" s="80"/>
      <c r="AU90" s="80"/>
      <c r="AV90" s="80"/>
      <c r="AW90" s="80"/>
      <c r="AX90" s="80"/>
      <c r="AY90" s="80"/>
      <c r="AZ90" s="80"/>
      <c r="BA90" s="25"/>
      <c r="BB90" s="25"/>
      <c r="BC90" s="25"/>
      <c r="BD90" s="25"/>
      <c r="BE90" s="25"/>
      <c r="BF90" s="25"/>
      <c r="BG90" s="25"/>
      <c r="BH90" s="25"/>
      <c r="BI90" s="25"/>
      <c r="BJ90" s="25"/>
      <c r="BK90" s="25"/>
      <c r="BL90" s="25"/>
      <c r="BM90" s="25"/>
      <c r="BN90" s="25"/>
      <c r="BO90" s="26"/>
      <c r="BP90" s="26"/>
      <c r="BQ90" s="26"/>
      <c r="BR90" s="26"/>
    </row>
    <row r="91" spans="1:78" ht="14.25" customHeight="1" x14ac:dyDescent="0.25">
      <c r="A91" s="27" t="s">
        <v>149</v>
      </c>
      <c r="B91" s="28"/>
      <c r="C91" s="28"/>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30"/>
      <c r="BP91" s="30"/>
    </row>
    <row r="92" spans="1:78" ht="14.25" customHeight="1" x14ac:dyDescent="0.25">
      <c r="A92" s="31" t="s">
        <v>13</v>
      </c>
      <c r="B92" s="207" t="s">
        <v>144</v>
      </c>
      <c r="C92" s="207"/>
      <c r="D92" s="207"/>
      <c r="E92" s="207"/>
      <c r="F92" s="207"/>
      <c r="G92" s="207"/>
      <c r="H92" s="207"/>
      <c r="I92" s="207"/>
      <c r="J92" s="207"/>
      <c r="K92" s="207"/>
      <c r="L92" s="207"/>
      <c r="M92" s="207"/>
      <c r="N92" s="207"/>
      <c r="O92" s="207"/>
      <c r="P92" s="207"/>
      <c r="Q92" s="207"/>
      <c r="R92" s="207"/>
      <c r="S92" s="207"/>
      <c r="T92" s="207"/>
      <c r="U92" s="207"/>
      <c r="V92" s="207"/>
      <c r="W92" s="207"/>
      <c r="X92" s="207"/>
      <c r="Y92" s="207"/>
      <c r="Z92" s="207"/>
      <c r="AA92" s="207"/>
      <c r="AB92" s="207"/>
      <c r="AC92" s="207"/>
      <c r="AD92" s="207"/>
      <c r="AE92" s="207"/>
      <c r="AF92" s="207"/>
      <c r="AG92" s="207"/>
      <c r="AH92" s="207"/>
      <c r="AI92" s="207"/>
      <c r="AJ92" s="207"/>
      <c r="AK92" s="207"/>
      <c r="AL92" s="207"/>
      <c r="AM92" s="207"/>
      <c r="AN92" s="207"/>
      <c r="AO92" s="207"/>
      <c r="AP92" s="207"/>
      <c r="AQ92" s="207"/>
      <c r="AR92" s="207"/>
      <c r="AS92" s="207"/>
      <c r="AT92" s="207"/>
      <c r="AU92" s="207"/>
      <c r="AV92" s="207"/>
      <c r="AW92" s="207"/>
      <c r="AX92" s="207"/>
      <c r="AY92" s="207"/>
      <c r="AZ92" s="207"/>
      <c r="BA92" s="207"/>
      <c r="BB92" s="207"/>
      <c r="BC92" s="207"/>
      <c r="BD92" s="207"/>
      <c r="BE92" s="207"/>
      <c r="BF92" s="207"/>
      <c r="BG92" s="207"/>
      <c r="BH92" s="207"/>
      <c r="BI92" s="207"/>
      <c r="BJ92" s="207"/>
      <c r="BK92" s="207"/>
      <c r="BL92" s="207"/>
      <c r="BM92" s="207"/>
      <c r="BN92" s="207"/>
      <c r="BO92" s="207"/>
      <c r="BP92" s="207"/>
      <c r="BQ92" s="207"/>
    </row>
    <row r="93" spans="1:78" ht="14.25" customHeight="1" x14ac:dyDescent="0.25">
      <c r="A93" s="31" t="s">
        <v>14</v>
      </c>
      <c r="B93" s="189" t="s">
        <v>145</v>
      </c>
      <c r="C93" s="189"/>
      <c r="D93" s="189"/>
      <c r="E93" s="189"/>
      <c r="F93" s="189"/>
      <c r="G93" s="189"/>
      <c r="H93" s="189"/>
      <c r="I93" s="189"/>
      <c r="J93" s="189"/>
      <c r="K93" s="189"/>
      <c r="L93" s="189"/>
      <c r="M93" s="189"/>
      <c r="N93" s="189"/>
      <c r="O93" s="189"/>
      <c r="P93" s="189"/>
      <c r="Q93" s="189"/>
      <c r="R93" s="189"/>
      <c r="S93" s="189"/>
      <c r="T93" s="189"/>
      <c r="U93" s="189"/>
      <c r="V93" s="189"/>
      <c r="W93" s="189"/>
      <c r="X93" s="189"/>
      <c r="Y93" s="189"/>
      <c r="Z93" s="189"/>
      <c r="AA93" s="189"/>
      <c r="AB93" s="189"/>
      <c r="AC93" s="189"/>
      <c r="AD93" s="189"/>
      <c r="AE93" s="189"/>
      <c r="AF93" s="189"/>
      <c r="AG93" s="189"/>
      <c r="AH93" s="189"/>
      <c r="AI93" s="189"/>
      <c r="AJ93" s="189"/>
      <c r="AK93" s="189"/>
      <c r="AL93" s="189"/>
      <c r="AM93" s="189"/>
      <c r="AN93" s="189"/>
      <c r="AO93" s="189"/>
      <c r="AP93" s="189"/>
      <c r="AQ93" s="189"/>
      <c r="AR93" s="189"/>
      <c r="AS93" s="189"/>
      <c r="AT93" s="189"/>
      <c r="AU93" s="189"/>
      <c r="AV93" s="189"/>
      <c r="AW93" s="189"/>
      <c r="AX93" s="189"/>
      <c r="AY93" s="189"/>
      <c r="AZ93" s="189"/>
      <c r="BA93" s="189"/>
      <c r="BB93" s="189"/>
      <c r="BC93" s="189"/>
      <c r="BD93" s="189"/>
      <c r="BE93" s="189"/>
      <c r="BF93" s="189"/>
      <c r="BG93" s="189"/>
      <c r="BH93" s="189"/>
      <c r="BI93" s="189"/>
      <c r="BJ93" s="189"/>
      <c r="BK93" s="189"/>
      <c r="BL93" s="189"/>
      <c r="BM93" s="189"/>
      <c r="BN93" s="189"/>
      <c r="BO93" s="189"/>
      <c r="BP93" s="189"/>
      <c r="BQ93" s="190"/>
    </row>
    <row r="94" spans="1:78" ht="14.25" customHeight="1" x14ac:dyDescent="0.25">
      <c r="A94" s="31" t="s">
        <v>15</v>
      </c>
      <c r="B94" s="189" t="s">
        <v>146</v>
      </c>
      <c r="C94" s="189"/>
      <c r="D94" s="189"/>
      <c r="E94" s="189"/>
      <c r="F94" s="189"/>
      <c r="G94" s="189"/>
      <c r="H94" s="189"/>
      <c r="I94" s="189"/>
      <c r="J94" s="189"/>
      <c r="K94" s="189"/>
      <c r="L94" s="189"/>
      <c r="M94" s="189"/>
      <c r="N94" s="189"/>
      <c r="O94" s="189"/>
      <c r="P94" s="189"/>
      <c r="Q94" s="189"/>
      <c r="R94" s="189"/>
      <c r="S94" s="189"/>
      <c r="T94" s="189"/>
      <c r="U94" s="189"/>
      <c r="V94" s="189"/>
      <c r="W94" s="189"/>
      <c r="X94" s="189"/>
      <c r="Y94" s="189"/>
      <c r="Z94" s="189"/>
      <c r="AA94" s="189"/>
      <c r="AB94" s="189"/>
      <c r="AC94" s="189"/>
      <c r="AD94" s="189"/>
      <c r="AE94" s="189"/>
      <c r="AF94" s="189"/>
      <c r="AG94" s="189"/>
      <c r="AH94" s="189"/>
      <c r="AI94" s="189"/>
      <c r="AJ94" s="189"/>
      <c r="AK94" s="189"/>
      <c r="AL94" s="189"/>
      <c r="AM94" s="189"/>
      <c r="AN94" s="189"/>
      <c r="AO94" s="189"/>
      <c r="AP94" s="189"/>
      <c r="AQ94" s="189"/>
      <c r="AR94" s="189"/>
      <c r="AS94" s="189"/>
      <c r="AT94" s="189"/>
      <c r="AU94" s="189"/>
      <c r="AV94" s="189"/>
      <c r="AW94" s="189"/>
      <c r="AX94" s="189"/>
      <c r="AY94" s="189"/>
      <c r="AZ94" s="189"/>
      <c r="BA94" s="189"/>
      <c r="BB94" s="189"/>
      <c r="BC94" s="189"/>
      <c r="BD94" s="189"/>
      <c r="BE94" s="189"/>
      <c r="BF94" s="189"/>
      <c r="BG94" s="189"/>
      <c r="BH94" s="189"/>
      <c r="BI94" s="189"/>
      <c r="BJ94" s="189"/>
      <c r="BK94" s="189"/>
      <c r="BL94" s="189"/>
      <c r="BM94" s="189"/>
      <c r="BN94" s="189"/>
      <c r="BO94" s="189"/>
      <c r="BP94" s="189"/>
      <c r="BQ94" s="190"/>
    </row>
    <row r="95" spans="1:78" ht="14.25" customHeight="1" x14ac:dyDescent="0.25">
      <c r="A95" s="31" t="s">
        <v>16</v>
      </c>
      <c r="B95" s="189" t="s">
        <v>147</v>
      </c>
      <c r="C95" s="189"/>
      <c r="D95" s="189"/>
      <c r="E95" s="189"/>
      <c r="F95" s="189"/>
      <c r="G95" s="189"/>
      <c r="H95" s="189"/>
      <c r="I95" s="189"/>
      <c r="J95" s="189"/>
      <c r="K95" s="189"/>
      <c r="L95" s="189"/>
      <c r="M95" s="189"/>
      <c r="N95" s="189"/>
      <c r="O95" s="189"/>
      <c r="P95" s="189"/>
      <c r="Q95" s="189"/>
      <c r="R95" s="189"/>
      <c r="S95" s="189"/>
      <c r="T95" s="189"/>
      <c r="U95" s="189"/>
      <c r="V95" s="189"/>
      <c r="W95" s="189"/>
      <c r="X95" s="189"/>
      <c r="Y95" s="189"/>
      <c r="Z95" s="189"/>
      <c r="AA95" s="189"/>
      <c r="AB95" s="189"/>
      <c r="AC95" s="189"/>
      <c r="AD95" s="189"/>
      <c r="AE95" s="189"/>
      <c r="AF95" s="189"/>
      <c r="AG95" s="189"/>
      <c r="AH95" s="189"/>
      <c r="AI95" s="189"/>
      <c r="AJ95" s="189"/>
      <c r="AK95" s="189"/>
      <c r="AL95" s="189"/>
      <c r="AM95" s="189"/>
      <c r="AN95" s="189"/>
      <c r="AO95" s="189"/>
      <c r="AP95" s="189"/>
      <c r="AQ95" s="189"/>
      <c r="AR95" s="189"/>
      <c r="AS95" s="189"/>
      <c r="AT95" s="189"/>
      <c r="AU95" s="189"/>
      <c r="AV95" s="189"/>
      <c r="AW95" s="189"/>
      <c r="AX95" s="189"/>
      <c r="AY95" s="189"/>
      <c r="AZ95" s="189"/>
      <c r="BA95" s="189"/>
      <c r="BB95" s="189"/>
      <c r="BC95" s="189"/>
      <c r="BD95" s="189"/>
      <c r="BE95" s="189"/>
      <c r="BF95" s="189"/>
      <c r="BG95" s="189"/>
      <c r="BH95" s="189"/>
      <c r="BI95" s="189"/>
      <c r="BJ95" s="189"/>
      <c r="BK95" s="189"/>
      <c r="BL95" s="189"/>
      <c r="BM95" s="189"/>
      <c r="BN95" s="189"/>
      <c r="BO95" s="189"/>
      <c r="BP95" s="189"/>
      <c r="BQ95" s="190"/>
    </row>
    <row r="96" spans="1:78" ht="14.25" customHeight="1" x14ac:dyDescent="0.25">
      <c r="A96" s="31" t="s">
        <v>17</v>
      </c>
      <c r="B96" s="189" t="s">
        <v>148</v>
      </c>
      <c r="C96" s="189"/>
      <c r="D96" s="189"/>
      <c r="E96" s="189"/>
      <c r="F96" s="189"/>
      <c r="G96" s="189"/>
      <c r="H96" s="189"/>
      <c r="I96" s="189"/>
      <c r="J96" s="189"/>
      <c r="K96" s="189"/>
      <c r="L96" s="189"/>
      <c r="M96" s="189"/>
      <c r="N96" s="189"/>
      <c r="O96" s="189"/>
      <c r="P96" s="189"/>
      <c r="Q96" s="189"/>
      <c r="R96" s="189"/>
      <c r="S96" s="189"/>
      <c r="T96" s="189"/>
      <c r="U96" s="189"/>
      <c r="V96" s="189"/>
      <c r="W96" s="189"/>
      <c r="X96" s="189"/>
      <c r="Y96" s="189"/>
      <c r="Z96" s="189"/>
      <c r="AA96" s="189"/>
      <c r="AB96" s="189"/>
      <c r="AC96" s="189"/>
      <c r="AD96" s="189"/>
      <c r="AE96" s="189"/>
      <c r="AF96" s="189"/>
      <c r="AG96" s="189"/>
      <c r="AH96" s="189"/>
      <c r="AI96" s="189"/>
      <c r="AJ96" s="189"/>
      <c r="AK96" s="189"/>
      <c r="AL96" s="189"/>
      <c r="AM96" s="189"/>
      <c r="AN96" s="189"/>
      <c r="AO96" s="189"/>
      <c r="AP96" s="189"/>
      <c r="AQ96" s="189"/>
      <c r="AR96" s="189"/>
      <c r="AS96" s="189"/>
      <c r="AT96" s="189"/>
      <c r="AU96" s="189"/>
      <c r="AV96" s="189"/>
      <c r="AW96" s="189"/>
      <c r="AX96" s="189"/>
      <c r="AY96" s="189"/>
      <c r="AZ96" s="189"/>
      <c r="BA96" s="189"/>
      <c r="BB96" s="189"/>
      <c r="BC96" s="189"/>
      <c r="BD96" s="189"/>
      <c r="BE96" s="189"/>
      <c r="BF96" s="189"/>
      <c r="BG96" s="189"/>
      <c r="BH96" s="189"/>
      <c r="BI96" s="189"/>
      <c r="BJ96" s="189"/>
      <c r="BK96" s="189"/>
      <c r="BL96" s="189"/>
      <c r="BM96" s="189"/>
      <c r="BN96" s="189"/>
      <c r="BO96" s="189"/>
      <c r="BP96" s="190"/>
      <c r="BQ96" s="190"/>
    </row>
    <row r="97" spans="1:70" ht="14.25" customHeight="1" x14ac:dyDescent="0.25">
      <c r="A97" s="31" t="s">
        <v>18</v>
      </c>
      <c r="B97" s="188" t="s">
        <v>158</v>
      </c>
      <c r="C97" s="188"/>
      <c r="D97" s="188"/>
      <c r="E97" s="188"/>
      <c r="F97" s="188"/>
      <c r="G97" s="188"/>
      <c r="H97" s="188"/>
      <c r="I97" s="188"/>
      <c r="J97" s="188"/>
      <c r="K97" s="188"/>
      <c r="L97" s="188"/>
      <c r="M97" s="188"/>
      <c r="N97" s="188"/>
      <c r="O97" s="188"/>
      <c r="P97" s="188"/>
      <c r="Q97" s="188"/>
      <c r="R97" s="188"/>
      <c r="S97" s="188"/>
      <c r="T97" s="188"/>
      <c r="U97" s="188"/>
      <c r="V97" s="188"/>
      <c r="W97" s="188"/>
      <c r="X97" s="188"/>
      <c r="Y97" s="188"/>
      <c r="Z97" s="188"/>
      <c r="AA97" s="188"/>
      <c r="AB97" s="188"/>
      <c r="AC97" s="188"/>
      <c r="AD97" s="188"/>
      <c r="AE97" s="188"/>
      <c r="AF97" s="188"/>
      <c r="AG97" s="188"/>
      <c r="AH97" s="188"/>
      <c r="AI97" s="188"/>
      <c r="AJ97" s="188"/>
      <c r="AK97" s="188"/>
      <c r="AL97" s="188"/>
      <c r="AM97" s="188"/>
      <c r="AN97" s="188"/>
      <c r="AO97" s="188"/>
      <c r="AP97" s="188"/>
      <c r="AQ97" s="188"/>
      <c r="AR97" s="188"/>
      <c r="AS97" s="188"/>
      <c r="AT97" s="188"/>
      <c r="AU97" s="188"/>
      <c r="AV97" s="188"/>
      <c r="AW97" s="188"/>
      <c r="AX97" s="188"/>
      <c r="AY97" s="188"/>
      <c r="AZ97" s="188"/>
      <c r="BA97" s="188"/>
      <c r="BB97" s="188"/>
      <c r="BC97" s="188"/>
      <c r="BD97" s="188"/>
      <c r="BE97" s="188"/>
      <c r="BF97" s="188"/>
      <c r="BG97" s="188"/>
      <c r="BH97" s="188"/>
      <c r="BI97" s="188"/>
      <c r="BJ97" s="188"/>
      <c r="BK97" s="188"/>
      <c r="BL97" s="188"/>
      <c r="BM97" s="188"/>
      <c r="BN97" s="188"/>
      <c r="BO97" s="188"/>
      <c r="BP97" s="188"/>
    </row>
    <row r="98" spans="1:70" ht="14.25" customHeight="1" x14ac:dyDescent="0.25">
      <c r="A98" s="31"/>
      <c r="B98" s="79"/>
      <c r="C98" s="79"/>
      <c r="D98" s="79"/>
      <c r="E98" s="79"/>
      <c r="F98" s="79"/>
      <c r="G98" s="79"/>
      <c r="H98" s="79"/>
      <c r="I98" s="79"/>
      <c r="J98" s="79"/>
      <c r="K98" s="79"/>
      <c r="L98" s="79"/>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79"/>
      <c r="AZ98" s="79"/>
      <c r="BA98" s="79"/>
      <c r="BB98" s="79"/>
      <c r="BC98" s="79"/>
      <c r="BD98" s="79"/>
      <c r="BE98" s="79"/>
      <c r="BF98" s="79"/>
      <c r="BG98" s="79"/>
      <c r="BH98" s="79"/>
      <c r="BI98" s="79"/>
      <c r="BJ98" s="79"/>
      <c r="BK98" s="79"/>
      <c r="BL98" s="79"/>
      <c r="BM98" s="79"/>
      <c r="BN98" s="79"/>
      <c r="BO98" s="79"/>
      <c r="BP98" s="79"/>
    </row>
    <row r="99" spans="1:70" ht="14.25" customHeight="1" x14ac:dyDescent="0.25">
      <c r="A99" s="31"/>
      <c r="B99" s="79"/>
      <c r="C99" s="79"/>
      <c r="D99" s="79"/>
      <c r="E99" s="79"/>
      <c r="F99" s="79"/>
      <c r="G99" s="79"/>
      <c r="H99" s="79"/>
      <c r="I99" s="79"/>
      <c r="J99" s="79"/>
      <c r="K99" s="79"/>
      <c r="L99" s="79"/>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79"/>
      <c r="AZ99" s="79"/>
      <c r="BA99" s="79"/>
      <c r="BB99" s="79"/>
      <c r="BC99" s="79"/>
      <c r="BD99" s="79"/>
      <c r="BE99" s="79"/>
      <c r="BF99" s="79"/>
      <c r="BG99" s="79"/>
      <c r="BH99" s="79"/>
      <c r="BI99" s="79"/>
      <c r="BJ99" s="79"/>
      <c r="BK99" s="79"/>
      <c r="BL99" s="79"/>
      <c r="BM99" s="79"/>
      <c r="BN99" s="79"/>
      <c r="BO99" s="79"/>
      <c r="BP99" s="79"/>
    </row>
    <row r="100" spans="1:70" ht="14.25" customHeight="1" x14ac:dyDescent="0.25">
      <c r="A100" s="143"/>
      <c r="B100" s="143"/>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32"/>
      <c r="Z100" s="32"/>
      <c r="AA100" s="32"/>
      <c r="AB100" s="32"/>
      <c r="AC100" s="32"/>
      <c r="AD100" s="32"/>
      <c r="AE100" s="32"/>
      <c r="AF100" s="32"/>
      <c r="AG100" s="32"/>
      <c r="AH100" s="32"/>
      <c r="AI100" s="32"/>
      <c r="AJ100" s="142" t="s">
        <v>71</v>
      </c>
      <c r="AK100" s="142"/>
      <c r="AL100" s="142"/>
      <c r="AM100" s="142"/>
      <c r="AN100" s="142"/>
      <c r="AO100" s="142"/>
      <c r="AP100" s="142"/>
      <c r="AQ100" s="142"/>
      <c r="AR100" s="142"/>
      <c r="AS100" s="142"/>
      <c r="AT100" s="142"/>
      <c r="AU100" s="142"/>
      <c r="AV100" s="142"/>
      <c r="AW100" s="142"/>
      <c r="AX100" s="142"/>
      <c r="AY100" s="142"/>
      <c r="AZ100" s="142"/>
      <c r="BA100" s="142"/>
      <c r="BB100" s="142"/>
      <c r="BC100" s="142"/>
      <c r="BD100" s="142"/>
      <c r="BE100" s="142"/>
      <c r="BF100" s="142"/>
      <c r="BG100" s="142"/>
      <c r="BH100" s="142"/>
      <c r="BI100" s="142"/>
      <c r="BJ100" s="142"/>
      <c r="BK100" s="142"/>
      <c r="BL100" s="142"/>
      <c r="BM100" s="142"/>
      <c r="BN100" s="142"/>
      <c r="BO100" s="142"/>
      <c r="BP100" s="142"/>
      <c r="BQ100" s="142"/>
      <c r="BR100" s="142"/>
    </row>
    <row r="101" spans="1:70" ht="14.25" customHeight="1" x14ac:dyDescent="0.25">
      <c r="A101" s="33"/>
      <c r="B101" s="34"/>
      <c r="C101" s="34"/>
      <c r="D101" s="33"/>
      <c r="E101" s="33"/>
      <c r="F101" s="33"/>
      <c r="G101" s="33"/>
      <c r="H101" s="33"/>
      <c r="I101" s="33"/>
      <c r="J101" s="33"/>
      <c r="K101" s="33"/>
      <c r="L101" s="33"/>
      <c r="M101" s="33"/>
      <c r="N101" s="33"/>
      <c r="O101" s="33"/>
      <c r="P101" s="33"/>
      <c r="Q101" s="33"/>
      <c r="R101" s="33"/>
      <c r="S101" s="33"/>
      <c r="T101" s="35"/>
      <c r="U101" s="35"/>
      <c r="V101" s="35"/>
      <c r="W101" s="35"/>
      <c r="X101" s="35"/>
      <c r="Y101" s="36"/>
      <c r="Z101" s="36"/>
      <c r="AA101" s="36"/>
      <c r="AB101" s="36"/>
      <c r="AC101" s="36"/>
      <c r="AD101" s="36"/>
      <c r="AE101" s="36"/>
      <c r="AF101" s="36"/>
      <c r="AG101" s="36"/>
      <c r="AH101" s="36"/>
      <c r="AI101" s="36"/>
      <c r="AJ101" s="142"/>
      <c r="AK101" s="142"/>
      <c r="AL101" s="142"/>
      <c r="AM101" s="142"/>
      <c r="AN101" s="142"/>
      <c r="AO101" s="142"/>
      <c r="AP101" s="142"/>
      <c r="AQ101" s="142"/>
      <c r="AR101" s="142"/>
      <c r="AS101" s="142"/>
      <c r="AT101" s="142"/>
      <c r="AU101" s="142"/>
      <c r="AV101" s="142"/>
      <c r="AW101" s="142"/>
      <c r="AX101" s="142"/>
      <c r="AY101" s="142"/>
      <c r="AZ101" s="142"/>
      <c r="BA101" s="142"/>
      <c r="BB101" s="142"/>
      <c r="BC101" s="142"/>
      <c r="BD101" s="142"/>
      <c r="BE101" s="142"/>
      <c r="BF101" s="142"/>
      <c r="BG101" s="142"/>
      <c r="BH101" s="142"/>
      <c r="BI101" s="142"/>
      <c r="BJ101" s="142"/>
      <c r="BK101" s="142"/>
      <c r="BL101" s="142"/>
      <c r="BM101" s="142"/>
      <c r="BN101" s="142"/>
      <c r="BO101" s="142"/>
      <c r="BP101" s="142"/>
      <c r="BQ101" s="142"/>
      <c r="BR101" s="142"/>
    </row>
    <row r="102" spans="1:70" ht="14.25" customHeight="1" x14ac:dyDescent="0.25">
      <c r="A102" s="33"/>
      <c r="B102" s="34"/>
      <c r="C102" s="34"/>
      <c r="D102" s="33"/>
      <c r="E102" s="33"/>
      <c r="F102" s="33"/>
      <c r="G102" s="33"/>
      <c r="H102" s="33"/>
      <c r="I102" s="33"/>
      <c r="J102" s="33"/>
      <c r="K102" s="33"/>
      <c r="L102" s="33"/>
      <c r="M102" s="33"/>
      <c r="N102" s="33"/>
      <c r="O102" s="33"/>
      <c r="P102" s="33"/>
      <c r="Q102" s="33"/>
      <c r="R102" s="33"/>
      <c r="S102" s="33"/>
      <c r="T102" s="35"/>
      <c r="U102" s="35"/>
      <c r="V102" s="35"/>
      <c r="W102" s="35"/>
      <c r="X102" s="35"/>
      <c r="Y102" s="36"/>
      <c r="Z102" s="36"/>
      <c r="AA102" s="36"/>
      <c r="AB102" s="36"/>
      <c r="AC102" s="36"/>
      <c r="AD102" s="36"/>
      <c r="AE102" s="36"/>
      <c r="AF102" s="36"/>
      <c r="AG102" s="36"/>
      <c r="AH102" s="36"/>
      <c r="AI102" s="36"/>
      <c r="AJ102" s="142"/>
      <c r="AK102" s="142"/>
      <c r="AL102" s="142"/>
      <c r="AM102" s="142"/>
      <c r="AN102" s="142"/>
      <c r="AO102" s="142"/>
      <c r="AP102" s="142"/>
      <c r="AQ102" s="142"/>
      <c r="AR102" s="142"/>
      <c r="AS102" s="142"/>
      <c r="AT102" s="142"/>
      <c r="AU102" s="142"/>
      <c r="AV102" s="142"/>
      <c r="AW102" s="142"/>
      <c r="AX102" s="142"/>
      <c r="AY102" s="142"/>
      <c r="AZ102" s="142"/>
      <c r="BA102" s="142"/>
      <c r="BB102" s="142"/>
      <c r="BC102" s="142"/>
      <c r="BD102" s="142"/>
      <c r="BE102" s="142"/>
      <c r="BF102" s="142"/>
      <c r="BG102" s="142"/>
      <c r="BH102" s="142"/>
      <c r="BI102" s="142"/>
      <c r="BJ102" s="142"/>
      <c r="BK102" s="142"/>
      <c r="BL102" s="142"/>
      <c r="BM102" s="142"/>
      <c r="BN102" s="142"/>
      <c r="BO102" s="142"/>
      <c r="BP102" s="142"/>
      <c r="BQ102" s="142"/>
      <c r="BR102" s="142"/>
    </row>
    <row r="103" spans="1:70" ht="14.25" customHeight="1" x14ac:dyDescent="0.25">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6"/>
      <c r="AG103" s="36"/>
      <c r="AH103" s="36"/>
      <c r="AI103" s="36"/>
      <c r="AJ103" s="142"/>
      <c r="AK103" s="142"/>
      <c r="AL103" s="142"/>
      <c r="AM103" s="142"/>
      <c r="AN103" s="142"/>
      <c r="AO103" s="142"/>
      <c r="AP103" s="142"/>
      <c r="AQ103" s="142"/>
      <c r="AR103" s="142"/>
      <c r="AS103" s="142"/>
      <c r="AT103" s="142"/>
      <c r="AU103" s="142"/>
      <c r="AV103" s="142"/>
      <c r="AW103" s="142"/>
      <c r="AX103" s="142"/>
      <c r="AY103" s="142"/>
      <c r="AZ103" s="142"/>
      <c r="BA103" s="142"/>
      <c r="BB103" s="142"/>
      <c r="BC103" s="142"/>
      <c r="BD103" s="142"/>
      <c r="BE103" s="142"/>
      <c r="BF103" s="142"/>
      <c r="BG103" s="142"/>
      <c r="BH103" s="142"/>
      <c r="BI103" s="142"/>
      <c r="BJ103" s="142"/>
      <c r="BK103" s="142"/>
      <c r="BL103" s="142"/>
      <c r="BM103" s="142"/>
      <c r="BN103" s="142"/>
      <c r="BO103" s="142"/>
      <c r="BP103" s="142"/>
      <c r="BQ103" s="142"/>
      <c r="BR103" s="142"/>
    </row>
    <row r="104" spans="1:70" ht="14.25" customHeight="1" x14ac:dyDescent="0.25">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6"/>
      <c r="AG104" s="36"/>
      <c r="AH104" s="36"/>
      <c r="AI104" s="36"/>
      <c r="AJ104" s="142"/>
      <c r="AK104" s="142"/>
      <c r="AL104" s="142"/>
      <c r="AM104" s="142"/>
      <c r="AN104" s="142"/>
      <c r="AO104" s="142"/>
      <c r="AP104" s="142"/>
      <c r="AQ104" s="142"/>
      <c r="AR104" s="142"/>
      <c r="AS104" s="142"/>
      <c r="AT104" s="142"/>
      <c r="AU104" s="142"/>
      <c r="AV104" s="142"/>
      <c r="AW104" s="142"/>
      <c r="AX104" s="142"/>
      <c r="AY104" s="142"/>
      <c r="AZ104" s="142"/>
      <c r="BA104" s="142"/>
      <c r="BB104" s="142"/>
      <c r="BC104" s="142"/>
      <c r="BD104" s="142"/>
      <c r="BE104" s="142"/>
      <c r="BF104" s="142"/>
      <c r="BG104" s="142"/>
      <c r="BH104" s="142"/>
      <c r="BI104" s="142"/>
      <c r="BJ104" s="142"/>
      <c r="BK104" s="142"/>
      <c r="BL104" s="142"/>
      <c r="BM104" s="142"/>
      <c r="BN104" s="142"/>
      <c r="BO104" s="142"/>
      <c r="BP104" s="142"/>
      <c r="BQ104" s="142"/>
      <c r="BR104" s="142"/>
    </row>
    <row r="105" spans="1:70" ht="14.25" customHeight="1" x14ac:dyDescent="0.25">
      <c r="A105" s="38"/>
      <c r="B105" s="16"/>
      <c r="C105" s="16"/>
      <c r="D105" s="38"/>
      <c r="E105" s="38"/>
      <c r="F105" s="38"/>
      <c r="G105" s="38"/>
      <c r="H105" s="38"/>
      <c r="I105" s="38"/>
      <c r="J105" s="38"/>
      <c r="K105" s="38"/>
      <c r="L105" s="38"/>
      <c r="M105" s="38"/>
      <c r="N105" s="38"/>
      <c r="O105" s="38"/>
      <c r="P105" s="38"/>
      <c r="Q105" s="38"/>
      <c r="R105" s="38"/>
      <c r="S105" s="38"/>
      <c r="T105" s="39"/>
      <c r="U105" s="39"/>
      <c r="V105" s="39"/>
      <c r="W105" s="39"/>
      <c r="X105" s="39"/>
      <c r="Y105" s="38"/>
      <c r="Z105" s="38"/>
      <c r="AA105" s="38"/>
      <c r="AB105" s="38"/>
      <c r="AC105" s="38"/>
      <c r="AD105" s="38"/>
      <c r="AE105" s="38"/>
      <c r="AF105" s="36"/>
      <c r="AG105" s="36"/>
      <c r="AH105" s="36"/>
      <c r="AI105" s="36"/>
      <c r="AJ105" s="142"/>
      <c r="AK105" s="142"/>
      <c r="AL105" s="142"/>
      <c r="AM105" s="142"/>
      <c r="AN105" s="142"/>
      <c r="AO105" s="142"/>
      <c r="AP105" s="142"/>
      <c r="AQ105" s="142"/>
      <c r="AR105" s="142"/>
      <c r="AS105" s="142"/>
      <c r="AT105" s="142"/>
      <c r="AU105" s="142"/>
      <c r="AV105" s="142"/>
      <c r="AW105" s="142"/>
      <c r="AX105" s="142"/>
      <c r="AY105" s="142"/>
      <c r="AZ105" s="142"/>
      <c r="BA105" s="142"/>
      <c r="BB105" s="142"/>
      <c r="BC105" s="142"/>
      <c r="BD105" s="142"/>
      <c r="BE105" s="142"/>
      <c r="BF105" s="142"/>
      <c r="BG105" s="142"/>
      <c r="BH105" s="142"/>
      <c r="BI105" s="142"/>
      <c r="BJ105" s="142"/>
      <c r="BK105" s="142"/>
      <c r="BL105" s="142"/>
      <c r="BM105" s="142"/>
      <c r="BN105" s="142"/>
      <c r="BO105" s="142"/>
      <c r="BP105" s="142"/>
      <c r="BQ105" s="142"/>
      <c r="BR105" s="142"/>
    </row>
    <row r="106" spans="1:70" ht="14.25" customHeight="1" x14ac:dyDescent="0.25">
      <c r="A106" s="70"/>
      <c r="B106" s="16"/>
      <c r="C106" s="16"/>
      <c r="D106" s="70"/>
      <c r="E106" s="70"/>
      <c r="F106" s="70"/>
      <c r="G106" s="70"/>
      <c r="H106" s="70"/>
      <c r="I106" s="70"/>
      <c r="J106" s="70"/>
      <c r="K106" s="70"/>
      <c r="L106" s="70"/>
      <c r="M106" s="70"/>
      <c r="N106" s="70"/>
      <c r="O106" s="70"/>
      <c r="P106" s="70"/>
      <c r="Q106" s="70"/>
      <c r="R106" s="70"/>
      <c r="S106" s="70"/>
      <c r="T106" s="40"/>
      <c r="U106" s="40"/>
      <c r="V106" s="40"/>
      <c r="W106" s="40"/>
      <c r="X106" s="40"/>
      <c r="Y106" s="38"/>
      <c r="Z106" s="38"/>
      <c r="AA106" s="38"/>
      <c r="AB106" s="38"/>
      <c r="AC106" s="38"/>
      <c r="AD106" s="38"/>
      <c r="AE106" s="38"/>
      <c r="AF106" s="36"/>
      <c r="AG106" s="36"/>
      <c r="AH106" s="36"/>
      <c r="AI106" s="36"/>
      <c r="AJ106" s="142"/>
      <c r="AK106" s="142"/>
      <c r="AL106" s="142"/>
      <c r="AM106" s="142"/>
      <c r="AN106" s="142"/>
      <c r="AO106" s="142"/>
      <c r="AP106" s="142"/>
      <c r="AQ106" s="142"/>
      <c r="AR106" s="142"/>
      <c r="AS106" s="142"/>
      <c r="AT106" s="142"/>
      <c r="AU106" s="142"/>
      <c r="AV106" s="142"/>
      <c r="AW106" s="142"/>
      <c r="AX106" s="142"/>
      <c r="AY106" s="142"/>
      <c r="AZ106" s="142"/>
      <c r="BA106" s="142"/>
      <c r="BB106" s="142"/>
      <c r="BC106" s="142"/>
      <c r="BD106" s="142"/>
      <c r="BE106" s="142"/>
      <c r="BF106" s="142"/>
      <c r="BG106" s="142"/>
      <c r="BH106" s="142"/>
      <c r="BI106" s="142"/>
      <c r="BJ106" s="142"/>
      <c r="BK106" s="142"/>
      <c r="BL106" s="142"/>
      <c r="BM106" s="142"/>
      <c r="BN106" s="142"/>
      <c r="BO106" s="142"/>
      <c r="BP106" s="142"/>
      <c r="BQ106" s="142"/>
      <c r="BR106" s="142"/>
    </row>
    <row r="107" spans="1:70" ht="14.25" customHeight="1" x14ac:dyDescent="0.3">
      <c r="A107" s="70"/>
      <c r="B107" s="16"/>
      <c r="C107" s="16"/>
      <c r="D107" s="70"/>
      <c r="E107" s="70"/>
      <c r="F107" s="70"/>
      <c r="G107" s="70"/>
      <c r="H107" s="70"/>
      <c r="I107" s="70"/>
      <c r="J107" s="70"/>
      <c r="K107" s="70"/>
      <c r="L107" s="70"/>
      <c r="M107" s="70"/>
      <c r="N107" s="70"/>
      <c r="O107" s="70"/>
      <c r="P107" s="70"/>
      <c r="Q107" s="70"/>
      <c r="R107" s="70"/>
      <c r="S107" s="70"/>
      <c r="T107" s="40"/>
      <c r="U107" s="40"/>
      <c r="V107" s="40"/>
      <c r="W107" s="40"/>
      <c r="X107" s="40"/>
      <c r="Y107" s="38"/>
      <c r="Z107" s="38"/>
      <c r="AA107" s="38"/>
      <c r="AB107" s="38"/>
      <c r="AC107" s="38"/>
      <c r="AD107" s="38"/>
      <c r="AE107" s="38"/>
      <c r="AF107" s="36"/>
      <c r="AG107" s="36"/>
      <c r="AH107" s="36"/>
      <c r="AI107" s="36"/>
      <c r="AJ107" s="36"/>
      <c r="AK107" s="41"/>
      <c r="AL107" s="69"/>
      <c r="AM107" s="69"/>
      <c r="AN107" s="69"/>
      <c r="AO107" s="69"/>
      <c r="AP107" s="69"/>
      <c r="AQ107" s="69"/>
      <c r="AR107" s="69"/>
      <c r="AS107" s="69"/>
      <c r="AT107" s="69"/>
      <c r="AU107" s="69"/>
      <c r="AV107" s="69"/>
      <c r="AW107" s="69"/>
      <c r="AX107" s="69"/>
      <c r="AY107" s="69"/>
      <c r="AZ107" s="69"/>
      <c r="BA107" s="69"/>
      <c r="BB107" s="69"/>
      <c r="BC107" s="69"/>
      <c r="BD107" s="69"/>
      <c r="BE107" s="69"/>
      <c r="BF107" s="69"/>
      <c r="BG107" s="69"/>
      <c r="BH107" s="69"/>
      <c r="BI107" s="69"/>
      <c r="BJ107" s="69"/>
      <c r="BK107" s="69"/>
      <c r="BL107" s="69"/>
      <c r="BM107" s="69"/>
      <c r="BN107" s="69"/>
      <c r="BO107" s="69"/>
      <c r="BP107" s="69"/>
    </row>
    <row r="108" spans="1:70" ht="14.25" customHeight="1" x14ac:dyDescent="0.3">
      <c r="A108" s="70"/>
      <c r="B108" s="16"/>
      <c r="C108" s="16"/>
      <c r="D108" s="70"/>
      <c r="E108" s="70"/>
      <c r="F108" s="70"/>
      <c r="G108" s="70"/>
      <c r="H108" s="70"/>
      <c r="I108" s="70"/>
      <c r="J108" s="70"/>
      <c r="K108" s="70"/>
      <c r="L108" s="70"/>
      <c r="M108" s="70"/>
      <c r="N108" s="70"/>
      <c r="O108" s="70"/>
      <c r="P108" s="70"/>
      <c r="Q108" s="70"/>
      <c r="R108" s="70"/>
      <c r="S108" s="70"/>
      <c r="T108" s="40"/>
      <c r="U108" s="40"/>
      <c r="V108" s="40"/>
      <c r="W108" s="40"/>
      <c r="X108" s="40"/>
      <c r="Y108" s="38"/>
      <c r="Z108" s="38"/>
      <c r="AA108" s="38"/>
      <c r="AB108" s="38"/>
      <c r="AC108" s="38"/>
      <c r="AD108" s="38"/>
      <c r="AE108" s="38"/>
      <c r="AF108" s="36"/>
      <c r="AG108" s="36"/>
      <c r="AH108" s="36"/>
      <c r="AI108" s="36"/>
      <c r="AJ108" s="36"/>
      <c r="AK108" s="41"/>
      <c r="AL108" s="69"/>
      <c r="AM108" s="69"/>
      <c r="AN108" s="69"/>
      <c r="AO108" s="69"/>
      <c r="AP108" s="69"/>
      <c r="AQ108" s="69"/>
      <c r="AR108" s="69"/>
      <c r="AS108" s="69"/>
      <c r="AT108" s="69"/>
      <c r="AU108" s="69"/>
      <c r="AV108" s="69"/>
      <c r="AW108" s="69"/>
      <c r="AX108" s="69"/>
      <c r="AY108" s="69"/>
      <c r="AZ108" s="69"/>
      <c r="BA108" s="69"/>
      <c r="BB108" s="69"/>
      <c r="BC108" s="69"/>
      <c r="BD108" s="69"/>
      <c r="BE108" s="69"/>
      <c r="BF108" s="69"/>
      <c r="BG108" s="69"/>
      <c r="BH108" s="69"/>
      <c r="BI108" s="69"/>
      <c r="BJ108" s="69"/>
      <c r="BK108" s="69"/>
      <c r="BL108" s="69"/>
      <c r="BM108" s="69"/>
      <c r="BN108" s="69"/>
      <c r="BO108" s="69"/>
      <c r="BP108" s="69"/>
    </row>
    <row r="109" spans="1:70" ht="14.25" customHeight="1" x14ac:dyDescent="0.25">
      <c r="A109" s="141" t="s">
        <v>67</v>
      </c>
      <c r="B109" s="141"/>
      <c r="C109" s="141"/>
      <c r="D109" s="141"/>
      <c r="E109" s="141"/>
      <c r="F109" s="141"/>
      <c r="G109" s="141"/>
      <c r="H109" s="141"/>
      <c r="I109" s="141"/>
      <c r="J109" s="141"/>
      <c r="K109" s="141"/>
      <c r="L109" s="141"/>
      <c r="M109" s="141"/>
      <c r="N109" s="141"/>
      <c r="O109" s="141"/>
      <c r="P109" s="142" t="s">
        <v>21</v>
      </c>
      <c r="Q109" s="142"/>
      <c r="R109" s="142"/>
      <c r="S109" s="142"/>
      <c r="T109" s="142"/>
      <c r="U109" s="142"/>
      <c r="V109" s="142"/>
      <c r="W109" s="142"/>
      <c r="X109" s="142"/>
      <c r="Y109" s="141" t="s">
        <v>68</v>
      </c>
      <c r="Z109" s="141"/>
      <c r="AA109" s="141"/>
      <c r="AB109" s="141"/>
      <c r="AC109" s="141"/>
      <c r="AD109" s="141"/>
      <c r="AE109" s="141"/>
      <c r="AF109" s="42"/>
      <c r="AG109" s="42"/>
      <c r="AH109" s="43"/>
      <c r="AI109" s="43"/>
      <c r="AJ109" s="203" t="s">
        <v>238</v>
      </c>
      <c r="AK109" s="203"/>
      <c r="AL109" s="203"/>
      <c r="AM109" s="203"/>
      <c r="AN109" s="203"/>
      <c r="AO109" s="203"/>
      <c r="AP109" s="203"/>
      <c r="AQ109" s="203"/>
      <c r="AR109" s="203"/>
      <c r="AS109" s="203"/>
      <c r="AT109" s="203"/>
      <c r="AU109" s="203"/>
      <c r="AV109" s="203"/>
      <c r="AW109" s="203"/>
      <c r="AX109" s="203"/>
      <c r="AY109" s="142" t="s">
        <v>21</v>
      </c>
      <c r="AZ109" s="142"/>
      <c r="BA109" s="142"/>
      <c r="BB109" s="142"/>
      <c r="BC109" s="142"/>
      <c r="BD109" s="142"/>
      <c r="BE109" s="142"/>
      <c r="BF109" s="142"/>
      <c r="BG109" s="142"/>
      <c r="BH109" s="203" t="s">
        <v>241</v>
      </c>
      <c r="BI109" s="203"/>
      <c r="BJ109" s="203"/>
      <c r="BK109" s="203"/>
      <c r="BL109" s="203"/>
      <c r="BM109" s="203"/>
      <c r="BN109" s="203"/>
      <c r="BO109" s="203"/>
      <c r="BP109" s="203"/>
      <c r="BQ109" s="203"/>
      <c r="BR109" s="203"/>
    </row>
    <row r="110" spans="1:70" ht="14.25" customHeight="1" x14ac:dyDescent="0.25">
      <c r="A110" s="141"/>
      <c r="B110" s="141"/>
      <c r="C110" s="141"/>
      <c r="D110" s="141"/>
      <c r="E110" s="141"/>
      <c r="F110" s="141"/>
      <c r="G110" s="141"/>
      <c r="H110" s="141"/>
      <c r="I110" s="141"/>
      <c r="J110" s="141"/>
      <c r="K110" s="141"/>
      <c r="L110" s="141"/>
      <c r="M110" s="141"/>
      <c r="N110" s="141"/>
      <c r="O110" s="141"/>
      <c r="P110" s="142"/>
      <c r="Q110" s="142"/>
      <c r="R110" s="142"/>
      <c r="S110" s="142"/>
      <c r="T110" s="142"/>
      <c r="U110" s="142"/>
      <c r="V110" s="142"/>
      <c r="W110" s="142"/>
      <c r="X110" s="142"/>
      <c r="Y110" s="141"/>
      <c r="Z110" s="141"/>
      <c r="AA110" s="141"/>
      <c r="AB110" s="141"/>
      <c r="AC110" s="141"/>
      <c r="AD110" s="141"/>
      <c r="AE110" s="141"/>
      <c r="AF110" s="42"/>
      <c r="AG110" s="42"/>
      <c r="AH110" s="43"/>
      <c r="AI110" s="43"/>
      <c r="AJ110" s="203"/>
      <c r="AK110" s="203"/>
      <c r="AL110" s="203"/>
      <c r="AM110" s="203"/>
      <c r="AN110" s="203"/>
      <c r="AO110" s="203"/>
      <c r="AP110" s="203"/>
      <c r="AQ110" s="203"/>
      <c r="AR110" s="203"/>
      <c r="AS110" s="203"/>
      <c r="AT110" s="203"/>
      <c r="AU110" s="203"/>
      <c r="AV110" s="203"/>
      <c r="AW110" s="203"/>
      <c r="AX110" s="203"/>
      <c r="AY110" s="142"/>
      <c r="AZ110" s="142"/>
      <c r="BA110" s="142"/>
      <c r="BB110" s="142"/>
      <c r="BC110" s="142"/>
      <c r="BD110" s="142"/>
      <c r="BE110" s="142"/>
      <c r="BF110" s="142"/>
      <c r="BG110" s="142"/>
      <c r="BH110" s="203"/>
      <c r="BI110" s="203"/>
      <c r="BJ110" s="203"/>
      <c r="BK110" s="203"/>
      <c r="BL110" s="203"/>
      <c r="BM110" s="203"/>
      <c r="BN110" s="203"/>
      <c r="BO110" s="203"/>
      <c r="BP110" s="203"/>
      <c r="BQ110" s="203"/>
      <c r="BR110" s="203"/>
    </row>
    <row r="111" spans="1:70" ht="14.25" customHeight="1" x14ac:dyDescent="0.25">
      <c r="A111" s="141"/>
      <c r="B111" s="141"/>
      <c r="C111" s="141"/>
      <c r="D111" s="141"/>
      <c r="E111" s="141"/>
      <c r="F111" s="141"/>
      <c r="G111" s="141"/>
      <c r="H111" s="141"/>
      <c r="I111" s="141"/>
      <c r="J111" s="141"/>
      <c r="K111" s="141"/>
      <c r="L111" s="141"/>
      <c r="M111" s="141"/>
      <c r="N111" s="141"/>
      <c r="O111" s="141"/>
      <c r="P111" s="142"/>
      <c r="Q111" s="142"/>
      <c r="R111" s="142"/>
      <c r="S111" s="142"/>
      <c r="T111" s="142"/>
      <c r="U111" s="142"/>
      <c r="V111" s="142"/>
      <c r="W111" s="142"/>
      <c r="X111" s="142"/>
      <c r="Y111" s="141"/>
      <c r="Z111" s="141"/>
      <c r="AA111" s="141"/>
      <c r="AB111" s="141"/>
      <c r="AC111" s="141"/>
      <c r="AD111" s="141"/>
      <c r="AE111" s="141"/>
      <c r="AF111" s="42"/>
      <c r="AG111" s="42"/>
      <c r="AH111" s="43"/>
      <c r="AI111" s="43"/>
      <c r="AJ111" s="203"/>
      <c r="AK111" s="203"/>
      <c r="AL111" s="203"/>
      <c r="AM111" s="203"/>
      <c r="AN111" s="203"/>
      <c r="AO111" s="203"/>
      <c r="AP111" s="203"/>
      <c r="AQ111" s="203"/>
      <c r="AR111" s="203"/>
      <c r="AS111" s="203"/>
      <c r="AT111" s="203"/>
      <c r="AU111" s="203"/>
      <c r="AV111" s="203"/>
      <c r="AW111" s="203"/>
      <c r="AX111" s="203"/>
      <c r="AY111" s="142"/>
      <c r="AZ111" s="142"/>
      <c r="BA111" s="142"/>
      <c r="BB111" s="142"/>
      <c r="BC111" s="142"/>
      <c r="BD111" s="142"/>
      <c r="BE111" s="142"/>
      <c r="BF111" s="142"/>
      <c r="BG111" s="142"/>
      <c r="BH111" s="203"/>
      <c r="BI111" s="203"/>
      <c r="BJ111" s="203"/>
      <c r="BK111" s="203"/>
      <c r="BL111" s="203"/>
      <c r="BM111" s="203"/>
      <c r="BN111" s="203"/>
      <c r="BO111" s="203"/>
      <c r="BP111" s="203"/>
      <c r="BQ111" s="203"/>
      <c r="BR111" s="203"/>
    </row>
    <row r="112" spans="1:70" ht="14.25" customHeight="1" x14ac:dyDescent="0.25">
      <c r="A112" s="141"/>
      <c r="B112" s="141"/>
      <c r="C112" s="141"/>
      <c r="D112" s="141"/>
      <c r="E112" s="141"/>
      <c r="F112" s="141"/>
      <c r="G112" s="141"/>
      <c r="H112" s="141"/>
      <c r="I112" s="141"/>
      <c r="J112" s="141"/>
      <c r="K112" s="141"/>
      <c r="L112" s="141"/>
      <c r="M112" s="141"/>
      <c r="N112" s="141"/>
      <c r="O112" s="141"/>
      <c r="P112" s="142"/>
      <c r="Q112" s="142"/>
      <c r="R112" s="142"/>
      <c r="S112" s="142"/>
      <c r="T112" s="142"/>
      <c r="U112" s="142"/>
      <c r="V112" s="142"/>
      <c r="W112" s="142"/>
      <c r="X112" s="142"/>
      <c r="Y112" s="141"/>
      <c r="Z112" s="141"/>
      <c r="AA112" s="141"/>
      <c r="AB112" s="141"/>
      <c r="AC112" s="141"/>
      <c r="AD112" s="141"/>
      <c r="AE112" s="141"/>
      <c r="AF112" s="42"/>
      <c r="AG112" s="42"/>
      <c r="AH112" s="43"/>
      <c r="AI112" s="43"/>
      <c r="AJ112" s="203"/>
      <c r="AK112" s="203"/>
      <c r="AL112" s="203"/>
      <c r="AM112" s="203"/>
      <c r="AN112" s="203"/>
      <c r="AO112" s="203"/>
      <c r="AP112" s="203"/>
      <c r="AQ112" s="203"/>
      <c r="AR112" s="203"/>
      <c r="AS112" s="203"/>
      <c r="AT112" s="203"/>
      <c r="AU112" s="203"/>
      <c r="AV112" s="203"/>
      <c r="AW112" s="203"/>
      <c r="AX112" s="203"/>
      <c r="AY112" s="142"/>
      <c r="AZ112" s="142"/>
      <c r="BA112" s="142"/>
      <c r="BB112" s="142"/>
      <c r="BC112" s="142"/>
      <c r="BD112" s="142"/>
      <c r="BE112" s="142"/>
      <c r="BF112" s="142"/>
      <c r="BG112" s="142"/>
      <c r="BH112" s="203"/>
      <c r="BI112" s="203"/>
      <c r="BJ112" s="203"/>
      <c r="BK112" s="203"/>
      <c r="BL112" s="203"/>
      <c r="BM112" s="203"/>
      <c r="BN112" s="203"/>
      <c r="BO112" s="203"/>
      <c r="BP112" s="203"/>
      <c r="BQ112" s="203"/>
      <c r="BR112" s="203"/>
    </row>
    <row r="113" spans="1:70" ht="14.25" customHeight="1" x14ac:dyDescent="0.25">
      <c r="A113" s="68"/>
      <c r="B113" s="68"/>
      <c r="C113" s="68"/>
      <c r="D113" s="68"/>
      <c r="E113" s="68"/>
      <c r="F113" s="68"/>
      <c r="G113" s="68"/>
      <c r="H113" s="68"/>
      <c r="I113" s="68"/>
      <c r="J113" s="68"/>
      <c r="K113" s="68"/>
      <c r="L113" s="68"/>
      <c r="M113" s="68"/>
      <c r="N113" s="68"/>
      <c r="O113" s="68"/>
      <c r="P113" s="69"/>
      <c r="Q113" s="69"/>
      <c r="R113" s="69"/>
      <c r="S113" s="69"/>
      <c r="T113" s="69"/>
      <c r="U113" s="69"/>
      <c r="V113" s="69"/>
      <c r="W113" s="69"/>
      <c r="X113" s="69"/>
      <c r="Y113" s="68"/>
      <c r="Z113" s="68"/>
      <c r="AA113" s="68"/>
      <c r="AB113" s="68"/>
      <c r="AC113" s="68"/>
      <c r="AD113" s="68"/>
      <c r="AE113" s="68"/>
      <c r="AF113" s="42"/>
      <c r="AG113" s="42"/>
      <c r="AH113" s="43"/>
      <c r="AI113" s="43"/>
      <c r="AJ113" s="68"/>
      <c r="AK113" s="68"/>
      <c r="AL113" s="68"/>
      <c r="AM113" s="68"/>
      <c r="AN113" s="68"/>
      <c r="AO113" s="68"/>
      <c r="AP113" s="68"/>
      <c r="AQ113" s="68"/>
      <c r="AR113" s="68"/>
      <c r="AS113" s="68"/>
      <c r="AT113" s="68"/>
      <c r="AU113" s="68"/>
      <c r="AV113" s="68"/>
      <c r="AW113" s="68"/>
      <c r="AX113" s="68"/>
      <c r="AY113" s="69"/>
      <c r="AZ113" s="69"/>
      <c r="BA113" s="69"/>
      <c r="BB113" s="69"/>
      <c r="BC113" s="69"/>
      <c r="BD113" s="69"/>
      <c r="BE113" s="69"/>
      <c r="BF113" s="69"/>
      <c r="BG113" s="69"/>
      <c r="BH113" s="81"/>
      <c r="BI113" s="81"/>
      <c r="BJ113" s="81"/>
      <c r="BK113" s="81"/>
      <c r="BL113" s="81"/>
      <c r="BM113" s="81"/>
      <c r="BN113" s="81"/>
      <c r="BO113" s="81"/>
      <c r="BP113" s="81"/>
      <c r="BQ113" s="81"/>
      <c r="BR113" s="81"/>
    </row>
    <row r="114" spans="1:70" ht="14.25" customHeight="1" x14ac:dyDescent="0.3">
      <c r="A114" s="68"/>
      <c r="B114" s="68"/>
      <c r="C114" s="68"/>
      <c r="D114" s="68"/>
      <c r="E114" s="68"/>
      <c r="F114" s="68"/>
      <c r="G114" s="68"/>
      <c r="H114" s="68"/>
      <c r="I114" s="68"/>
      <c r="J114" s="68"/>
      <c r="K114" s="68"/>
      <c r="L114" s="68"/>
      <c r="M114" s="68"/>
      <c r="N114" s="68"/>
      <c r="O114" s="68"/>
      <c r="P114" s="68"/>
      <c r="Q114" s="42"/>
      <c r="R114" s="42"/>
      <c r="S114" s="42"/>
      <c r="T114" s="68"/>
      <c r="U114" s="68"/>
      <c r="V114" s="44"/>
      <c r="W114" s="44"/>
      <c r="X114" s="44"/>
      <c r="Y114" s="81"/>
      <c r="Z114" s="81"/>
      <c r="AA114" s="81"/>
      <c r="AB114" s="81"/>
      <c r="AC114" s="81"/>
      <c r="AD114" s="81"/>
      <c r="AE114" s="81"/>
      <c r="AF114" s="81"/>
      <c r="AG114" s="81"/>
      <c r="AH114" s="81"/>
      <c r="AI114" s="43"/>
      <c r="AJ114" s="68"/>
      <c r="AK114" s="68"/>
      <c r="AL114" s="68"/>
      <c r="AM114" s="68"/>
      <c r="AN114" s="68"/>
      <c r="AO114" s="68"/>
      <c r="AP114" s="68"/>
      <c r="AQ114" s="68"/>
      <c r="AR114" s="68"/>
      <c r="AS114" s="68"/>
      <c r="AT114" s="68"/>
      <c r="AU114" s="68"/>
      <c r="AV114" s="68"/>
      <c r="AW114" s="68"/>
      <c r="AX114" s="68"/>
      <c r="AY114" s="68"/>
      <c r="AZ114" s="42"/>
      <c r="BA114" s="42"/>
      <c r="BB114" s="42"/>
      <c r="BC114" s="68"/>
      <c r="BD114" s="68"/>
      <c r="BE114" s="44"/>
      <c r="BF114" s="44"/>
      <c r="BG114" s="44"/>
      <c r="BH114" s="81"/>
      <c r="BI114" s="81"/>
      <c r="BJ114" s="81"/>
      <c r="BK114" s="81"/>
      <c r="BL114" s="81"/>
      <c r="BM114" s="81"/>
      <c r="BN114" s="81"/>
      <c r="BO114" s="45"/>
      <c r="BP114" s="45"/>
    </row>
    <row r="115" spans="1:70" ht="14.25" customHeight="1" x14ac:dyDescent="0.25">
      <c r="A115" s="141" t="s">
        <v>254</v>
      </c>
      <c r="B115" s="141"/>
      <c r="C115" s="141"/>
      <c r="D115" s="141"/>
      <c r="E115" s="141"/>
      <c r="F115" s="141"/>
      <c r="G115" s="141"/>
      <c r="H115" s="141"/>
      <c r="I115" s="141"/>
      <c r="J115" s="141"/>
      <c r="K115" s="141"/>
      <c r="L115" s="141"/>
      <c r="M115" s="141"/>
      <c r="N115" s="141"/>
      <c r="O115" s="141"/>
      <c r="P115" s="142" t="s">
        <v>21</v>
      </c>
      <c r="Q115" s="142"/>
      <c r="R115" s="142"/>
      <c r="S115" s="142"/>
      <c r="T115" s="142"/>
      <c r="U115" s="142"/>
      <c r="V115" s="142"/>
      <c r="W115" s="142"/>
      <c r="X115" s="142"/>
      <c r="Y115" s="141" t="s">
        <v>69</v>
      </c>
      <c r="Z115" s="141"/>
      <c r="AA115" s="141"/>
      <c r="AB115" s="141"/>
      <c r="AC115" s="141"/>
      <c r="AD115" s="141"/>
      <c r="AE115" s="141"/>
      <c r="AF115" s="42"/>
      <c r="AG115" s="42"/>
      <c r="AH115" s="43"/>
      <c r="AI115" s="43"/>
      <c r="AJ115" s="141" t="s">
        <v>70</v>
      </c>
      <c r="AK115" s="141"/>
      <c r="AL115" s="141"/>
      <c r="AM115" s="141"/>
      <c r="AN115" s="141"/>
      <c r="AO115" s="141"/>
      <c r="AP115" s="141"/>
      <c r="AQ115" s="141"/>
      <c r="AR115" s="141"/>
      <c r="AS115" s="141"/>
      <c r="AT115" s="141"/>
      <c r="AU115" s="141"/>
      <c r="AV115" s="141"/>
      <c r="AW115" s="141"/>
      <c r="AX115" s="141"/>
      <c r="AY115" s="142" t="s">
        <v>21</v>
      </c>
      <c r="AZ115" s="142"/>
      <c r="BA115" s="142"/>
      <c r="BB115" s="142"/>
      <c r="BC115" s="142"/>
      <c r="BD115" s="142"/>
      <c r="BE115" s="142"/>
      <c r="BF115" s="142"/>
      <c r="BG115" s="142"/>
      <c r="BH115" s="203" t="s">
        <v>173</v>
      </c>
      <c r="BI115" s="203"/>
      <c r="BJ115" s="203"/>
      <c r="BK115" s="203"/>
      <c r="BL115" s="203"/>
      <c r="BM115" s="203"/>
      <c r="BN115" s="203"/>
      <c r="BO115" s="203"/>
      <c r="BP115" s="203"/>
      <c r="BQ115" s="203"/>
      <c r="BR115" s="203"/>
    </row>
    <row r="116" spans="1:70" ht="14.25" customHeight="1" x14ac:dyDescent="0.25">
      <c r="A116" s="141"/>
      <c r="B116" s="141"/>
      <c r="C116" s="141"/>
      <c r="D116" s="141"/>
      <c r="E116" s="141"/>
      <c r="F116" s="141"/>
      <c r="G116" s="141"/>
      <c r="H116" s="141"/>
      <c r="I116" s="141"/>
      <c r="J116" s="141"/>
      <c r="K116" s="141"/>
      <c r="L116" s="141"/>
      <c r="M116" s="141"/>
      <c r="N116" s="141"/>
      <c r="O116" s="141"/>
      <c r="P116" s="142"/>
      <c r="Q116" s="142"/>
      <c r="R116" s="142"/>
      <c r="S116" s="142"/>
      <c r="T116" s="142"/>
      <c r="U116" s="142"/>
      <c r="V116" s="142"/>
      <c r="W116" s="142"/>
      <c r="X116" s="142"/>
      <c r="Y116" s="141"/>
      <c r="Z116" s="141"/>
      <c r="AA116" s="141"/>
      <c r="AB116" s="141"/>
      <c r="AC116" s="141"/>
      <c r="AD116" s="141"/>
      <c r="AE116" s="141"/>
      <c r="AF116" s="42"/>
      <c r="AG116" s="42"/>
      <c r="AH116" s="43"/>
      <c r="AI116" s="43"/>
      <c r="AJ116" s="141"/>
      <c r="AK116" s="141"/>
      <c r="AL116" s="141"/>
      <c r="AM116" s="141"/>
      <c r="AN116" s="141"/>
      <c r="AO116" s="141"/>
      <c r="AP116" s="141"/>
      <c r="AQ116" s="141"/>
      <c r="AR116" s="141"/>
      <c r="AS116" s="141"/>
      <c r="AT116" s="141"/>
      <c r="AU116" s="141"/>
      <c r="AV116" s="141"/>
      <c r="AW116" s="141"/>
      <c r="AX116" s="141"/>
      <c r="AY116" s="142"/>
      <c r="AZ116" s="142"/>
      <c r="BA116" s="142"/>
      <c r="BB116" s="142"/>
      <c r="BC116" s="142"/>
      <c r="BD116" s="142"/>
      <c r="BE116" s="142"/>
      <c r="BF116" s="142"/>
      <c r="BG116" s="142"/>
      <c r="BH116" s="203"/>
      <c r="BI116" s="203"/>
      <c r="BJ116" s="203"/>
      <c r="BK116" s="203"/>
      <c r="BL116" s="203"/>
      <c r="BM116" s="203"/>
      <c r="BN116" s="203"/>
      <c r="BO116" s="203"/>
      <c r="BP116" s="203"/>
      <c r="BQ116" s="203"/>
      <c r="BR116" s="203"/>
    </row>
    <row r="117" spans="1:70" ht="14.25" customHeight="1" x14ac:dyDescent="0.25">
      <c r="A117" s="141"/>
      <c r="B117" s="141"/>
      <c r="C117" s="141"/>
      <c r="D117" s="141"/>
      <c r="E117" s="141"/>
      <c r="F117" s="141"/>
      <c r="G117" s="141"/>
      <c r="H117" s="141"/>
      <c r="I117" s="141"/>
      <c r="J117" s="141"/>
      <c r="K117" s="141"/>
      <c r="L117" s="141"/>
      <c r="M117" s="141"/>
      <c r="N117" s="141"/>
      <c r="O117" s="141"/>
      <c r="P117" s="142"/>
      <c r="Q117" s="142"/>
      <c r="R117" s="142"/>
      <c r="S117" s="142"/>
      <c r="T117" s="142"/>
      <c r="U117" s="142"/>
      <c r="V117" s="142"/>
      <c r="W117" s="142"/>
      <c r="X117" s="142"/>
      <c r="Y117" s="141"/>
      <c r="Z117" s="141"/>
      <c r="AA117" s="141"/>
      <c r="AB117" s="141"/>
      <c r="AC117" s="141"/>
      <c r="AD117" s="141"/>
      <c r="AE117" s="141"/>
      <c r="AF117" s="42"/>
      <c r="AG117" s="42"/>
      <c r="AH117" s="43"/>
      <c r="AI117" s="43"/>
      <c r="AJ117" s="141"/>
      <c r="AK117" s="141"/>
      <c r="AL117" s="141"/>
      <c r="AM117" s="141"/>
      <c r="AN117" s="141"/>
      <c r="AO117" s="141"/>
      <c r="AP117" s="141"/>
      <c r="AQ117" s="141"/>
      <c r="AR117" s="141"/>
      <c r="AS117" s="141"/>
      <c r="AT117" s="141"/>
      <c r="AU117" s="141"/>
      <c r="AV117" s="141"/>
      <c r="AW117" s="141"/>
      <c r="AX117" s="141"/>
      <c r="AY117" s="142"/>
      <c r="AZ117" s="142"/>
      <c r="BA117" s="142"/>
      <c r="BB117" s="142"/>
      <c r="BC117" s="142"/>
      <c r="BD117" s="142"/>
      <c r="BE117" s="142"/>
      <c r="BF117" s="142"/>
      <c r="BG117" s="142"/>
      <c r="BH117" s="203"/>
      <c r="BI117" s="203"/>
      <c r="BJ117" s="203"/>
      <c r="BK117" s="203"/>
      <c r="BL117" s="203"/>
      <c r="BM117" s="203"/>
      <c r="BN117" s="203"/>
      <c r="BO117" s="203"/>
      <c r="BP117" s="203"/>
      <c r="BQ117" s="203"/>
      <c r="BR117" s="203"/>
    </row>
    <row r="118" spans="1:70" ht="14.25" customHeight="1" x14ac:dyDescent="0.25">
      <c r="A118" s="141"/>
      <c r="B118" s="141"/>
      <c r="C118" s="141"/>
      <c r="D118" s="141"/>
      <c r="E118" s="141"/>
      <c r="F118" s="141"/>
      <c r="G118" s="141"/>
      <c r="H118" s="141"/>
      <c r="I118" s="141"/>
      <c r="J118" s="141"/>
      <c r="K118" s="141"/>
      <c r="L118" s="141"/>
      <c r="M118" s="141"/>
      <c r="N118" s="141"/>
      <c r="O118" s="141"/>
      <c r="P118" s="142"/>
      <c r="Q118" s="142"/>
      <c r="R118" s="142"/>
      <c r="S118" s="142"/>
      <c r="T118" s="142"/>
      <c r="U118" s="142"/>
      <c r="V118" s="142"/>
      <c r="W118" s="142"/>
      <c r="X118" s="142"/>
      <c r="Y118" s="141"/>
      <c r="Z118" s="141"/>
      <c r="AA118" s="141"/>
      <c r="AB118" s="141"/>
      <c r="AC118" s="141"/>
      <c r="AD118" s="141"/>
      <c r="AE118" s="141"/>
      <c r="AF118" s="42"/>
      <c r="AG118" s="42"/>
      <c r="AH118" s="43"/>
      <c r="AI118" s="81"/>
      <c r="AJ118" s="141"/>
      <c r="AK118" s="141"/>
      <c r="AL118" s="141"/>
      <c r="AM118" s="141"/>
      <c r="AN118" s="141"/>
      <c r="AO118" s="141"/>
      <c r="AP118" s="141"/>
      <c r="AQ118" s="141"/>
      <c r="AR118" s="141"/>
      <c r="AS118" s="141"/>
      <c r="AT118" s="141"/>
      <c r="AU118" s="141"/>
      <c r="AV118" s="141"/>
      <c r="AW118" s="141"/>
      <c r="AX118" s="141"/>
      <c r="AY118" s="142"/>
      <c r="AZ118" s="142"/>
      <c r="BA118" s="142"/>
      <c r="BB118" s="142"/>
      <c r="BC118" s="142"/>
      <c r="BD118" s="142"/>
      <c r="BE118" s="142"/>
      <c r="BF118" s="142"/>
      <c r="BG118" s="142"/>
      <c r="BH118" s="203"/>
      <c r="BI118" s="203"/>
      <c r="BJ118" s="203"/>
      <c r="BK118" s="203"/>
      <c r="BL118" s="203"/>
      <c r="BM118" s="203"/>
      <c r="BN118" s="203"/>
      <c r="BO118" s="203"/>
      <c r="BP118" s="203"/>
      <c r="BQ118" s="203"/>
      <c r="BR118" s="203"/>
    </row>
    <row r="119" spans="1:70" ht="14.25" customHeight="1" x14ac:dyDescent="0.25">
      <c r="A119" s="68"/>
      <c r="B119" s="68"/>
      <c r="C119" s="68"/>
      <c r="D119" s="68"/>
      <c r="E119" s="68"/>
      <c r="F119" s="68"/>
      <c r="G119" s="68"/>
      <c r="H119" s="68"/>
      <c r="I119" s="68"/>
      <c r="J119" s="68"/>
      <c r="K119" s="68"/>
      <c r="L119" s="68"/>
      <c r="M119" s="68"/>
      <c r="N119" s="68"/>
      <c r="O119" s="68"/>
      <c r="P119" s="43"/>
      <c r="Q119" s="43"/>
      <c r="R119" s="43"/>
      <c r="S119" s="43"/>
      <c r="T119" s="43"/>
      <c r="U119" s="43"/>
      <c r="V119" s="43"/>
      <c r="W119" s="43"/>
      <c r="X119" s="43"/>
      <c r="Y119" s="81"/>
      <c r="Z119" s="81"/>
      <c r="AA119" s="81"/>
      <c r="AB119" s="81"/>
      <c r="AC119" s="81"/>
      <c r="AD119" s="81"/>
      <c r="AE119" s="81"/>
      <c r="AF119" s="81"/>
      <c r="AG119" s="81"/>
      <c r="AH119" s="43"/>
      <c r="AI119" s="81"/>
      <c r="AJ119" s="68"/>
      <c r="AK119" s="68"/>
      <c r="AL119" s="68"/>
      <c r="AM119" s="68"/>
      <c r="AN119" s="68"/>
      <c r="AO119" s="68"/>
      <c r="AP119" s="68"/>
      <c r="AQ119" s="68"/>
      <c r="AR119" s="68"/>
      <c r="AS119" s="68"/>
      <c r="AT119" s="68"/>
      <c r="AU119" s="68"/>
      <c r="AV119" s="68"/>
      <c r="AW119" s="68"/>
      <c r="AX119" s="68"/>
      <c r="AY119" s="43"/>
      <c r="AZ119" s="43"/>
      <c r="BA119" s="43"/>
      <c r="BB119" s="43"/>
      <c r="BC119" s="43"/>
      <c r="BD119" s="43"/>
      <c r="BE119" s="43"/>
      <c r="BF119" s="43"/>
      <c r="BG119" s="43"/>
      <c r="BH119" s="203" t="s">
        <v>174</v>
      </c>
      <c r="BI119" s="203"/>
      <c r="BJ119" s="203"/>
      <c r="BK119" s="203"/>
      <c r="BL119" s="203"/>
      <c r="BM119" s="203"/>
      <c r="BN119" s="203"/>
      <c r="BO119" s="203"/>
      <c r="BP119" s="203"/>
      <c r="BQ119" s="203"/>
      <c r="BR119" s="203"/>
    </row>
    <row r="120" spans="1:70" ht="14.25" customHeight="1" x14ac:dyDescent="0.25">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3"/>
      <c r="Z120" s="43"/>
      <c r="AA120" s="43"/>
      <c r="AB120" s="43"/>
      <c r="AC120" s="43"/>
      <c r="AD120" s="43"/>
      <c r="AE120" s="43"/>
      <c r="AF120" s="42"/>
      <c r="AG120" s="42"/>
      <c r="AH120" s="43"/>
      <c r="AI120" s="43"/>
      <c r="AJ120" s="42"/>
      <c r="AK120" s="42"/>
      <c r="AL120" s="42"/>
      <c r="AM120" s="42"/>
      <c r="AN120" s="42"/>
      <c r="AO120" s="42"/>
      <c r="AP120" s="42"/>
      <c r="AQ120" s="42"/>
      <c r="AR120" s="42"/>
      <c r="AS120" s="42"/>
      <c r="AT120" s="42"/>
      <c r="AU120" s="42"/>
      <c r="AV120" s="42"/>
      <c r="AW120" s="42"/>
      <c r="AX120" s="42"/>
      <c r="AY120" s="42"/>
      <c r="AZ120" s="42"/>
      <c r="BA120" s="42"/>
      <c r="BB120" s="42"/>
      <c r="BC120" s="42"/>
      <c r="BD120" s="42"/>
      <c r="BE120" s="42"/>
      <c r="BF120" s="42"/>
      <c r="BG120" s="42"/>
      <c r="BH120" s="203"/>
      <c r="BI120" s="203"/>
      <c r="BJ120" s="203"/>
      <c r="BK120" s="203"/>
      <c r="BL120" s="203"/>
      <c r="BM120" s="203"/>
      <c r="BN120" s="203"/>
      <c r="BO120" s="203"/>
      <c r="BP120" s="203"/>
      <c r="BQ120" s="203"/>
      <c r="BR120" s="203"/>
    </row>
    <row r="121" spans="1:70" ht="14.25" customHeight="1" x14ac:dyDescent="0.25">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3"/>
      <c r="Z121" s="43"/>
      <c r="AA121" s="43"/>
      <c r="AB121" s="43"/>
      <c r="AC121" s="43"/>
      <c r="AD121" s="43"/>
      <c r="AE121" s="43"/>
      <c r="AF121" s="42"/>
      <c r="AG121" s="42"/>
      <c r="AH121" s="43"/>
      <c r="AI121" s="43"/>
      <c r="AJ121" s="42"/>
      <c r="AK121" s="42"/>
      <c r="AL121" s="42"/>
      <c r="AM121" s="42"/>
      <c r="AN121" s="42"/>
      <c r="AO121" s="42"/>
      <c r="AP121" s="42"/>
      <c r="AQ121" s="42"/>
      <c r="AR121" s="42"/>
      <c r="AS121" s="42"/>
      <c r="AT121" s="42"/>
      <c r="AU121" s="42"/>
      <c r="AV121" s="42"/>
      <c r="AW121" s="42"/>
      <c r="AX121" s="42"/>
      <c r="AY121" s="42"/>
      <c r="AZ121" s="42"/>
      <c r="BA121" s="42"/>
      <c r="BB121" s="42"/>
      <c r="BC121" s="42"/>
      <c r="BD121" s="42"/>
      <c r="BE121" s="42"/>
      <c r="BF121" s="42"/>
      <c r="BG121" s="42"/>
      <c r="BH121" s="203"/>
      <c r="BI121" s="203"/>
      <c r="BJ121" s="203"/>
      <c r="BK121" s="203"/>
      <c r="BL121" s="203"/>
      <c r="BM121" s="203"/>
      <c r="BN121" s="203"/>
      <c r="BO121" s="203"/>
      <c r="BP121" s="203"/>
      <c r="BQ121" s="203"/>
      <c r="BR121" s="203"/>
    </row>
    <row r="122" spans="1:70" ht="14.25" customHeight="1" x14ac:dyDescent="0.25">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3"/>
      <c r="Z122" s="43"/>
      <c r="AA122" s="43"/>
      <c r="AB122" s="43"/>
      <c r="AC122" s="43"/>
      <c r="AD122" s="43"/>
      <c r="AE122" s="43"/>
      <c r="AF122" s="42"/>
      <c r="AG122" s="42"/>
      <c r="AH122" s="43"/>
      <c r="AI122" s="43"/>
      <c r="AJ122" s="42"/>
      <c r="AK122" s="42"/>
      <c r="AL122" s="42"/>
      <c r="AM122" s="42"/>
      <c r="AN122" s="42"/>
      <c r="AO122" s="42"/>
      <c r="AP122" s="42"/>
      <c r="AQ122" s="42"/>
      <c r="AR122" s="42"/>
      <c r="AS122" s="42"/>
      <c r="AT122" s="42"/>
      <c r="AU122" s="42"/>
      <c r="AV122" s="42"/>
      <c r="AW122" s="42"/>
      <c r="AX122" s="42"/>
      <c r="AY122" s="42"/>
      <c r="AZ122" s="42"/>
      <c r="BA122" s="42"/>
      <c r="BB122" s="42"/>
      <c r="BC122" s="42"/>
      <c r="BD122" s="42"/>
      <c r="BE122" s="42"/>
      <c r="BF122" s="42"/>
      <c r="BG122" s="42"/>
      <c r="BH122" s="203"/>
      <c r="BI122" s="203"/>
      <c r="BJ122" s="203"/>
      <c r="BK122" s="203"/>
      <c r="BL122" s="203"/>
      <c r="BM122" s="203"/>
      <c r="BN122" s="203"/>
      <c r="BO122" s="203"/>
      <c r="BP122" s="203"/>
      <c r="BQ122" s="203"/>
      <c r="BR122" s="203"/>
    </row>
    <row r="123" spans="1:70" ht="14.25" customHeight="1" x14ac:dyDescent="0.25">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3"/>
      <c r="Z123" s="43"/>
      <c r="AA123" s="43"/>
      <c r="AB123" s="43"/>
      <c r="AC123" s="43"/>
      <c r="AD123" s="43"/>
      <c r="AE123" s="43"/>
      <c r="AF123" s="42"/>
      <c r="AG123" s="42"/>
      <c r="AH123" s="43"/>
      <c r="AI123" s="37"/>
      <c r="AJ123" s="42"/>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2"/>
      <c r="BH123" s="203" t="s">
        <v>240</v>
      </c>
      <c r="BI123" s="203"/>
      <c r="BJ123" s="203"/>
      <c r="BK123" s="203"/>
      <c r="BL123" s="203"/>
      <c r="BM123" s="203"/>
      <c r="BN123" s="203"/>
      <c r="BO123" s="203"/>
      <c r="BP123" s="203"/>
      <c r="BQ123" s="203"/>
      <c r="BR123" s="203"/>
    </row>
    <row r="124" spans="1:70" ht="14.25" customHeight="1" x14ac:dyDescent="0.3">
      <c r="A124" s="68"/>
      <c r="B124" s="46"/>
      <c r="C124" s="46"/>
      <c r="D124" s="68"/>
      <c r="E124" s="68"/>
      <c r="F124" s="68"/>
      <c r="G124" s="68"/>
      <c r="H124" s="68"/>
      <c r="I124" s="68"/>
      <c r="J124" s="68"/>
      <c r="K124" s="68"/>
      <c r="L124" s="68"/>
      <c r="M124" s="68"/>
      <c r="N124" s="68"/>
      <c r="O124" s="68"/>
      <c r="P124" s="42"/>
      <c r="Q124" s="42"/>
      <c r="R124" s="42"/>
      <c r="S124" s="42"/>
      <c r="T124" s="42"/>
      <c r="U124" s="42"/>
      <c r="V124" s="42"/>
      <c r="W124" s="42"/>
      <c r="X124" s="42"/>
      <c r="Y124" s="43"/>
      <c r="Z124" s="43"/>
      <c r="AA124" s="43"/>
      <c r="AB124" s="43"/>
      <c r="AC124" s="43"/>
      <c r="AD124" s="43"/>
      <c r="AE124" s="43"/>
      <c r="AF124" s="47"/>
      <c r="AG124" s="47"/>
      <c r="AH124" s="48"/>
      <c r="AI124" s="47"/>
      <c r="AJ124" s="68"/>
      <c r="AK124" s="68"/>
      <c r="AL124" s="68"/>
      <c r="AM124" s="68"/>
      <c r="AN124" s="68"/>
      <c r="AO124" s="68"/>
      <c r="AP124" s="68"/>
      <c r="AQ124" s="68"/>
      <c r="AR124" s="68"/>
      <c r="AS124" s="68"/>
      <c r="AT124" s="68"/>
      <c r="AU124" s="68"/>
      <c r="AV124" s="68"/>
      <c r="AW124" s="68"/>
      <c r="AX124" s="68"/>
      <c r="AY124" s="187"/>
      <c r="AZ124" s="187"/>
      <c r="BA124" s="187"/>
      <c r="BB124" s="187"/>
      <c r="BC124" s="187"/>
      <c r="BD124" s="187"/>
      <c r="BE124" s="187"/>
      <c r="BF124" s="187"/>
      <c r="BG124" s="187"/>
      <c r="BH124" s="203"/>
      <c r="BI124" s="203"/>
      <c r="BJ124" s="203"/>
      <c r="BK124" s="203"/>
      <c r="BL124" s="203"/>
      <c r="BM124" s="203"/>
      <c r="BN124" s="203"/>
      <c r="BO124" s="203"/>
      <c r="BP124" s="203"/>
      <c r="BQ124" s="203"/>
      <c r="BR124" s="203"/>
    </row>
    <row r="125" spans="1:70" ht="14.25" customHeight="1" x14ac:dyDescent="0.3">
      <c r="A125" s="68"/>
      <c r="B125" s="46"/>
      <c r="C125" s="46"/>
      <c r="D125" s="68"/>
      <c r="E125" s="68"/>
      <c r="F125" s="68"/>
      <c r="G125" s="68"/>
      <c r="H125" s="68"/>
      <c r="I125" s="68"/>
      <c r="J125" s="68"/>
      <c r="K125" s="68"/>
      <c r="L125" s="68"/>
      <c r="M125" s="68"/>
      <c r="N125" s="68"/>
      <c r="O125" s="68"/>
      <c r="P125" s="42"/>
      <c r="Q125" s="42"/>
      <c r="R125" s="42"/>
      <c r="S125" s="42"/>
      <c r="T125" s="42"/>
      <c r="U125" s="42"/>
      <c r="V125" s="42"/>
      <c r="W125" s="42"/>
      <c r="X125" s="42"/>
      <c r="Y125" s="43"/>
      <c r="Z125" s="43"/>
      <c r="AA125" s="43"/>
      <c r="AB125" s="43"/>
      <c r="AC125" s="43"/>
      <c r="AD125" s="43"/>
      <c r="AE125" s="43"/>
      <c r="AF125" s="47"/>
      <c r="AG125" s="47"/>
      <c r="AH125" s="48"/>
      <c r="AI125" s="47"/>
      <c r="AJ125" s="68"/>
      <c r="AK125" s="68"/>
      <c r="AL125" s="68"/>
      <c r="AM125" s="68"/>
      <c r="AN125" s="68"/>
      <c r="AO125" s="68"/>
      <c r="AP125" s="68"/>
      <c r="AQ125" s="68"/>
      <c r="AR125" s="68"/>
      <c r="AS125" s="68"/>
      <c r="AT125" s="68"/>
      <c r="AU125" s="68"/>
      <c r="AV125" s="68"/>
      <c r="AW125" s="68"/>
      <c r="AX125" s="68"/>
      <c r="AY125" s="78"/>
      <c r="AZ125" s="78"/>
      <c r="BA125" s="78"/>
      <c r="BB125" s="78"/>
      <c r="BC125" s="78"/>
      <c r="BD125" s="78"/>
      <c r="BE125" s="78"/>
      <c r="BF125" s="78"/>
      <c r="BG125" s="78"/>
      <c r="BH125" s="203"/>
      <c r="BI125" s="203"/>
      <c r="BJ125" s="203"/>
      <c r="BK125" s="203"/>
      <c r="BL125" s="203"/>
      <c r="BM125" s="203"/>
      <c r="BN125" s="203"/>
      <c r="BO125" s="203"/>
      <c r="BP125" s="203"/>
      <c r="BQ125" s="203"/>
      <c r="BR125" s="203"/>
    </row>
    <row r="126" spans="1:70" ht="14.25" customHeight="1" x14ac:dyDescent="0.3">
      <c r="A126" s="68"/>
      <c r="B126" s="46"/>
      <c r="C126" s="46"/>
      <c r="D126" s="68"/>
      <c r="E126" s="68"/>
      <c r="F126" s="68"/>
      <c r="G126" s="68"/>
      <c r="H126" s="68"/>
      <c r="I126" s="68"/>
      <c r="J126" s="68"/>
      <c r="K126" s="68"/>
      <c r="L126" s="68"/>
      <c r="M126" s="68"/>
      <c r="N126" s="68"/>
      <c r="O126" s="68"/>
      <c r="P126" s="42"/>
      <c r="Q126" s="42"/>
      <c r="R126" s="42"/>
      <c r="S126" s="42"/>
      <c r="T126" s="42"/>
      <c r="U126" s="42"/>
      <c r="V126" s="42"/>
      <c r="W126" s="42"/>
      <c r="X126" s="42"/>
      <c r="Y126" s="43"/>
      <c r="Z126" s="43"/>
      <c r="AA126" s="43"/>
      <c r="AB126" s="43"/>
      <c r="AC126" s="43"/>
      <c r="AD126" s="43"/>
      <c r="AE126" s="43"/>
      <c r="AF126" s="47"/>
      <c r="AG126" s="47"/>
      <c r="AH126" s="48"/>
      <c r="AI126" s="47"/>
      <c r="AJ126" s="68"/>
      <c r="AK126" s="68"/>
      <c r="AL126" s="68"/>
      <c r="AM126" s="68"/>
      <c r="AN126" s="68"/>
      <c r="AO126" s="68"/>
      <c r="AP126" s="68"/>
      <c r="AQ126" s="68"/>
      <c r="AR126" s="68"/>
      <c r="AS126" s="68"/>
      <c r="AT126" s="68"/>
      <c r="AU126" s="68"/>
      <c r="AV126" s="68"/>
      <c r="AW126" s="68"/>
      <c r="AX126" s="68"/>
      <c r="AY126" s="78"/>
      <c r="AZ126" s="78"/>
      <c r="BA126" s="78"/>
      <c r="BB126" s="78"/>
      <c r="BC126" s="78"/>
      <c r="BD126" s="78"/>
      <c r="BE126" s="78"/>
      <c r="BF126" s="78"/>
      <c r="BG126" s="78"/>
      <c r="BH126" s="203"/>
      <c r="BI126" s="203"/>
      <c r="BJ126" s="203"/>
      <c r="BK126" s="203"/>
      <c r="BL126" s="203"/>
      <c r="BM126" s="203"/>
      <c r="BN126" s="203"/>
      <c r="BO126" s="203"/>
      <c r="BP126" s="203"/>
      <c r="BQ126" s="203"/>
      <c r="BR126" s="203"/>
    </row>
    <row r="127" spans="1:70" ht="14.25" customHeight="1" x14ac:dyDescent="0.3">
      <c r="A127" s="45"/>
      <c r="B127" s="45"/>
      <c r="C127" s="45"/>
      <c r="D127" s="45"/>
      <c r="E127" s="45"/>
      <c r="F127" s="45"/>
      <c r="G127" s="45"/>
      <c r="H127" s="45"/>
      <c r="I127" s="45"/>
      <c r="J127" s="45"/>
      <c r="K127" s="45"/>
      <c r="L127" s="45"/>
      <c r="M127" s="45"/>
      <c r="N127" s="45"/>
      <c r="O127" s="45"/>
      <c r="P127" s="42"/>
      <c r="Q127" s="42"/>
      <c r="R127" s="42"/>
      <c r="S127" s="42"/>
      <c r="T127" s="42"/>
      <c r="U127" s="42"/>
      <c r="V127" s="42"/>
      <c r="W127" s="42"/>
      <c r="X127" s="42"/>
      <c r="Y127" s="43"/>
      <c r="Z127" s="43"/>
      <c r="AA127" s="43"/>
      <c r="AB127" s="43"/>
      <c r="AC127" s="43"/>
      <c r="AD127" s="43"/>
      <c r="AE127" s="43"/>
      <c r="AF127" s="45"/>
      <c r="AG127" s="45"/>
      <c r="AH127" s="48"/>
      <c r="AI127" s="48"/>
      <c r="AJ127" s="206"/>
      <c r="AK127" s="206"/>
      <c r="AL127" s="206"/>
      <c r="AM127" s="206"/>
      <c r="AN127" s="206"/>
      <c r="AO127" s="206"/>
      <c r="AP127" s="206"/>
      <c r="AQ127" s="206"/>
      <c r="AR127" s="206"/>
      <c r="AS127" s="206"/>
      <c r="AT127" s="206"/>
      <c r="AU127" s="206"/>
      <c r="AV127" s="206"/>
      <c r="AW127" s="206"/>
      <c r="AX127" s="206"/>
      <c r="AY127" s="187"/>
      <c r="AZ127" s="187"/>
      <c r="BA127" s="187"/>
      <c r="BB127" s="187"/>
      <c r="BC127" s="187"/>
      <c r="BD127" s="187"/>
      <c r="BE127" s="187"/>
      <c r="BF127" s="187"/>
      <c r="BG127" s="187"/>
      <c r="BH127" s="187"/>
      <c r="BI127" s="187"/>
      <c r="BJ127" s="187"/>
      <c r="BK127" s="187"/>
      <c r="BL127" s="187"/>
      <c r="BM127" s="187"/>
      <c r="BN127" s="187"/>
      <c r="BO127" s="187"/>
      <c r="BP127" s="187"/>
    </row>
    <row r="128" spans="1:70" ht="14.25" customHeight="1" x14ac:dyDescent="0.3">
      <c r="A128" s="45"/>
      <c r="B128" s="45"/>
      <c r="C128" s="45"/>
      <c r="D128" s="45"/>
      <c r="E128" s="45"/>
      <c r="F128" s="45"/>
      <c r="G128" s="45"/>
      <c r="H128" s="45"/>
      <c r="I128" s="45"/>
      <c r="J128" s="45"/>
      <c r="K128" s="45"/>
      <c r="L128" s="45"/>
      <c r="M128" s="45"/>
      <c r="N128" s="45"/>
      <c r="O128" s="45"/>
      <c r="P128" s="42"/>
      <c r="Q128" s="42"/>
      <c r="R128" s="42"/>
      <c r="S128" s="42"/>
      <c r="T128" s="42"/>
      <c r="U128" s="42"/>
      <c r="V128" s="42"/>
      <c r="W128" s="42"/>
      <c r="X128" s="42"/>
      <c r="Y128" s="43"/>
      <c r="Z128" s="43"/>
      <c r="AA128" s="43"/>
      <c r="AB128" s="43"/>
      <c r="AC128" s="43"/>
      <c r="AD128" s="43"/>
      <c r="AE128" s="43"/>
      <c r="AF128" s="45"/>
      <c r="AG128" s="45"/>
      <c r="AH128" s="48"/>
      <c r="AI128" s="37"/>
      <c r="AJ128" s="206"/>
      <c r="AK128" s="206"/>
      <c r="AL128" s="206"/>
      <c r="AM128" s="206"/>
      <c r="AN128" s="206"/>
      <c r="AO128" s="206"/>
      <c r="AP128" s="206"/>
      <c r="AQ128" s="206"/>
      <c r="AR128" s="206"/>
      <c r="AS128" s="206"/>
      <c r="AT128" s="206"/>
      <c r="AU128" s="206"/>
      <c r="AV128" s="206"/>
      <c r="AW128" s="206"/>
      <c r="AX128" s="206"/>
      <c r="AY128" s="45"/>
      <c r="AZ128" s="45"/>
      <c r="BA128" s="45"/>
      <c r="BB128" s="45"/>
      <c r="BC128" s="45"/>
      <c r="BD128" s="45"/>
      <c r="BE128" s="45"/>
      <c r="BF128" s="45"/>
      <c r="BG128" s="45"/>
    </row>
    <row r="129" spans="1:59" ht="14.25" customHeight="1" x14ac:dyDescent="0.3">
      <c r="A129" s="45"/>
      <c r="B129" s="45"/>
      <c r="C129" s="45"/>
      <c r="D129" s="45"/>
      <c r="E129" s="45"/>
      <c r="F129" s="45"/>
      <c r="G129" s="45"/>
      <c r="H129" s="45"/>
      <c r="I129" s="45"/>
      <c r="J129" s="45"/>
      <c r="K129" s="45"/>
      <c r="L129" s="45"/>
      <c r="M129" s="45"/>
      <c r="N129" s="45"/>
      <c r="O129" s="45"/>
      <c r="P129" s="42"/>
      <c r="Q129" s="42"/>
      <c r="R129" s="42"/>
      <c r="S129" s="42"/>
      <c r="T129" s="42"/>
      <c r="U129" s="42"/>
      <c r="V129" s="42"/>
      <c r="W129" s="42"/>
      <c r="X129" s="42"/>
      <c r="Y129" s="43"/>
      <c r="Z129" s="43"/>
      <c r="AA129" s="43"/>
      <c r="AB129" s="43"/>
      <c r="AC129" s="43"/>
      <c r="AD129" s="43"/>
      <c r="AE129" s="43"/>
      <c r="AF129" s="45"/>
      <c r="AG129" s="45"/>
      <c r="AH129" s="48"/>
      <c r="AI129" s="37"/>
      <c r="AJ129" s="83"/>
      <c r="AK129" s="83"/>
      <c r="AL129" s="83"/>
      <c r="AM129" s="83"/>
      <c r="AN129" s="83"/>
      <c r="AO129" s="83"/>
      <c r="AP129" s="83"/>
      <c r="AQ129" s="83"/>
      <c r="AR129" s="83"/>
      <c r="AS129" s="83"/>
      <c r="AT129" s="83"/>
      <c r="AU129" s="83"/>
      <c r="AV129" s="83"/>
      <c r="AW129" s="83"/>
      <c r="AX129" s="83"/>
      <c r="AY129" s="45"/>
      <c r="AZ129" s="45"/>
      <c r="BA129" s="45"/>
      <c r="BB129" s="45"/>
      <c r="BC129" s="45"/>
      <c r="BD129" s="45"/>
      <c r="BE129" s="45"/>
      <c r="BF129" s="45"/>
      <c r="BG129" s="45"/>
    </row>
    <row r="130" spans="1:59" ht="14.25" customHeight="1" x14ac:dyDescent="0.3">
      <c r="A130" s="45"/>
      <c r="B130" s="45"/>
      <c r="C130" s="45"/>
      <c r="D130" s="45"/>
      <c r="E130" s="45"/>
      <c r="F130" s="45"/>
      <c r="G130" s="45"/>
      <c r="H130" s="45"/>
      <c r="I130" s="45"/>
      <c r="J130" s="45"/>
      <c r="K130" s="45"/>
      <c r="L130" s="45"/>
      <c r="M130" s="45"/>
      <c r="N130" s="45"/>
      <c r="O130" s="45"/>
      <c r="P130" s="42"/>
      <c r="Q130" s="42"/>
      <c r="R130" s="42"/>
      <c r="S130" s="42"/>
      <c r="T130" s="42"/>
      <c r="U130" s="42"/>
      <c r="V130" s="42"/>
      <c r="W130" s="42"/>
      <c r="X130" s="42"/>
      <c r="Y130" s="43"/>
      <c r="Z130" s="43"/>
      <c r="AA130" s="43"/>
      <c r="AB130" s="43"/>
      <c r="AC130" s="43"/>
      <c r="AD130" s="43"/>
      <c r="AE130" s="43"/>
      <c r="AF130" s="45"/>
      <c r="AG130" s="45"/>
      <c r="AH130" s="48"/>
      <c r="AI130" s="37"/>
      <c r="AJ130" s="83"/>
      <c r="AK130" s="83"/>
      <c r="AL130" s="83"/>
      <c r="AM130" s="83"/>
      <c r="AN130" s="83"/>
      <c r="AO130" s="83"/>
      <c r="AP130" s="83"/>
      <c r="AQ130" s="83"/>
      <c r="AR130" s="83"/>
      <c r="AS130" s="83"/>
      <c r="AT130" s="83"/>
      <c r="AU130" s="83"/>
      <c r="AV130" s="83"/>
      <c r="AW130" s="83"/>
      <c r="AX130" s="83"/>
      <c r="AY130" s="45"/>
      <c r="AZ130" s="45"/>
      <c r="BA130" s="45"/>
      <c r="BB130" s="45"/>
      <c r="BC130" s="45"/>
      <c r="BD130" s="45"/>
      <c r="BE130" s="45"/>
      <c r="BF130" s="45"/>
      <c r="BG130" s="45"/>
    </row>
    <row r="131" spans="1:59" ht="14.25" customHeight="1" x14ac:dyDescent="0.3">
      <c r="A131" s="49"/>
      <c r="B131" s="49"/>
      <c r="C131" s="49"/>
      <c r="D131" s="49"/>
      <c r="E131" s="49"/>
      <c r="F131" s="49"/>
      <c r="G131" s="49"/>
      <c r="H131" s="49"/>
      <c r="I131" s="49"/>
      <c r="J131" s="49"/>
      <c r="K131" s="49"/>
      <c r="L131" s="49"/>
      <c r="M131" s="49"/>
      <c r="N131" s="49"/>
      <c r="O131" s="49"/>
      <c r="P131" s="42"/>
      <c r="Q131" s="42"/>
      <c r="R131" s="42"/>
      <c r="S131" s="42"/>
      <c r="T131" s="42"/>
      <c r="U131" s="42"/>
      <c r="V131" s="42"/>
      <c r="W131" s="42"/>
      <c r="X131" s="42"/>
      <c r="Y131" s="43"/>
      <c r="Z131" s="43"/>
      <c r="AA131" s="43"/>
      <c r="AB131" s="43"/>
      <c r="AC131" s="43"/>
      <c r="AD131" s="43"/>
      <c r="AE131" s="43"/>
      <c r="AF131" s="49"/>
      <c r="AG131" s="49"/>
      <c r="AH131" s="50"/>
      <c r="AI131" s="50"/>
      <c r="AJ131" s="186"/>
      <c r="AK131" s="186"/>
      <c r="AL131" s="186"/>
      <c r="AM131" s="186"/>
      <c r="AN131" s="186"/>
      <c r="AO131" s="186"/>
      <c r="AP131" s="186"/>
      <c r="AQ131" s="41"/>
      <c r="AR131" s="41"/>
      <c r="AS131" s="41"/>
      <c r="AT131" s="41"/>
      <c r="AU131" s="41"/>
      <c r="AV131" s="41"/>
      <c r="AW131" s="41"/>
      <c r="AX131" s="41"/>
      <c r="AY131" s="41"/>
      <c r="AZ131" s="41"/>
      <c r="BA131" s="41"/>
      <c r="BB131" s="41"/>
    </row>
    <row r="132" spans="1:59" ht="14.25" customHeight="1" x14ac:dyDescent="0.3">
      <c r="A132" s="49"/>
      <c r="B132" s="49"/>
      <c r="C132" s="49"/>
      <c r="D132" s="49"/>
      <c r="E132" s="49"/>
      <c r="F132" s="49"/>
      <c r="G132" s="49"/>
      <c r="H132" s="49"/>
      <c r="I132" s="49"/>
      <c r="J132" s="49"/>
      <c r="K132" s="49"/>
      <c r="L132" s="49"/>
      <c r="M132" s="49"/>
      <c r="N132" s="49"/>
      <c r="O132" s="49"/>
      <c r="P132" s="49"/>
      <c r="Q132" s="49"/>
      <c r="R132" s="49"/>
      <c r="S132" s="49"/>
      <c r="T132" s="82"/>
      <c r="U132" s="82"/>
      <c r="V132" s="82"/>
      <c r="W132" s="49"/>
      <c r="X132" s="49"/>
      <c r="Y132" s="49"/>
      <c r="Z132" s="49"/>
      <c r="AA132" s="49"/>
      <c r="AB132" s="49"/>
      <c r="AC132" s="49"/>
      <c r="AD132" s="49"/>
      <c r="AE132" s="49"/>
      <c r="AF132" s="49"/>
      <c r="AG132" s="49"/>
      <c r="AH132" s="50"/>
      <c r="AI132" s="50"/>
      <c r="AJ132" s="186"/>
      <c r="AK132" s="186"/>
      <c r="AL132" s="186"/>
      <c r="AM132" s="186"/>
      <c r="AN132" s="186"/>
      <c r="AO132" s="186"/>
      <c r="AP132" s="186"/>
    </row>
    <row r="133" spans="1:59" ht="14.25" customHeight="1" x14ac:dyDescent="0.25">
      <c r="A133" s="82"/>
      <c r="B133" s="51"/>
      <c r="C133" s="51"/>
      <c r="D133" s="82"/>
      <c r="E133" s="82"/>
      <c r="F133" s="82"/>
      <c r="G133" s="82"/>
      <c r="H133" s="82"/>
      <c r="I133" s="82"/>
      <c r="J133" s="82"/>
      <c r="K133" s="82"/>
      <c r="L133" s="82"/>
      <c r="M133" s="82"/>
      <c r="N133" s="82"/>
      <c r="O133" s="82"/>
      <c r="P133" s="82"/>
      <c r="Q133" s="82"/>
      <c r="R133" s="82"/>
      <c r="S133" s="82"/>
      <c r="T133" s="82"/>
      <c r="U133" s="82"/>
      <c r="V133" s="82"/>
      <c r="W133" s="82"/>
      <c r="X133" s="82"/>
      <c r="Y133" s="52"/>
      <c r="Z133" s="52"/>
      <c r="AA133" s="52"/>
      <c r="AB133" s="52"/>
      <c r="AC133" s="52"/>
      <c r="AD133" s="52"/>
      <c r="AE133" s="52"/>
      <c r="AF133" s="52"/>
      <c r="AG133" s="52"/>
      <c r="AH133" s="52"/>
      <c r="AI133" s="52"/>
      <c r="AJ133" s="52"/>
      <c r="AK133" s="52"/>
      <c r="AL133" s="52"/>
      <c r="AM133" s="52"/>
      <c r="AN133" s="52"/>
      <c r="AO133" s="52"/>
      <c r="AP133" s="52"/>
    </row>
    <row r="134" spans="1:59" ht="14.25" customHeight="1" x14ac:dyDescent="0.3">
      <c r="A134" s="49"/>
      <c r="B134" s="49"/>
      <c r="C134" s="49"/>
      <c r="D134" s="49"/>
      <c r="E134" s="49"/>
      <c r="F134" s="49"/>
      <c r="G134" s="49"/>
      <c r="H134" s="49"/>
      <c r="I134" s="49"/>
      <c r="J134" s="49"/>
      <c r="K134" s="49"/>
      <c r="L134" s="49"/>
      <c r="M134" s="49"/>
      <c r="N134" s="49"/>
      <c r="O134" s="49"/>
      <c r="P134" s="49"/>
      <c r="Q134" s="49"/>
      <c r="R134" s="49"/>
      <c r="S134" s="49"/>
      <c r="T134" s="53"/>
      <c r="U134" s="53"/>
      <c r="V134" s="54"/>
      <c r="W134" s="49"/>
      <c r="X134" s="49"/>
      <c r="Y134" s="49"/>
      <c r="Z134" s="49"/>
      <c r="AA134" s="49"/>
      <c r="AB134" s="49"/>
      <c r="AC134" s="49"/>
      <c r="AD134" s="49"/>
      <c r="AE134" s="49"/>
      <c r="AF134" s="49"/>
      <c r="AG134" s="49"/>
      <c r="AH134" s="55"/>
      <c r="AI134" s="55"/>
      <c r="AJ134" s="186"/>
      <c r="AK134" s="186"/>
      <c r="AL134" s="186"/>
      <c r="AM134" s="186"/>
      <c r="AN134" s="186"/>
      <c r="AO134" s="186"/>
      <c r="AP134" s="186"/>
    </row>
    <row r="135" spans="1:59" ht="14.25" customHeight="1" x14ac:dyDescent="0.25">
      <c r="A135" s="82"/>
      <c r="B135" s="51"/>
      <c r="C135" s="51"/>
      <c r="D135" s="82"/>
      <c r="E135" s="82"/>
      <c r="F135" s="82"/>
      <c r="G135" s="82"/>
      <c r="H135" s="82"/>
      <c r="I135" s="82"/>
      <c r="J135" s="82"/>
      <c r="K135" s="82"/>
      <c r="L135" s="82"/>
      <c r="M135" s="82"/>
      <c r="N135" s="82"/>
      <c r="O135" s="82"/>
      <c r="P135" s="82"/>
      <c r="Q135" s="49"/>
      <c r="R135" s="49"/>
      <c r="S135" s="49"/>
      <c r="T135" s="53"/>
      <c r="U135" s="53"/>
      <c r="V135" s="54"/>
      <c r="W135" s="54"/>
      <c r="X135" s="54"/>
      <c r="Y135" s="56"/>
      <c r="Z135" s="56"/>
      <c r="AA135" s="56"/>
      <c r="AB135" s="56"/>
      <c r="AC135" s="56"/>
      <c r="AD135" s="56"/>
      <c r="AE135" s="56"/>
      <c r="AF135" s="56"/>
      <c r="AG135" s="56"/>
      <c r="AH135" s="56"/>
      <c r="AI135" s="55"/>
      <c r="AJ135" s="56"/>
      <c r="AK135" s="56"/>
      <c r="AL135" s="56"/>
      <c r="AM135" s="56"/>
      <c r="AN135" s="56"/>
      <c r="AO135" s="56"/>
      <c r="AP135" s="56"/>
    </row>
    <row r="136" spans="1:59" ht="14.25" customHeight="1" x14ac:dyDescent="0.3">
      <c r="A136" s="49"/>
      <c r="B136" s="49"/>
      <c r="C136" s="49"/>
      <c r="D136" s="49"/>
      <c r="E136" s="49"/>
      <c r="F136" s="49"/>
      <c r="G136" s="49"/>
      <c r="H136" s="49"/>
      <c r="I136" s="49"/>
      <c r="J136" s="49"/>
      <c r="K136" s="49"/>
      <c r="L136" s="49"/>
      <c r="M136" s="49"/>
      <c r="N136" s="49"/>
      <c r="O136" s="49"/>
      <c r="P136" s="49"/>
      <c r="Q136" s="49"/>
      <c r="R136" s="49"/>
      <c r="S136" s="49"/>
      <c r="T136" s="52"/>
      <c r="U136" s="52"/>
      <c r="V136" s="54"/>
      <c r="W136" s="49"/>
      <c r="X136" s="49"/>
      <c r="Y136" s="49"/>
      <c r="Z136" s="49"/>
      <c r="AA136" s="49"/>
      <c r="AB136" s="49"/>
      <c r="AC136" s="49"/>
      <c r="AD136" s="49"/>
      <c r="AE136" s="49"/>
      <c r="AF136" s="49"/>
      <c r="AG136" s="49"/>
      <c r="AH136" s="55"/>
      <c r="AI136" s="55"/>
      <c r="AJ136" s="186"/>
      <c r="AK136" s="186"/>
      <c r="AL136" s="186"/>
      <c r="AM136" s="186"/>
      <c r="AN136" s="186"/>
      <c r="AO136" s="186"/>
      <c r="AP136" s="186"/>
    </row>
    <row r="137" spans="1:59" ht="14.25" customHeight="1" x14ac:dyDescent="0.25">
      <c r="A137" s="82"/>
      <c r="B137" s="51"/>
      <c r="C137" s="51"/>
      <c r="D137" s="82"/>
      <c r="E137" s="82"/>
      <c r="F137" s="82"/>
      <c r="G137" s="82"/>
      <c r="H137" s="82"/>
      <c r="I137" s="82"/>
      <c r="J137" s="82"/>
      <c r="K137" s="82"/>
      <c r="L137" s="82"/>
      <c r="M137" s="82"/>
      <c r="N137" s="82"/>
      <c r="O137" s="82"/>
      <c r="P137" s="82"/>
      <c r="Q137" s="82"/>
      <c r="R137" s="82"/>
      <c r="S137" s="82"/>
      <c r="T137" s="52"/>
      <c r="U137" s="52"/>
      <c r="V137" s="54"/>
      <c r="W137" s="54"/>
      <c r="X137" s="57"/>
      <c r="Y137" s="56"/>
      <c r="Z137" s="56"/>
      <c r="AA137" s="56"/>
      <c r="AB137" s="56"/>
      <c r="AC137" s="56"/>
      <c r="AD137" s="56"/>
      <c r="AE137" s="56"/>
      <c r="AF137" s="56"/>
      <c r="AG137" s="56"/>
      <c r="AH137" s="56"/>
      <c r="AI137" s="56"/>
      <c r="AJ137" s="56"/>
      <c r="AK137" s="56"/>
      <c r="AL137" s="56"/>
      <c r="AM137" s="56"/>
      <c r="AN137" s="56"/>
      <c r="AO137" s="56"/>
      <c r="AP137" s="56"/>
    </row>
    <row r="138" spans="1:59" ht="14.25" customHeight="1" x14ac:dyDescent="0.3">
      <c r="A138" s="49"/>
      <c r="B138" s="55"/>
      <c r="C138" s="55"/>
      <c r="D138" s="55"/>
      <c r="E138" s="55"/>
      <c r="F138" s="55"/>
      <c r="G138" s="55"/>
      <c r="H138" s="55"/>
      <c r="I138" s="55"/>
      <c r="J138" s="55"/>
      <c r="K138" s="55"/>
      <c r="L138" s="55"/>
      <c r="M138" s="55"/>
      <c r="N138" s="55"/>
      <c r="O138" s="55"/>
      <c r="P138" s="55"/>
      <c r="Q138" s="55"/>
      <c r="R138" s="55"/>
      <c r="S138" s="55"/>
      <c r="T138" s="55"/>
      <c r="U138" s="52"/>
      <c r="V138" s="54"/>
      <c r="W138" s="49"/>
      <c r="X138" s="49"/>
      <c r="Y138" s="49"/>
      <c r="Z138" s="49"/>
      <c r="AA138" s="49"/>
      <c r="AB138" s="49"/>
      <c r="AC138" s="49"/>
      <c r="AD138" s="49"/>
      <c r="AE138" s="49"/>
      <c r="AF138" s="49"/>
      <c r="AG138" s="49"/>
      <c r="AH138" s="56"/>
      <c r="AI138" s="56"/>
      <c r="AJ138" s="186"/>
      <c r="AK138" s="186"/>
      <c r="AL138" s="186"/>
      <c r="AM138" s="186"/>
      <c r="AN138" s="186"/>
      <c r="AO138" s="186"/>
      <c r="AP138" s="186"/>
    </row>
    <row r="139" spans="1:59" ht="14.25" customHeight="1" x14ac:dyDescent="0.25">
      <c r="A139" s="55"/>
      <c r="B139" s="55"/>
      <c r="C139" s="55"/>
      <c r="D139" s="55"/>
      <c r="E139" s="55"/>
      <c r="F139" s="55"/>
      <c r="G139" s="55"/>
      <c r="H139" s="55"/>
      <c r="I139" s="55"/>
      <c r="J139" s="55"/>
      <c r="K139" s="55"/>
      <c r="L139" s="55"/>
      <c r="M139" s="55"/>
      <c r="N139" s="55"/>
      <c r="O139" s="55"/>
      <c r="P139" s="55"/>
      <c r="Q139" s="55"/>
      <c r="R139" s="55"/>
      <c r="S139" s="56"/>
      <c r="T139" s="52"/>
      <c r="U139" s="52"/>
      <c r="V139" s="54"/>
      <c r="W139" s="54"/>
      <c r="X139" s="57"/>
      <c r="Y139" s="56"/>
      <c r="Z139" s="55"/>
      <c r="AA139" s="55"/>
      <c r="AB139" s="55"/>
      <c r="AC139" s="55"/>
      <c r="AD139" s="55"/>
      <c r="AE139" s="55"/>
      <c r="AF139" s="55"/>
      <c r="AG139" s="55"/>
      <c r="AH139" s="56"/>
      <c r="AI139" s="56"/>
      <c r="AJ139" s="55"/>
      <c r="AK139" s="55"/>
      <c r="AL139" s="55"/>
      <c r="AM139" s="55"/>
      <c r="AN139" s="55"/>
      <c r="AO139" s="55"/>
      <c r="AP139" s="55"/>
    </row>
    <row r="140" spans="1:59" ht="14.25" customHeight="1" x14ac:dyDescent="0.25">
      <c r="A140" s="55"/>
      <c r="B140" s="55"/>
      <c r="C140" s="55"/>
      <c r="D140" s="55"/>
      <c r="E140" s="55"/>
      <c r="F140" s="55"/>
      <c r="G140" s="55"/>
      <c r="H140" s="55"/>
      <c r="I140" s="55"/>
      <c r="J140" s="55"/>
      <c r="K140" s="55"/>
      <c r="L140" s="55"/>
      <c r="M140" s="55"/>
      <c r="N140" s="55"/>
      <c r="O140" s="55"/>
      <c r="P140" s="55"/>
      <c r="Q140" s="55"/>
      <c r="R140" s="55"/>
      <c r="S140" s="55"/>
      <c r="T140" s="56"/>
      <c r="U140" s="52"/>
      <c r="V140" s="54"/>
      <c r="W140" s="54"/>
      <c r="X140" s="52"/>
      <c r="Y140" s="55"/>
      <c r="Z140" s="55"/>
      <c r="AA140" s="55"/>
      <c r="AB140" s="55"/>
      <c r="AC140" s="55"/>
      <c r="AD140" s="55"/>
      <c r="AE140" s="55"/>
      <c r="AF140" s="55"/>
      <c r="AG140" s="55"/>
      <c r="AH140" s="55"/>
      <c r="AI140" s="55"/>
      <c r="AJ140" s="55"/>
      <c r="AK140" s="55"/>
      <c r="AL140" s="55"/>
      <c r="AM140" s="55"/>
      <c r="AN140" s="55"/>
      <c r="AO140" s="55"/>
      <c r="AP140" s="55"/>
    </row>
    <row r="141" spans="1:59" ht="14.25" customHeight="1" x14ac:dyDescent="0.3">
      <c r="A141" s="204"/>
      <c r="B141" s="204"/>
      <c r="C141" s="204"/>
      <c r="D141" s="204"/>
      <c r="E141" s="204"/>
      <c r="F141" s="204"/>
      <c r="G141" s="204"/>
      <c r="H141" s="204"/>
      <c r="I141" s="204"/>
      <c r="J141" s="204"/>
      <c r="K141" s="204"/>
      <c r="L141" s="204"/>
      <c r="M141" s="204"/>
      <c r="N141" s="204"/>
      <c r="O141" s="204"/>
      <c r="P141" s="204"/>
      <c r="Q141" s="204"/>
      <c r="R141" s="204"/>
      <c r="S141" s="204"/>
      <c r="T141" s="204"/>
      <c r="U141" s="204"/>
      <c r="V141" s="54"/>
      <c r="W141" s="205"/>
      <c r="X141" s="205"/>
      <c r="Y141" s="205"/>
      <c r="Z141" s="205"/>
      <c r="AA141" s="205"/>
      <c r="AB141" s="205"/>
      <c r="AC141" s="205"/>
      <c r="AD141" s="205"/>
      <c r="AE141" s="205"/>
      <c r="AF141" s="205"/>
      <c r="AG141" s="205"/>
      <c r="AH141" s="50"/>
      <c r="AI141" s="50"/>
      <c r="AJ141" s="186"/>
      <c r="AK141" s="186"/>
      <c r="AL141" s="186"/>
      <c r="AM141" s="186"/>
      <c r="AN141" s="186"/>
      <c r="AO141" s="186"/>
      <c r="AP141" s="186"/>
    </row>
    <row r="142" spans="1:59" ht="14.25" customHeight="1" x14ac:dyDescent="0.25">
      <c r="A142" s="82"/>
      <c r="B142" s="51"/>
      <c r="C142" s="51"/>
      <c r="D142" s="82"/>
      <c r="E142" s="82"/>
      <c r="F142" s="82"/>
      <c r="G142" s="82"/>
      <c r="H142" s="82"/>
      <c r="I142" s="82"/>
      <c r="J142" s="82"/>
      <c r="K142" s="82"/>
      <c r="L142" s="82"/>
      <c r="M142" s="82"/>
      <c r="N142" s="82"/>
      <c r="O142" s="82"/>
      <c r="P142" s="82"/>
      <c r="Q142" s="82"/>
      <c r="R142" s="82"/>
      <c r="S142" s="82"/>
      <c r="T142" s="82"/>
      <c r="U142" s="82"/>
      <c r="V142" s="54"/>
      <c r="W142" s="54"/>
      <c r="X142" s="52"/>
      <c r="Y142" s="50"/>
      <c r="Z142" s="50"/>
      <c r="AA142" s="50"/>
      <c r="AB142" s="77"/>
      <c r="AC142" s="77"/>
      <c r="AD142" s="77"/>
      <c r="AE142" s="77"/>
      <c r="AF142" s="77"/>
      <c r="AG142" s="77"/>
      <c r="AH142" s="77"/>
      <c r="AI142" s="77"/>
      <c r="AJ142" s="50"/>
      <c r="AK142" s="77"/>
      <c r="AL142" s="77"/>
      <c r="AM142" s="77"/>
      <c r="AN142" s="77"/>
      <c r="AO142" s="77"/>
      <c r="AP142" s="77"/>
    </row>
    <row r="143" spans="1:59" ht="18" customHeight="1" x14ac:dyDescent="0.3">
      <c r="A143" s="204"/>
      <c r="B143" s="204"/>
      <c r="C143" s="204"/>
      <c r="D143" s="204"/>
      <c r="E143" s="204"/>
      <c r="F143" s="204"/>
      <c r="G143" s="204"/>
      <c r="H143" s="204"/>
      <c r="I143" s="204"/>
      <c r="J143" s="204"/>
      <c r="K143" s="204"/>
      <c r="L143" s="204"/>
      <c r="M143" s="204"/>
      <c r="N143" s="204"/>
      <c r="O143" s="204"/>
      <c r="P143" s="204"/>
      <c r="Q143" s="204"/>
      <c r="R143" s="204"/>
      <c r="S143" s="204"/>
      <c r="T143" s="204"/>
      <c r="U143" s="204"/>
      <c r="V143" s="54"/>
      <c r="W143" s="205"/>
      <c r="X143" s="205"/>
      <c r="Y143" s="205"/>
      <c r="Z143" s="205"/>
      <c r="AA143" s="205"/>
      <c r="AB143" s="205"/>
      <c r="AC143" s="205"/>
      <c r="AD143" s="205"/>
      <c r="AE143" s="205"/>
      <c r="AF143" s="205"/>
      <c r="AG143" s="205"/>
      <c r="AH143" s="50"/>
      <c r="AI143" s="50"/>
      <c r="AJ143" s="186"/>
      <c r="AK143" s="186"/>
      <c r="AL143" s="186"/>
      <c r="AM143" s="186"/>
      <c r="AN143" s="186"/>
      <c r="AO143" s="186"/>
      <c r="AP143" s="186"/>
    </row>
    <row r="144" spans="1:59"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sheetData>
  <mergeCells count="731">
    <mergeCell ref="D64:O64"/>
    <mergeCell ref="P64:R64"/>
    <mergeCell ref="B57:C57"/>
    <mergeCell ref="D57:O57"/>
    <mergeCell ref="P57:R57"/>
    <mergeCell ref="S57:U57"/>
    <mergeCell ref="V57:X57"/>
    <mergeCell ref="Y57:AA57"/>
    <mergeCell ref="AB57:AD57"/>
    <mergeCell ref="Y61:AA61"/>
    <mergeCell ref="P58:R58"/>
    <mergeCell ref="S58:U58"/>
    <mergeCell ref="V58:X58"/>
    <mergeCell ref="Y58:AA58"/>
    <mergeCell ref="AB58:AD58"/>
    <mergeCell ref="B60:C60"/>
    <mergeCell ref="D60:O60"/>
    <mergeCell ref="P60:R60"/>
    <mergeCell ref="S60:U60"/>
    <mergeCell ref="V60:X60"/>
    <mergeCell ref="Y62:AA62"/>
    <mergeCell ref="AB60:AD60"/>
    <mergeCell ref="AB61:AD61"/>
    <mergeCell ref="D58:O58"/>
    <mergeCell ref="Y60:AA60"/>
    <mergeCell ref="AN56:AP56"/>
    <mergeCell ref="AQ50:AS51"/>
    <mergeCell ref="AE50:AG55"/>
    <mergeCell ref="AE56:AG56"/>
    <mergeCell ref="AE57:AG57"/>
    <mergeCell ref="AE58:AG58"/>
    <mergeCell ref="AH58:AJ58"/>
    <mergeCell ref="AK58:AM58"/>
    <mergeCell ref="AN58:AP58"/>
    <mergeCell ref="AH57:AJ57"/>
    <mergeCell ref="AH59:AJ59"/>
    <mergeCell ref="AH60:AJ60"/>
    <mergeCell ref="AK60:AM60"/>
    <mergeCell ref="AN60:AP60"/>
    <mergeCell ref="AK59:AM59"/>
    <mergeCell ref="AE60:AG60"/>
    <mergeCell ref="AN59:AP59"/>
    <mergeCell ref="AQ54:AS55"/>
    <mergeCell ref="AN57:AP57"/>
    <mergeCell ref="AQ57:AS57"/>
    <mergeCell ref="Y50:AA55"/>
    <mergeCell ref="AB50:AD55"/>
    <mergeCell ref="AE61:AG61"/>
    <mergeCell ref="AW62:AY62"/>
    <mergeCell ref="AZ62:BB62"/>
    <mergeCell ref="BC62:BE62"/>
    <mergeCell ref="B65:C65"/>
    <mergeCell ref="D65:O65"/>
    <mergeCell ref="P65:R65"/>
    <mergeCell ref="B61:C61"/>
    <mergeCell ref="D61:O61"/>
    <mergeCell ref="P61:R61"/>
    <mergeCell ref="S64:U64"/>
    <mergeCell ref="V64:X64"/>
    <mergeCell ref="B63:C63"/>
    <mergeCell ref="P63:R63"/>
    <mergeCell ref="S61:U61"/>
    <mergeCell ref="S62:U62"/>
    <mergeCell ref="V62:X62"/>
    <mergeCell ref="V61:X61"/>
    <mergeCell ref="D62:O62"/>
    <mergeCell ref="B64:C64"/>
    <mergeCell ref="D63:O63"/>
    <mergeCell ref="AZ63:BB63"/>
    <mergeCell ref="AK62:AM62"/>
    <mergeCell ref="AB63:AD63"/>
    <mergeCell ref="BO35:BP35"/>
    <mergeCell ref="BO37:BP37"/>
    <mergeCell ref="BO61:BR61"/>
    <mergeCell ref="BI62:BK62"/>
    <mergeCell ref="BI61:BK61"/>
    <mergeCell ref="BL63:BN63"/>
    <mergeCell ref="BO63:BR63"/>
    <mergeCell ref="BO62:BR62"/>
    <mergeCell ref="BI63:BK63"/>
    <mergeCell ref="BO57:BR57"/>
    <mergeCell ref="BO59:BR59"/>
    <mergeCell ref="BI37:BJ37"/>
    <mergeCell ref="BQ35:BR35"/>
    <mergeCell ref="BK36:BL36"/>
    <mergeCell ref="BO36:BP36"/>
    <mergeCell ref="BQ36:BR36"/>
    <mergeCell ref="BK35:BL35"/>
    <mergeCell ref="BI35:BJ35"/>
    <mergeCell ref="BI36:BJ36"/>
    <mergeCell ref="BM35:BN35"/>
    <mergeCell ref="BL61:BN61"/>
    <mergeCell ref="BL62:BN62"/>
    <mergeCell ref="BO56:BR56"/>
    <mergeCell ref="BO58:BR58"/>
    <mergeCell ref="AE63:AG63"/>
    <mergeCell ref="AH63:AJ63"/>
    <mergeCell ref="AN62:AP62"/>
    <mergeCell ref="AW63:AY63"/>
    <mergeCell ref="BC63:BE63"/>
    <mergeCell ref="BF63:BH63"/>
    <mergeCell ref="AB62:AD62"/>
    <mergeCell ref="A35:B35"/>
    <mergeCell ref="BC35:BD35"/>
    <mergeCell ref="BE35:BF35"/>
    <mergeCell ref="B59:C59"/>
    <mergeCell ref="D59:O59"/>
    <mergeCell ref="P59:R59"/>
    <mergeCell ref="S59:U59"/>
    <mergeCell ref="B58:C58"/>
    <mergeCell ref="BC37:BD37"/>
    <mergeCell ref="V59:X59"/>
    <mergeCell ref="Y59:AA59"/>
    <mergeCell ref="AK57:AM57"/>
    <mergeCell ref="BC58:BE58"/>
    <mergeCell ref="BF58:BH58"/>
    <mergeCell ref="BG37:BH37"/>
    <mergeCell ref="AB59:AD59"/>
    <mergeCell ref="AE59:AG59"/>
    <mergeCell ref="BG35:BH35"/>
    <mergeCell ref="BG36:BH36"/>
    <mergeCell ref="AW56:AY56"/>
    <mergeCell ref="AZ56:BB56"/>
    <mergeCell ref="CF31:CG34"/>
    <mergeCell ref="BE32:BF34"/>
    <mergeCell ref="BK32:BL34"/>
    <mergeCell ref="BT32:BV34"/>
    <mergeCell ref="BW32:BX34"/>
    <mergeCell ref="BY32:CA34"/>
    <mergeCell ref="BT31:CA31"/>
    <mergeCell ref="CB31:CC34"/>
    <mergeCell ref="CD31:CE34"/>
    <mergeCell ref="BG32:BH34"/>
    <mergeCell ref="BI32:BJ34"/>
    <mergeCell ref="BC31:BD34"/>
    <mergeCell ref="BE31:BL31"/>
    <mergeCell ref="BM31:BN34"/>
    <mergeCell ref="BO31:BP34"/>
    <mergeCell ref="BQ31:BR34"/>
    <mergeCell ref="BL50:BN51"/>
    <mergeCell ref="AQ52:BB53"/>
    <mergeCell ref="BC52:BN53"/>
    <mergeCell ref="BM37:BN37"/>
    <mergeCell ref="T33:X33"/>
    <mergeCell ref="AC33:AF33"/>
    <mergeCell ref="AG33:AJ33"/>
    <mergeCell ref="AK33:AO33"/>
    <mergeCell ref="AP33:AS33"/>
    <mergeCell ref="AT33:AX33"/>
    <mergeCell ref="G33:J33"/>
    <mergeCell ref="K33:O33"/>
    <mergeCell ref="BE36:BF36"/>
    <mergeCell ref="B67:C67"/>
    <mergeCell ref="D67:O67"/>
    <mergeCell ref="P67:R67"/>
    <mergeCell ref="S67:U67"/>
    <mergeCell ref="P62:R62"/>
    <mergeCell ref="B62:C62"/>
    <mergeCell ref="S65:U65"/>
    <mergeCell ref="V65:X65"/>
    <mergeCell ref="AK69:AM69"/>
    <mergeCell ref="S63:U63"/>
    <mergeCell ref="V63:X63"/>
    <mergeCell ref="Y68:AA68"/>
    <mergeCell ref="AB68:AD68"/>
    <mergeCell ref="AB67:AD67"/>
    <mergeCell ref="AE67:AG67"/>
    <mergeCell ref="B66:C66"/>
    <mergeCell ref="D66:O66"/>
    <mergeCell ref="P66:R66"/>
    <mergeCell ref="S66:U66"/>
    <mergeCell ref="V66:X66"/>
    <mergeCell ref="Y66:AA66"/>
    <mergeCell ref="AB66:AD66"/>
    <mergeCell ref="AE66:AG66"/>
    <mergeCell ref="AE62:AG62"/>
    <mergeCell ref="B69:C69"/>
    <mergeCell ref="D69:O69"/>
    <mergeCell ref="P69:R69"/>
    <mergeCell ref="S69:U69"/>
    <mergeCell ref="V69:X69"/>
    <mergeCell ref="S68:U68"/>
    <mergeCell ref="B68:C68"/>
    <mergeCell ref="D68:O68"/>
    <mergeCell ref="P68:R68"/>
    <mergeCell ref="V68:X68"/>
    <mergeCell ref="BO68:BR68"/>
    <mergeCell ref="BL68:BN68"/>
    <mergeCell ref="BI68:BK68"/>
    <mergeCell ref="BL69:BN69"/>
    <mergeCell ref="Y63:AA63"/>
    <mergeCell ref="AZ67:BB67"/>
    <mergeCell ref="BO65:BR65"/>
    <mergeCell ref="BO69:BR69"/>
    <mergeCell ref="AN68:AP68"/>
    <mergeCell ref="AN69:AP69"/>
    <mergeCell ref="AQ69:AS69"/>
    <mergeCell ref="Y67:AA67"/>
    <mergeCell ref="Y64:AA64"/>
    <mergeCell ref="AQ64:AS64"/>
    <mergeCell ref="AE64:AG64"/>
    <mergeCell ref="AK65:AM65"/>
    <mergeCell ref="AN65:AP65"/>
    <mergeCell ref="AQ65:AS65"/>
    <mergeCell ref="Y65:AA65"/>
    <mergeCell ref="AB65:AD65"/>
    <mergeCell ref="AE65:AG65"/>
    <mergeCell ref="BO67:BR67"/>
    <mergeCell ref="BC65:BE65"/>
    <mergeCell ref="AH67:AJ67"/>
    <mergeCell ref="AT67:AV67"/>
    <mergeCell ref="AK63:AM63"/>
    <mergeCell ref="AN63:AP63"/>
    <mergeCell ref="AN64:AP64"/>
    <mergeCell ref="AN67:AP67"/>
    <mergeCell ref="AK64:AM64"/>
    <mergeCell ref="AT64:AV64"/>
    <mergeCell ref="AT65:AV65"/>
    <mergeCell ref="AQ63:AS63"/>
    <mergeCell ref="AT63:AV63"/>
    <mergeCell ref="AK67:AM67"/>
    <mergeCell ref="BL65:BN65"/>
    <mergeCell ref="BC66:BE66"/>
    <mergeCell ref="BF66:BH66"/>
    <mergeCell ref="BI66:BK66"/>
    <mergeCell ref="BL66:BN66"/>
    <mergeCell ref="BO66:BR66"/>
    <mergeCell ref="AW67:AY67"/>
    <mergeCell ref="BO64:BR64"/>
    <mergeCell ref="BL64:BN64"/>
    <mergeCell ref="AW66:AY66"/>
    <mergeCell ref="AZ66:BB66"/>
    <mergeCell ref="BF65:BH65"/>
    <mergeCell ref="AW64:AY64"/>
    <mergeCell ref="BL67:BN67"/>
    <mergeCell ref="BI65:BK65"/>
    <mergeCell ref="V67:X67"/>
    <mergeCell ref="AW80:AY80"/>
    <mergeCell ref="AZ80:BB80"/>
    <mergeCell ref="AQ80:AS80"/>
    <mergeCell ref="AT80:AV80"/>
    <mergeCell ref="AT79:AV79"/>
    <mergeCell ref="AB80:AD80"/>
    <mergeCell ref="AE80:AG80"/>
    <mergeCell ref="AH80:AJ80"/>
    <mergeCell ref="AE78:AG78"/>
    <mergeCell ref="AH78:AJ78"/>
    <mergeCell ref="AB77:AD77"/>
    <mergeCell ref="AE77:AG77"/>
    <mergeCell ref="AH77:AJ77"/>
    <mergeCell ref="AK78:AM78"/>
    <mergeCell ref="AN78:AP78"/>
    <mergeCell ref="AQ78:AS78"/>
    <mergeCell ref="AT78:AV78"/>
    <mergeCell ref="AW78:AY78"/>
    <mergeCell ref="AZ71:BB71"/>
    <mergeCell ref="AK76:AM76"/>
    <mergeCell ref="AN76:AP76"/>
    <mergeCell ref="AQ76:AS76"/>
    <mergeCell ref="AQ67:AS67"/>
    <mergeCell ref="AJ132:AP132"/>
    <mergeCell ref="AJ127:AX128"/>
    <mergeCell ref="S82:U82"/>
    <mergeCell ref="V82:X82"/>
    <mergeCell ref="B82:C82"/>
    <mergeCell ref="B83:C83"/>
    <mergeCell ref="D83:O83"/>
    <mergeCell ref="P83:R83"/>
    <mergeCell ref="S83:U83"/>
    <mergeCell ref="AW83:AY83"/>
    <mergeCell ref="AH83:AJ83"/>
    <mergeCell ref="AK83:AM83"/>
    <mergeCell ref="AJ115:AX118"/>
    <mergeCell ref="AY115:BG118"/>
    <mergeCell ref="B92:BQ92"/>
    <mergeCell ref="B93:BQ93"/>
    <mergeCell ref="B94:BQ94"/>
    <mergeCell ref="B95:BQ95"/>
    <mergeCell ref="AB82:AD82"/>
    <mergeCell ref="BO82:BR82"/>
    <mergeCell ref="AN82:AP82"/>
    <mergeCell ref="AQ82:AS82"/>
    <mergeCell ref="AT82:AV82"/>
    <mergeCell ref="AQ83:AS83"/>
    <mergeCell ref="A143:U143"/>
    <mergeCell ref="W143:AG143"/>
    <mergeCell ref="AJ143:AP143"/>
    <mergeCell ref="AJ138:AP138"/>
    <mergeCell ref="A141:U141"/>
    <mergeCell ref="W141:AG141"/>
    <mergeCell ref="AJ141:AP141"/>
    <mergeCell ref="AJ134:AP134"/>
    <mergeCell ref="AJ136:AP136"/>
    <mergeCell ref="BH119:BR122"/>
    <mergeCell ref="BH123:BR126"/>
    <mergeCell ref="BI81:BK81"/>
    <mergeCell ref="BL81:BN81"/>
    <mergeCell ref="AE81:AG81"/>
    <mergeCell ref="AH81:AJ81"/>
    <mergeCell ref="BO83:BR83"/>
    <mergeCell ref="AN83:AP83"/>
    <mergeCell ref="BF83:BH83"/>
    <mergeCell ref="BO81:BR81"/>
    <mergeCell ref="Y83:AA83"/>
    <mergeCell ref="B96:BQ96"/>
    <mergeCell ref="V86:AZ87"/>
    <mergeCell ref="V88:AZ89"/>
    <mergeCell ref="AJ109:AX112"/>
    <mergeCell ref="AY109:BG112"/>
    <mergeCell ref="AJ100:BR106"/>
    <mergeCell ref="BH109:BR112"/>
    <mergeCell ref="BH115:BR118"/>
    <mergeCell ref="AT83:AV83"/>
    <mergeCell ref="AB83:AD83"/>
    <mergeCell ref="AE83:AG83"/>
    <mergeCell ref="BI83:BK83"/>
    <mergeCell ref="BL83:BN83"/>
    <mergeCell ref="B81:C81"/>
    <mergeCell ref="D81:O81"/>
    <mergeCell ref="AJ131:AP131"/>
    <mergeCell ref="AY124:BG124"/>
    <mergeCell ref="AN81:AP81"/>
    <mergeCell ref="AQ81:AS81"/>
    <mergeCell ref="AT81:AV81"/>
    <mergeCell ref="Y81:AA81"/>
    <mergeCell ref="AB81:AD81"/>
    <mergeCell ref="AW82:AY82"/>
    <mergeCell ref="AZ82:BB82"/>
    <mergeCell ref="AW81:AY81"/>
    <mergeCell ref="AZ81:BB81"/>
    <mergeCell ref="BC81:BE81"/>
    <mergeCell ref="BF81:BH81"/>
    <mergeCell ref="AY127:BG127"/>
    <mergeCell ref="BH127:BP127"/>
    <mergeCell ref="A109:O112"/>
    <mergeCell ref="P109:X112"/>
    <mergeCell ref="Y109:AE112"/>
    <mergeCell ref="AZ83:BB83"/>
    <mergeCell ref="BC83:BE83"/>
    <mergeCell ref="B97:BP97"/>
    <mergeCell ref="V83:X83"/>
    <mergeCell ref="AN77:AP77"/>
    <mergeCell ref="AQ77:AS77"/>
    <mergeCell ref="P81:R81"/>
    <mergeCell ref="S81:U81"/>
    <mergeCell ref="V81:X81"/>
    <mergeCell ref="Y80:AA80"/>
    <mergeCell ref="Y77:AA77"/>
    <mergeCell ref="AB79:AD79"/>
    <mergeCell ref="AE79:AG79"/>
    <mergeCell ref="AH79:AJ79"/>
    <mergeCell ref="AQ79:AS79"/>
    <mergeCell ref="Y79:AA79"/>
    <mergeCell ref="AK79:AM79"/>
    <mergeCell ref="AN79:AP79"/>
    <mergeCell ref="P80:R80"/>
    <mergeCell ref="S80:U80"/>
    <mergeCell ref="V80:X80"/>
    <mergeCell ref="V78:X78"/>
    <mergeCell ref="P77:R77"/>
    <mergeCell ref="AN80:AP80"/>
    <mergeCell ref="AT77:AV77"/>
    <mergeCell ref="AK80:AM80"/>
    <mergeCell ref="D75:O75"/>
    <mergeCell ref="P75:R75"/>
    <mergeCell ref="S75:U75"/>
    <mergeCell ref="V75:X75"/>
    <mergeCell ref="Y75:AA75"/>
    <mergeCell ref="AB75:AD75"/>
    <mergeCell ref="AK82:AM82"/>
    <mergeCell ref="Y82:AA82"/>
    <mergeCell ref="D82:O82"/>
    <mergeCell ref="P82:R82"/>
    <mergeCell ref="AE82:AG82"/>
    <mergeCell ref="AH82:AJ82"/>
    <mergeCell ref="AK81:AM81"/>
    <mergeCell ref="D79:O79"/>
    <mergeCell ref="P79:R79"/>
    <mergeCell ref="V79:X79"/>
    <mergeCell ref="V77:X77"/>
    <mergeCell ref="S79:U79"/>
    <mergeCell ref="S77:U77"/>
    <mergeCell ref="D78:O78"/>
    <mergeCell ref="P78:R78"/>
    <mergeCell ref="S78:U78"/>
    <mergeCell ref="B76:C76"/>
    <mergeCell ref="AE76:AG76"/>
    <mergeCell ref="AH76:AJ76"/>
    <mergeCell ref="D76:O76"/>
    <mergeCell ref="P76:R76"/>
    <mergeCell ref="B80:C80"/>
    <mergeCell ref="D80:O80"/>
    <mergeCell ref="B79:C79"/>
    <mergeCell ref="V76:X76"/>
    <mergeCell ref="Y76:AA76"/>
    <mergeCell ref="B77:C77"/>
    <mergeCell ref="B78:C78"/>
    <mergeCell ref="D77:O77"/>
    <mergeCell ref="S76:U76"/>
    <mergeCell ref="BO70:BR70"/>
    <mergeCell ref="BL72:BN72"/>
    <mergeCell ref="AB76:AD76"/>
    <mergeCell ref="Y78:AA78"/>
    <mergeCell ref="AB78:AD78"/>
    <mergeCell ref="Y72:AA72"/>
    <mergeCell ref="AB72:AD72"/>
    <mergeCell ref="AZ72:BB72"/>
    <mergeCell ref="AW76:AY76"/>
    <mergeCell ref="AZ76:BB76"/>
    <mergeCell ref="AQ74:AS74"/>
    <mergeCell ref="AT74:AV74"/>
    <mergeCell ref="AW74:AY74"/>
    <mergeCell ref="AZ74:BB74"/>
    <mergeCell ref="AW77:AY77"/>
    <mergeCell ref="AZ77:BB77"/>
    <mergeCell ref="AT76:AV76"/>
    <mergeCell ref="BC77:BE77"/>
    <mergeCell ref="BF77:BH77"/>
    <mergeCell ref="BI77:BK77"/>
    <mergeCell ref="AZ78:BB78"/>
    <mergeCell ref="AK77:AM77"/>
    <mergeCell ref="BO71:BR71"/>
    <mergeCell ref="BI72:BK72"/>
    <mergeCell ref="BO74:BR74"/>
    <mergeCell ref="BO80:BR80"/>
    <mergeCell ref="BF80:BH80"/>
    <mergeCell ref="BI80:BK80"/>
    <mergeCell ref="BL80:BN80"/>
    <mergeCell ref="BL79:BN79"/>
    <mergeCell ref="BO79:BR79"/>
    <mergeCell ref="BC80:BE80"/>
    <mergeCell ref="BL78:BN78"/>
    <mergeCell ref="BO78:BR78"/>
    <mergeCell ref="BI79:BK79"/>
    <mergeCell ref="AE73:AG73"/>
    <mergeCell ref="AH73:AJ73"/>
    <mergeCell ref="AK71:AM71"/>
    <mergeCell ref="B72:C72"/>
    <mergeCell ref="D72:O72"/>
    <mergeCell ref="P72:R72"/>
    <mergeCell ref="BF71:BH71"/>
    <mergeCell ref="AT75:AV75"/>
    <mergeCell ref="AW75:AY75"/>
    <mergeCell ref="S72:U72"/>
    <mergeCell ref="V72:X72"/>
    <mergeCell ref="B73:C73"/>
    <mergeCell ref="D73:O73"/>
    <mergeCell ref="P73:R73"/>
    <mergeCell ref="S73:U73"/>
    <mergeCell ref="V73:X73"/>
    <mergeCell ref="Y73:AA73"/>
    <mergeCell ref="AE71:AG71"/>
    <mergeCell ref="B75:C75"/>
    <mergeCell ref="AK75:AM75"/>
    <mergeCell ref="AN75:AP75"/>
    <mergeCell ref="AQ75:AS75"/>
    <mergeCell ref="AE75:AG75"/>
    <mergeCell ref="AH75:AJ75"/>
    <mergeCell ref="B70:C70"/>
    <mergeCell ref="D70:O70"/>
    <mergeCell ref="P70:R70"/>
    <mergeCell ref="S70:U70"/>
    <mergeCell ref="V70:X70"/>
    <mergeCell ref="Y70:AA70"/>
    <mergeCell ref="AB70:AD70"/>
    <mergeCell ref="Y71:AA71"/>
    <mergeCell ref="AB71:AD71"/>
    <mergeCell ref="B71:C71"/>
    <mergeCell ref="D71:O71"/>
    <mergeCell ref="P71:R71"/>
    <mergeCell ref="S71:U71"/>
    <mergeCell ref="V71:X71"/>
    <mergeCell ref="AK73:AM73"/>
    <mergeCell ref="AN73:AP73"/>
    <mergeCell ref="AQ73:AS73"/>
    <mergeCell ref="BL71:BN71"/>
    <mergeCell ref="BI74:BK74"/>
    <mergeCell ref="BL74:BN74"/>
    <mergeCell ref="BC68:BE68"/>
    <mergeCell ref="BF68:BH68"/>
    <mergeCell ref="AZ73:BB73"/>
    <mergeCell ref="AW73:AY73"/>
    <mergeCell ref="BF72:BH72"/>
    <mergeCell ref="AT73:AV73"/>
    <mergeCell ref="BC74:BE74"/>
    <mergeCell ref="BF74:BH74"/>
    <mergeCell ref="AK74:AM74"/>
    <mergeCell ref="AN74:AP74"/>
    <mergeCell ref="BC71:BE71"/>
    <mergeCell ref="BI73:BK73"/>
    <mergeCell ref="BL73:BN73"/>
    <mergeCell ref="BL70:BN70"/>
    <mergeCell ref="BC73:BE73"/>
    <mergeCell ref="BF73:BH73"/>
    <mergeCell ref="BC72:BE72"/>
    <mergeCell ref="BI71:BK71"/>
    <mergeCell ref="AE68:AG68"/>
    <mergeCell ref="AH68:AJ68"/>
    <mergeCell ref="AW68:AY68"/>
    <mergeCell ref="AE72:AG72"/>
    <mergeCell ref="AH72:AJ72"/>
    <mergeCell ref="AK72:AM72"/>
    <mergeCell ref="AN72:AP72"/>
    <mergeCell ref="AQ72:AS72"/>
    <mergeCell ref="AT72:AV72"/>
    <mergeCell ref="AW72:AY72"/>
    <mergeCell ref="AN71:AP71"/>
    <mergeCell ref="AQ71:AS71"/>
    <mergeCell ref="AK70:AM70"/>
    <mergeCell ref="AK68:AM68"/>
    <mergeCell ref="AH71:AJ71"/>
    <mergeCell ref="AT71:AV71"/>
    <mergeCell ref="AW71:AY71"/>
    <mergeCell ref="AT69:AV69"/>
    <mergeCell ref="AW69:AY69"/>
    <mergeCell ref="AT68:AV68"/>
    <mergeCell ref="AN70:AP70"/>
    <mergeCell ref="AQ70:AS70"/>
    <mergeCell ref="AT70:AV70"/>
    <mergeCell ref="Y69:AA69"/>
    <mergeCell ref="AB69:AD69"/>
    <mergeCell ref="AE70:AG70"/>
    <mergeCell ref="AH70:AJ70"/>
    <mergeCell ref="AE69:AG69"/>
    <mergeCell ref="AH69:AJ69"/>
    <mergeCell ref="AB73:AD73"/>
    <mergeCell ref="AB64:AD64"/>
    <mergeCell ref="BI69:BK69"/>
    <mergeCell ref="BC67:BE67"/>
    <mergeCell ref="BF67:BH67"/>
    <mergeCell ref="BI67:BK67"/>
    <mergeCell ref="AZ69:BB69"/>
    <mergeCell ref="BC69:BE69"/>
    <mergeCell ref="BF69:BH69"/>
    <mergeCell ref="AZ68:BB68"/>
    <mergeCell ref="BF64:BH64"/>
    <mergeCell ref="BI64:BK64"/>
    <mergeCell ref="AW65:AY65"/>
    <mergeCell ref="AZ65:BB65"/>
    <mergeCell ref="AH64:AJ64"/>
    <mergeCell ref="AZ64:BB64"/>
    <mergeCell ref="BC64:BE64"/>
    <mergeCell ref="AQ68:AS68"/>
    <mergeCell ref="AT60:AV60"/>
    <mergeCell ref="AQ60:AS60"/>
    <mergeCell ref="BC59:BE59"/>
    <mergeCell ref="BF59:BH59"/>
    <mergeCell ref="BI59:BK59"/>
    <mergeCell ref="BL58:BN58"/>
    <mergeCell ref="BF60:BH60"/>
    <mergeCell ref="BI60:BK60"/>
    <mergeCell ref="AW60:AY60"/>
    <mergeCell ref="AZ60:BB60"/>
    <mergeCell ref="BC60:BE60"/>
    <mergeCell ref="BL59:BN59"/>
    <mergeCell ref="AH66:AJ66"/>
    <mergeCell ref="AK66:AM66"/>
    <mergeCell ref="AN66:AP66"/>
    <mergeCell ref="AQ66:AS66"/>
    <mergeCell ref="AH65:AJ65"/>
    <mergeCell ref="AT66:AV66"/>
    <mergeCell ref="AH61:AJ61"/>
    <mergeCell ref="AH62:AJ62"/>
    <mergeCell ref="AK61:AM61"/>
    <mergeCell ref="AN61:AP61"/>
    <mergeCell ref="AQ62:AS62"/>
    <mergeCell ref="AT62:AV62"/>
    <mergeCell ref="AT61:AV61"/>
    <mergeCell ref="AQ61:AS61"/>
    <mergeCell ref="AT57:AV57"/>
    <mergeCell ref="AW57:AY57"/>
    <mergeCell ref="BI58:BK58"/>
    <mergeCell ref="AT59:AV59"/>
    <mergeCell ref="AW59:AY59"/>
    <mergeCell ref="AZ59:BB59"/>
    <mergeCell ref="AQ58:AS58"/>
    <mergeCell ref="AZ58:BB58"/>
    <mergeCell ref="Y56:AA56"/>
    <mergeCell ref="AB56:AD56"/>
    <mergeCell ref="AZ57:BB57"/>
    <mergeCell ref="BC57:BE57"/>
    <mergeCell ref="BF57:BH57"/>
    <mergeCell ref="BI57:BK57"/>
    <mergeCell ref="AT58:AV58"/>
    <mergeCell ref="AW58:AY58"/>
    <mergeCell ref="AQ59:AS59"/>
    <mergeCell ref="V50:X55"/>
    <mergeCell ref="AQ56:AS56"/>
    <mergeCell ref="AT56:AV56"/>
    <mergeCell ref="AH50:AJ55"/>
    <mergeCell ref="AK50:AM55"/>
    <mergeCell ref="AH56:AJ56"/>
    <mergeCell ref="AK56:AM56"/>
    <mergeCell ref="BM36:BN36"/>
    <mergeCell ref="A36:B36"/>
    <mergeCell ref="BC36:BD36"/>
    <mergeCell ref="BL56:BN56"/>
    <mergeCell ref="B56:C56"/>
    <mergeCell ref="D56:O56"/>
    <mergeCell ref="P56:R56"/>
    <mergeCell ref="S56:U56"/>
    <mergeCell ref="V56:X56"/>
    <mergeCell ref="BC56:BE56"/>
    <mergeCell ref="BF56:BH56"/>
    <mergeCell ref="BI56:BK56"/>
    <mergeCell ref="BK37:BL37"/>
    <mergeCell ref="AN39:AP41"/>
    <mergeCell ref="AR39:AU41"/>
    <mergeCell ref="AW39:AY41"/>
    <mergeCell ref="AZ39:BC41"/>
    <mergeCell ref="A1:BR2"/>
    <mergeCell ref="A7:Q10"/>
    <mergeCell ref="R7:AY10"/>
    <mergeCell ref="AZ7:BR10"/>
    <mergeCell ref="A11:Q14"/>
    <mergeCell ref="AZ11:BR14"/>
    <mergeCell ref="AZ23:BR26"/>
    <mergeCell ref="A23:Q26"/>
    <mergeCell ref="R23:AY26"/>
    <mergeCell ref="A19:Q22"/>
    <mergeCell ref="R19:AY22"/>
    <mergeCell ref="AZ19:BR22"/>
    <mergeCell ref="A15:Q18"/>
    <mergeCell ref="AZ15:BR18"/>
    <mergeCell ref="R11:AY14"/>
    <mergeCell ref="R15:AY18"/>
    <mergeCell ref="A29:BR30"/>
    <mergeCell ref="AY33:BB33"/>
    <mergeCell ref="C31:BB32"/>
    <mergeCell ref="Y33:AB33"/>
    <mergeCell ref="C33:F33"/>
    <mergeCell ref="P33:S33"/>
    <mergeCell ref="BL54:BN55"/>
    <mergeCell ref="AW54:AY55"/>
    <mergeCell ref="AZ54:BB55"/>
    <mergeCell ref="BC54:BE55"/>
    <mergeCell ref="BF54:BH55"/>
    <mergeCell ref="AW50:AY51"/>
    <mergeCell ref="AZ50:BB51"/>
    <mergeCell ref="BQ37:BR37"/>
    <mergeCell ref="A37:BB37"/>
    <mergeCell ref="BE37:BF37"/>
    <mergeCell ref="AT54:AV55"/>
    <mergeCell ref="BC50:BE51"/>
    <mergeCell ref="BF50:BH51"/>
    <mergeCell ref="BI54:BK55"/>
    <mergeCell ref="AT50:AV51"/>
    <mergeCell ref="BI50:BK51"/>
    <mergeCell ref="P55:R55"/>
    <mergeCell ref="S55:U55"/>
    <mergeCell ref="A31:B34"/>
    <mergeCell ref="A44:BR45"/>
    <mergeCell ref="A46:A55"/>
    <mergeCell ref="B46:C55"/>
    <mergeCell ref="D46:O55"/>
    <mergeCell ref="P46:AP47"/>
    <mergeCell ref="AQ46:BB47"/>
    <mergeCell ref="BC46:BN47"/>
    <mergeCell ref="BO46:BR55"/>
    <mergeCell ref="P48:U54"/>
    <mergeCell ref="V48:AM49"/>
    <mergeCell ref="AN48:AP55"/>
    <mergeCell ref="AQ48:AV49"/>
    <mergeCell ref="AW48:BB49"/>
    <mergeCell ref="BC48:BH49"/>
    <mergeCell ref="BI48:BN49"/>
    <mergeCell ref="B39:C41"/>
    <mergeCell ref="D39:J41"/>
    <mergeCell ref="K39:N41"/>
    <mergeCell ref="O39:R41"/>
    <mergeCell ref="S39:U41"/>
    <mergeCell ref="V39:AA41"/>
    <mergeCell ref="AB39:AD41"/>
    <mergeCell ref="AF39:AM41"/>
    <mergeCell ref="B74:C74"/>
    <mergeCell ref="D74:O74"/>
    <mergeCell ref="P74:R74"/>
    <mergeCell ref="S74:U74"/>
    <mergeCell ref="V74:X74"/>
    <mergeCell ref="Y74:AA74"/>
    <mergeCell ref="AB74:AD74"/>
    <mergeCell ref="AE74:AG74"/>
    <mergeCell ref="AH74:AJ74"/>
    <mergeCell ref="BO60:BR60"/>
    <mergeCell ref="AW79:AY79"/>
    <mergeCell ref="BC76:BE76"/>
    <mergeCell ref="BF76:BH76"/>
    <mergeCell ref="BI76:BK76"/>
    <mergeCell ref="BL76:BN76"/>
    <mergeCell ref="BO76:BR76"/>
    <mergeCell ref="BC75:BE75"/>
    <mergeCell ref="BF75:BH75"/>
    <mergeCell ref="BO77:BR77"/>
    <mergeCell ref="AW70:AY70"/>
    <mergeCell ref="BI78:BK78"/>
    <mergeCell ref="AZ75:BB75"/>
    <mergeCell ref="BL60:BN60"/>
    <mergeCell ref="AW61:AY61"/>
    <mergeCell ref="AZ61:BB61"/>
    <mergeCell ref="BC61:BE61"/>
    <mergeCell ref="BF61:BH61"/>
    <mergeCell ref="BF62:BH62"/>
    <mergeCell ref="BI75:BK75"/>
    <mergeCell ref="BL75:BN75"/>
    <mergeCell ref="BO72:BR72"/>
    <mergeCell ref="BO73:BR73"/>
    <mergeCell ref="BO75:BR75"/>
    <mergeCell ref="BD39:BG41"/>
    <mergeCell ref="BH39:BN41"/>
    <mergeCell ref="A3:BR4"/>
    <mergeCell ref="A115:O118"/>
    <mergeCell ref="P115:X118"/>
    <mergeCell ref="Y115:AE118"/>
    <mergeCell ref="A100:O100"/>
    <mergeCell ref="P100:S100"/>
    <mergeCell ref="T100:X100"/>
    <mergeCell ref="BC79:BE79"/>
    <mergeCell ref="BF79:BH79"/>
    <mergeCell ref="BL82:BN82"/>
    <mergeCell ref="BC82:BE82"/>
    <mergeCell ref="BI82:BK82"/>
    <mergeCell ref="BF82:BH82"/>
    <mergeCell ref="AZ79:BB79"/>
    <mergeCell ref="BL77:BN77"/>
    <mergeCell ref="BF78:BH78"/>
    <mergeCell ref="BC78:BE78"/>
    <mergeCell ref="BL57:BN57"/>
    <mergeCell ref="AZ70:BB70"/>
    <mergeCell ref="BC70:BE70"/>
    <mergeCell ref="BF70:BH70"/>
    <mergeCell ref="BI70:BK70"/>
  </mergeCells>
  <conditionalFormatting sqref="BW58:BW83 BZ58:BZ83">
    <cfRule type="expression" dxfId="20" priority="1">
      <formula>BV58=0</formula>
    </cfRule>
  </conditionalFormatting>
  <pageMargins left="0.19685039370078741" right="0.19685039370078741" top="0.19685039370078741" bottom="0.19685039370078741" header="0.31496062992125984" footer="0.31496062992125984"/>
  <pageSetup paperSize="9" scale="50" orientation="landscape" r:id="rId1"/>
  <rowBreaks count="2" manualBreakCount="2">
    <brk id="67" max="69" man="1"/>
    <brk id="135" max="16383" man="1"/>
  </rowBreaks>
  <ignoredErrors>
    <ignoredError sqref="BC35:BD3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142"/>
  <sheetViews>
    <sheetView view="pageBreakPreview" topLeftCell="A38" zoomScale="85" zoomScaleNormal="55" zoomScaleSheetLayoutView="85" zoomScalePageLayoutView="40" workbookViewId="0">
      <selection activeCell="D58" sqref="D58:O61"/>
    </sheetView>
  </sheetViews>
  <sheetFormatPr defaultColWidth="9.140625" defaultRowHeight="15.75" x14ac:dyDescent="0.25"/>
  <cols>
    <col min="1" max="1" width="12.28515625" style="2" customWidth="1"/>
    <col min="2" max="2" width="12.28515625" style="58" customWidth="1"/>
    <col min="3" max="3" width="3.85546875" style="58" customWidth="1"/>
    <col min="4" max="70" width="3.85546875" style="2" customWidth="1"/>
    <col min="71" max="74" width="6.5703125" style="1" customWidth="1"/>
    <col min="75" max="75" width="15.42578125" style="1" customWidth="1"/>
    <col min="76" max="77" width="6.5703125" style="1" customWidth="1"/>
    <col min="78" max="78" width="15.42578125" style="1" customWidth="1"/>
    <col min="79" max="16384" width="9.140625" style="2"/>
  </cols>
  <sheetData>
    <row r="1" spans="1:70" ht="14.25" customHeight="1" x14ac:dyDescent="0.25">
      <c r="A1" s="140" t="s">
        <v>252</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c r="BD1" s="140"/>
      <c r="BE1" s="140"/>
      <c r="BF1" s="140"/>
      <c r="BG1" s="140"/>
      <c r="BH1" s="140"/>
      <c r="BI1" s="140"/>
      <c r="BJ1" s="140"/>
      <c r="BK1" s="140"/>
      <c r="BL1" s="140"/>
      <c r="BM1" s="140"/>
      <c r="BN1" s="140"/>
      <c r="BO1" s="140"/>
      <c r="BP1" s="140"/>
      <c r="BQ1" s="140"/>
      <c r="BR1" s="140"/>
    </row>
    <row r="2" spans="1:70" ht="14.25" customHeight="1" x14ac:dyDescent="0.25">
      <c r="A2" s="140"/>
      <c r="B2" s="140"/>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c r="AH2" s="140"/>
      <c r="AI2" s="140"/>
      <c r="AJ2" s="140"/>
      <c r="AK2" s="140"/>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row>
    <row r="3" spans="1:70" ht="14.25" customHeight="1" x14ac:dyDescent="0.25">
      <c r="A3" s="140" t="s">
        <v>56</v>
      </c>
      <c r="B3" s="140"/>
      <c r="C3" s="140"/>
      <c r="D3" s="140"/>
      <c r="E3" s="140"/>
      <c r="F3" s="140"/>
      <c r="G3" s="140"/>
      <c r="H3" s="140"/>
      <c r="I3" s="140"/>
      <c r="J3" s="140"/>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row>
    <row r="4" spans="1:70" ht="14.25" customHeight="1" x14ac:dyDescent="0.25">
      <c r="A4" s="140"/>
      <c r="B4" s="140"/>
      <c r="C4" s="140"/>
      <c r="D4" s="140"/>
      <c r="E4" s="140"/>
      <c r="F4" s="140"/>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row>
    <row r="5" spans="1:70" ht="14.25" customHeight="1" x14ac:dyDescent="0.25">
      <c r="A5" s="67"/>
      <c r="B5" s="67"/>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row>
    <row r="6" spans="1:70" ht="14.25" customHeight="1" x14ac:dyDescent="0.25">
      <c r="A6" s="67"/>
      <c r="B6" s="67"/>
      <c r="C6" s="67"/>
      <c r="D6" s="67"/>
      <c r="E6" s="67"/>
      <c r="F6" s="67"/>
      <c r="G6" s="67"/>
      <c r="H6" s="67"/>
      <c r="I6" s="67"/>
      <c r="J6" s="67"/>
      <c r="K6" s="67"/>
      <c r="L6" s="67"/>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row>
    <row r="7" spans="1:70" ht="14.25" customHeight="1" x14ac:dyDescent="0.25">
      <c r="A7" s="170" t="s">
        <v>57</v>
      </c>
      <c r="B7" s="170"/>
      <c r="C7" s="170"/>
      <c r="D7" s="170"/>
      <c r="E7" s="170"/>
      <c r="F7" s="170"/>
      <c r="G7" s="170"/>
      <c r="H7" s="170"/>
      <c r="I7" s="170"/>
      <c r="J7" s="170"/>
      <c r="K7" s="170"/>
      <c r="L7" s="170"/>
      <c r="M7" s="170"/>
      <c r="N7" s="170"/>
      <c r="O7" s="170"/>
      <c r="P7" s="170"/>
      <c r="Q7" s="170"/>
      <c r="R7" s="170" t="s">
        <v>239</v>
      </c>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t="s">
        <v>64</v>
      </c>
      <c r="BA7" s="170"/>
      <c r="BB7" s="170"/>
      <c r="BC7" s="170"/>
      <c r="BD7" s="170"/>
      <c r="BE7" s="170"/>
      <c r="BF7" s="170"/>
      <c r="BG7" s="170"/>
      <c r="BH7" s="170"/>
      <c r="BI7" s="170"/>
      <c r="BJ7" s="170"/>
      <c r="BK7" s="170"/>
      <c r="BL7" s="170"/>
      <c r="BM7" s="170"/>
      <c r="BN7" s="170"/>
      <c r="BO7" s="170"/>
      <c r="BP7" s="170"/>
      <c r="BQ7" s="170"/>
      <c r="BR7" s="170"/>
    </row>
    <row r="8" spans="1:70" ht="14.25" customHeight="1" x14ac:dyDescent="0.25">
      <c r="A8" s="170"/>
      <c r="B8" s="170"/>
      <c r="C8" s="170"/>
      <c r="D8" s="170"/>
      <c r="E8" s="170"/>
      <c r="F8" s="170"/>
      <c r="G8" s="170"/>
      <c r="H8" s="170"/>
      <c r="I8" s="170"/>
      <c r="J8" s="170"/>
      <c r="K8" s="170"/>
      <c r="L8" s="170"/>
      <c r="M8" s="170"/>
      <c r="N8" s="170"/>
      <c r="O8" s="170"/>
      <c r="P8" s="170"/>
      <c r="Q8" s="170"/>
      <c r="R8" s="170"/>
      <c r="S8" s="170"/>
      <c r="T8" s="170"/>
      <c r="U8" s="170"/>
      <c r="V8" s="170"/>
      <c r="W8" s="170"/>
      <c r="X8" s="170"/>
      <c r="Y8" s="170"/>
      <c r="Z8" s="170"/>
      <c r="AA8" s="170"/>
      <c r="AB8" s="170"/>
      <c r="AC8" s="170"/>
      <c r="AD8" s="170"/>
      <c r="AE8" s="170"/>
      <c r="AF8" s="170"/>
      <c r="AG8" s="170"/>
      <c r="AH8" s="170"/>
      <c r="AI8" s="170"/>
      <c r="AJ8" s="170"/>
      <c r="AK8" s="170"/>
      <c r="AL8" s="170"/>
      <c r="AM8" s="170"/>
      <c r="AN8" s="170"/>
      <c r="AO8" s="170"/>
      <c r="AP8" s="170"/>
      <c r="AQ8" s="170"/>
      <c r="AR8" s="170"/>
      <c r="AS8" s="170"/>
      <c r="AT8" s="170"/>
      <c r="AU8" s="170"/>
      <c r="AV8" s="170"/>
      <c r="AW8" s="170"/>
      <c r="AX8" s="170"/>
      <c r="AY8" s="170"/>
      <c r="AZ8" s="170"/>
      <c r="BA8" s="170"/>
      <c r="BB8" s="170"/>
      <c r="BC8" s="170"/>
      <c r="BD8" s="170"/>
      <c r="BE8" s="170"/>
      <c r="BF8" s="170"/>
      <c r="BG8" s="170"/>
      <c r="BH8" s="170"/>
      <c r="BI8" s="170"/>
      <c r="BJ8" s="170"/>
      <c r="BK8" s="170"/>
      <c r="BL8" s="170"/>
      <c r="BM8" s="170"/>
      <c r="BN8" s="170"/>
      <c r="BO8" s="170"/>
      <c r="BP8" s="170"/>
      <c r="BQ8" s="170"/>
      <c r="BR8" s="170"/>
    </row>
    <row r="9" spans="1:70" ht="14.25" customHeight="1" x14ac:dyDescent="0.25">
      <c r="A9" s="170"/>
      <c r="B9" s="170"/>
      <c r="C9" s="170"/>
      <c r="D9" s="170"/>
      <c r="E9" s="170"/>
      <c r="F9" s="170"/>
      <c r="G9" s="170"/>
      <c r="H9" s="170"/>
      <c r="I9" s="170"/>
      <c r="J9" s="170"/>
      <c r="K9" s="170"/>
      <c r="L9" s="170"/>
      <c r="M9" s="170"/>
      <c r="N9" s="170"/>
      <c r="O9" s="170"/>
      <c r="P9" s="170"/>
      <c r="Q9" s="170"/>
      <c r="R9" s="170"/>
      <c r="S9" s="170"/>
      <c r="T9" s="170"/>
      <c r="U9" s="170"/>
      <c r="V9" s="170"/>
      <c r="W9" s="170"/>
      <c r="X9" s="170"/>
      <c r="Y9" s="170"/>
      <c r="Z9" s="170"/>
      <c r="AA9" s="170"/>
      <c r="AB9" s="170"/>
      <c r="AC9" s="170"/>
      <c r="AD9" s="170"/>
      <c r="AE9" s="170"/>
      <c r="AF9" s="170"/>
      <c r="AG9" s="170"/>
      <c r="AH9" s="170"/>
      <c r="AI9" s="170"/>
      <c r="AJ9" s="170"/>
      <c r="AK9" s="170"/>
      <c r="AL9" s="170"/>
      <c r="AM9" s="170"/>
      <c r="AN9" s="170"/>
      <c r="AO9" s="170"/>
      <c r="AP9" s="170"/>
      <c r="AQ9" s="170"/>
      <c r="AR9" s="170"/>
      <c r="AS9" s="170"/>
      <c r="AT9" s="170"/>
      <c r="AU9" s="170"/>
      <c r="AV9" s="170"/>
      <c r="AW9" s="170"/>
      <c r="AX9" s="170"/>
      <c r="AY9" s="170"/>
      <c r="AZ9" s="170"/>
      <c r="BA9" s="170"/>
      <c r="BB9" s="170"/>
      <c r="BC9" s="170"/>
      <c r="BD9" s="170"/>
      <c r="BE9" s="170"/>
      <c r="BF9" s="170"/>
      <c r="BG9" s="170"/>
      <c r="BH9" s="170"/>
      <c r="BI9" s="170"/>
      <c r="BJ9" s="170"/>
      <c r="BK9" s="170"/>
      <c r="BL9" s="170"/>
      <c r="BM9" s="170"/>
      <c r="BN9" s="170"/>
      <c r="BO9" s="170"/>
      <c r="BP9" s="170"/>
      <c r="BQ9" s="170"/>
      <c r="BR9" s="170"/>
    </row>
    <row r="10" spans="1:70" ht="14.25" customHeight="1" x14ac:dyDescent="0.25">
      <c r="A10" s="170"/>
      <c r="B10" s="170"/>
      <c r="C10" s="170"/>
      <c r="D10" s="170"/>
      <c r="E10" s="170"/>
      <c r="F10" s="170"/>
      <c r="G10" s="170"/>
      <c r="H10" s="170"/>
      <c r="I10" s="170"/>
      <c r="J10" s="170"/>
      <c r="K10" s="170"/>
      <c r="L10" s="170"/>
      <c r="M10" s="170"/>
      <c r="N10" s="170"/>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0"/>
      <c r="AM10" s="170"/>
      <c r="AN10" s="170"/>
      <c r="AO10" s="170"/>
      <c r="AP10" s="170"/>
      <c r="AQ10" s="170"/>
      <c r="AR10" s="170"/>
      <c r="AS10" s="170"/>
      <c r="AT10" s="170"/>
      <c r="AU10" s="170"/>
      <c r="AV10" s="170"/>
      <c r="AW10" s="170"/>
      <c r="AX10" s="170"/>
      <c r="AY10" s="170"/>
      <c r="AZ10" s="170"/>
      <c r="BA10" s="170"/>
      <c r="BB10" s="170"/>
      <c r="BC10" s="170"/>
      <c r="BD10" s="170"/>
      <c r="BE10" s="170"/>
      <c r="BF10" s="170"/>
      <c r="BG10" s="170"/>
      <c r="BH10" s="170"/>
      <c r="BI10" s="170"/>
      <c r="BJ10" s="170"/>
      <c r="BK10" s="170"/>
      <c r="BL10" s="170"/>
      <c r="BM10" s="170"/>
      <c r="BN10" s="170"/>
      <c r="BO10" s="170"/>
      <c r="BP10" s="170"/>
      <c r="BQ10" s="170"/>
      <c r="BR10" s="170"/>
    </row>
    <row r="11" spans="1:70" ht="14.25" customHeight="1" x14ac:dyDescent="0.25">
      <c r="A11" s="171" t="s">
        <v>58</v>
      </c>
      <c r="B11" s="171"/>
      <c r="C11" s="171"/>
      <c r="D11" s="171"/>
      <c r="E11" s="171"/>
      <c r="F11" s="171"/>
      <c r="G11" s="171"/>
      <c r="H11" s="171"/>
      <c r="I11" s="171"/>
      <c r="J11" s="171"/>
      <c r="K11" s="171"/>
      <c r="L11" s="171"/>
      <c r="M11" s="171"/>
      <c r="N11" s="171"/>
      <c r="O11" s="171"/>
      <c r="P11" s="171"/>
      <c r="Q11" s="171"/>
      <c r="R11" s="174" t="s">
        <v>72</v>
      </c>
      <c r="S11" s="174"/>
      <c r="T11" s="174"/>
      <c r="U11" s="174"/>
      <c r="V11" s="174"/>
      <c r="W11" s="174"/>
      <c r="X11" s="174"/>
      <c r="Y11" s="174"/>
      <c r="Z11" s="174"/>
      <c r="AA11" s="174"/>
      <c r="AB11" s="174"/>
      <c r="AC11" s="174"/>
      <c r="AD11" s="174"/>
      <c r="AE11" s="174"/>
      <c r="AF11" s="174"/>
      <c r="AG11" s="174"/>
      <c r="AH11" s="174"/>
      <c r="AI11" s="174"/>
      <c r="AJ11" s="174"/>
      <c r="AK11" s="174"/>
      <c r="AL11" s="174"/>
      <c r="AM11" s="174"/>
      <c r="AN11" s="174"/>
      <c r="AO11" s="174"/>
      <c r="AP11" s="174"/>
      <c r="AQ11" s="174"/>
      <c r="AR11" s="174"/>
      <c r="AS11" s="174"/>
      <c r="AT11" s="174"/>
      <c r="AU11" s="174"/>
      <c r="AV11" s="174"/>
      <c r="AW11" s="174"/>
      <c r="AX11" s="174"/>
      <c r="AY11" s="174"/>
      <c r="AZ11" s="171" t="s">
        <v>63</v>
      </c>
      <c r="BA11" s="170"/>
      <c r="BB11" s="170"/>
      <c r="BC11" s="170"/>
      <c r="BD11" s="170"/>
      <c r="BE11" s="170"/>
      <c r="BF11" s="170"/>
      <c r="BG11" s="170"/>
      <c r="BH11" s="170"/>
      <c r="BI11" s="170"/>
      <c r="BJ11" s="170"/>
      <c r="BK11" s="170"/>
      <c r="BL11" s="170"/>
      <c r="BM11" s="170"/>
      <c r="BN11" s="170"/>
      <c r="BO11" s="170"/>
      <c r="BP11" s="170"/>
      <c r="BQ11" s="170"/>
      <c r="BR11" s="170"/>
    </row>
    <row r="12" spans="1:70" ht="14.25" customHeight="1" x14ac:dyDescent="0.25">
      <c r="A12" s="171"/>
      <c r="B12" s="171"/>
      <c r="C12" s="171"/>
      <c r="D12" s="171"/>
      <c r="E12" s="171"/>
      <c r="F12" s="171"/>
      <c r="G12" s="171"/>
      <c r="H12" s="171"/>
      <c r="I12" s="171"/>
      <c r="J12" s="171"/>
      <c r="K12" s="171"/>
      <c r="L12" s="171"/>
      <c r="M12" s="171"/>
      <c r="N12" s="171"/>
      <c r="O12" s="171"/>
      <c r="P12" s="171"/>
      <c r="Q12" s="171"/>
      <c r="R12" s="174"/>
      <c r="S12" s="174"/>
      <c r="T12" s="174"/>
      <c r="U12" s="174"/>
      <c r="V12" s="174"/>
      <c r="W12" s="174"/>
      <c r="X12" s="174"/>
      <c r="Y12" s="174"/>
      <c r="Z12" s="174"/>
      <c r="AA12" s="174"/>
      <c r="AB12" s="174"/>
      <c r="AC12" s="174"/>
      <c r="AD12" s="174"/>
      <c r="AE12" s="174"/>
      <c r="AF12" s="174"/>
      <c r="AG12" s="174"/>
      <c r="AH12" s="174"/>
      <c r="AI12" s="174"/>
      <c r="AJ12" s="174"/>
      <c r="AK12" s="174"/>
      <c r="AL12" s="174"/>
      <c r="AM12" s="174"/>
      <c r="AN12" s="174"/>
      <c r="AO12" s="174"/>
      <c r="AP12" s="174"/>
      <c r="AQ12" s="174"/>
      <c r="AR12" s="174"/>
      <c r="AS12" s="174"/>
      <c r="AT12" s="174"/>
      <c r="AU12" s="174"/>
      <c r="AV12" s="174"/>
      <c r="AW12" s="174"/>
      <c r="AX12" s="174"/>
      <c r="AY12" s="174"/>
      <c r="AZ12" s="171"/>
      <c r="BA12" s="170"/>
      <c r="BB12" s="170"/>
      <c r="BC12" s="170"/>
      <c r="BD12" s="170"/>
      <c r="BE12" s="170"/>
      <c r="BF12" s="170"/>
      <c r="BG12" s="170"/>
      <c r="BH12" s="170"/>
      <c r="BI12" s="170"/>
      <c r="BJ12" s="170"/>
      <c r="BK12" s="170"/>
      <c r="BL12" s="170"/>
      <c r="BM12" s="170"/>
      <c r="BN12" s="170"/>
      <c r="BO12" s="170"/>
      <c r="BP12" s="170"/>
      <c r="BQ12" s="170"/>
      <c r="BR12" s="170"/>
    </row>
    <row r="13" spans="1:70" ht="14.25" customHeight="1" x14ac:dyDescent="0.25">
      <c r="A13" s="171"/>
      <c r="B13" s="171"/>
      <c r="C13" s="171"/>
      <c r="D13" s="171"/>
      <c r="E13" s="171"/>
      <c r="F13" s="171"/>
      <c r="G13" s="171"/>
      <c r="H13" s="171"/>
      <c r="I13" s="171"/>
      <c r="J13" s="171"/>
      <c r="K13" s="171"/>
      <c r="L13" s="171"/>
      <c r="M13" s="171"/>
      <c r="N13" s="171"/>
      <c r="O13" s="171"/>
      <c r="P13" s="171"/>
      <c r="Q13" s="171"/>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1"/>
      <c r="BA13" s="170"/>
      <c r="BB13" s="170"/>
      <c r="BC13" s="170"/>
      <c r="BD13" s="170"/>
      <c r="BE13" s="170"/>
      <c r="BF13" s="170"/>
      <c r="BG13" s="170"/>
      <c r="BH13" s="170"/>
      <c r="BI13" s="170"/>
      <c r="BJ13" s="170"/>
      <c r="BK13" s="170"/>
      <c r="BL13" s="170"/>
      <c r="BM13" s="170"/>
      <c r="BN13" s="170"/>
      <c r="BO13" s="170"/>
      <c r="BP13" s="170"/>
      <c r="BQ13" s="170"/>
      <c r="BR13" s="170"/>
    </row>
    <row r="14" spans="1:70" ht="14.25" customHeight="1" x14ac:dyDescent="0.25">
      <c r="A14" s="171"/>
      <c r="B14" s="171"/>
      <c r="C14" s="171"/>
      <c r="D14" s="171"/>
      <c r="E14" s="171"/>
      <c r="F14" s="171"/>
      <c r="G14" s="171"/>
      <c r="H14" s="171"/>
      <c r="I14" s="171"/>
      <c r="J14" s="171"/>
      <c r="K14" s="171"/>
      <c r="L14" s="171"/>
      <c r="M14" s="171"/>
      <c r="N14" s="171"/>
      <c r="O14" s="171"/>
      <c r="P14" s="171"/>
      <c r="Q14" s="171"/>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0"/>
      <c r="BA14" s="170"/>
      <c r="BB14" s="170"/>
      <c r="BC14" s="170"/>
      <c r="BD14" s="170"/>
      <c r="BE14" s="170"/>
      <c r="BF14" s="170"/>
      <c r="BG14" s="170"/>
      <c r="BH14" s="170"/>
      <c r="BI14" s="170"/>
      <c r="BJ14" s="170"/>
      <c r="BK14" s="170"/>
      <c r="BL14" s="170"/>
      <c r="BM14" s="170"/>
      <c r="BN14" s="170"/>
      <c r="BO14" s="170"/>
      <c r="BP14" s="170"/>
      <c r="BQ14" s="170"/>
      <c r="BR14" s="170"/>
    </row>
    <row r="15" spans="1:70" ht="14.25" customHeight="1" x14ac:dyDescent="0.25">
      <c r="A15" s="170" t="s">
        <v>59</v>
      </c>
      <c r="B15" s="170"/>
      <c r="C15" s="170"/>
      <c r="D15" s="170"/>
      <c r="E15" s="170"/>
      <c r="F15" s="170"/>
      <c r="G15" s="170"/>
      <c r="H15" s="170"/>
      <c r="I15" s="170"/>
      <c r="J15" s="170"/>
      <c r="K15" s="170"/>
      <c r="L15" s="170"/>
      <c r="M15" s="170"/>
      <c r="N15" s="170"/>
      <c r="O15" s="170"/>
      <c r="P15" s="170"/>
      <c r="Q15" s="170"/>
      <c r="R15" s="175" t="s">
        <v>181</v>
      </c>
      <c r="S15" s="175"/>
      <c r="T15" s="175"/>
      <c r="U15" s="175"/>
      <c r="V15" s="175"/>
      <c r="W15" s="175"/>
      <c r="X15" s="175"/>
      <c r="Y15" s="175"/>
      <c r="Z15" s="175"/>
      <c r="AA15" s="175"/>
      <c r="AB15" s="175"/>
      <c r="AC15" s="175"/>
      <c r="AD15" s="175"/>
      <c r="AE15" s="175"/>
      <c r="AF15" s="175"/>
      <c r="AG15" s="175"/>
      <c r="AH15" s="175"/>
      <c r="AI15" s="175"/>
      <c r="AJ15" s="175"/>
      <c r="AK15" s="175"/>
      <c r="AL15" s="175"/>
      <c r="AM15" s="175"/>
      <c r="AN15" s="175"/>
      <c r="AO15" s="175"/>
      <c r="AP15" s="175"/>
      <c r="AQ15" s="175"/>
      <c r="AR15" s="175"/>
      <c r="AS15" s="175"/>
      <c r="AT15" s="175"/>
      <c r="AU15" s="175"/>
      <c r="AV15" s="175"/>
      <c r="AW15" s="175"/>
      <c r="AX15" s="175"/>
      <c r="AY15" s="175"/>
      <c r="AZ15" s="170" t="s">
        <v>62</v>
      </c>
      <c r="BA15" s="170"/>
      <c r="BB15" s="170"/>
      <c r="BC15" s="170"/>
      <c r="BD15" s="170"/>
      <c r="BE15" s="170"/>
      <c r="BF15" s="170"/>
      <c r="BG15" s="170"/>
      <c r="BH15" s="170"/>
      <c r="BI15" s="170"/>
      <c r="BJ15" s="170"/>
      <c r="BK15" s="170"/>
      <c r="BL15" s="170"/>
      <c r="BM15" s="170"/>
      <c r="BN15" s="170"/>
      <c r="BO15" s="170"/>
      <c r="BP15" s="170"/>
      <c r="BQ15" s="170"/>
      <c r="BR15" s="170"/>
    </row>
    <row r="16" spans="1:70" ht="14.25" customHeight="1" x14ac:dyDescent="0.25">
      <c r="A16" s="170"/>
      <c r="B16" s="170"/>
      <c r="C16" s="170"/>
      <c r="D16" s="170"/>
      <c r="E16" s="170"/>
      <c r="F16" s="170"/>
      <c r="G16" s="170"/>
      <c r="H16" s="170"/>
      <c r="I16" s="170"/>
      <c r="J16" s="170"/>
      <c r="K16" s="170"/>
      <c r="L16" s="170"/>
      <c r="M16" s="170"/>
      <c r="N16" s="170"/>
      <c r="O16" s="170"/>
      <c r="P16" s="170"/>
      <c r="Q16" s="170"/>
      <c r="R16" s="175"/>
      <c r="S16" s="175"/>
      <c r="T16" s="175"/>
      <c r="U16" s="175"/>
      <c r="V16" s="175"/>
      <c r="W16" s="175"/>
      <c r="X16" s="175"/>
      <c r="Y16" s="175"/>
      <c r="Z16" s="175"/>
      <c r="AA16" s="175"/>
      <c r="AB16" s="175"/>
      <c r="AC16" s="175"/>
      <c r="AD16" s="175"/>
      <c r="AE16" s="175"/>
      <c r="AF16" s="175"/>
      <c r="AG16" s="175"/>
      <c r="AH16" s="175"/>
      <c r="AI16" s="175"/>
      <c r="AJ16" s="175"/>
      <c r="AK16" s="175"/>
      <c r="AL16" s="175"/>
      <c r="AM16" s="175"/>
      <c r="AN16" s="175"/>
      <c r="AO16" s="175"/>
      <c r="AP16" s="175"/>
      <c r="AQ16" s="175"/>
      <c r="AR16" s="175"/>
      <c r="AS16" s="175"/>
      <c r="AT16" s="175"/>
      <c r="AU16" s="175"/>
      <c r="AV16" s="175"/>
      <c r="AW16" s="175"/>
      <c r="AX16" s="175"/>
      <c r="AY16" s="175"/>
      <c r="AZ16" s="170"/>
      <c r="BA16" s="170"/>
      <c r="BB16" s="170"/>
      <c r="BC16" s="170"/>
      <c r="BD16" s="170"/>
      <c r="BE16" s="170"/>
      <c r="BF16" s="170"/>
      <c r="BG16" s="170"/>
      <c r="BH16" s="170"/>
      <c r="BI16" s="170"/>
      <c r="BJ16" s="170"/>
      <c r="BK16" s="170"/>
      <c r="BL16" s="170"/>
      <c r="BM16" s="170"/>
      <c r="BN16" s="170"/>
      <c r="BO16" s="170"/>
      <c r="BP16" s="170"/>
      <c r="BQ16" s="170"/>
      <c r="BR16" s="170"/>
    </row>
    <row r="17" spans="1:85" ht="14.25" customHeight="1" x14ac:dyDescent="0.25">
      <c r="A17" s="170"/>
      <c r="B17" s="170"/>
      <c r="C17" s="170"/>
      <c r="D17" s="170"/>
      <c r="E17" s="170"/>
      <c r="F17" s="170"/>
      <c r="G17" s="170"/>
      <c r="H17" s="170"/>
      <c r="I17" s="170"/>
      <c r="J17" s="170"/>
      <c r="K17" s="170"/>
      <c r="L17" s="170"/>
      <c r="M17" s="170"/>
      <c r="N17" s="170"/>
      <c r="O17" s="170"/>
      <c r="P17" s="170"/>
      <c r="Q17" s="170"/>
      <c r="R17" s="175"/>
      <c r="S17" s="175"/>
      <c r="T17" s="175"/>
      <c r="U17" s="175"/>
      <c r="V17" s="175"/>
      <c r="W17" s="175"/>
      <c r="X17" s="175"/>
      <c r="Y17" s="175"/>
      <c r="Z17" s="175"/>
      <c r="AA17" s="175"/>
      <c r="AB17" s="175"/>
      <c r="AC17" s="175"/>
      <c r="AD17" s="175"/>
      <c r="AE17" s="175"/>
      <c r="AF17" s="175"/>
      <c r="AG17" s="175"/>
      <c r="AH17" s="175"/>
      <c r="AI17" s="175"/>
      <c r="AJ17" s="175"/>
      <c r="AK17" s="175"/>
      <c r="AL17" s="175"/>
      <c r="AM17" s="175"/>
      <c r="AN17" s="175"/>
      <c r="AO17" s="175"/>
      <c r="AP17" s="175"/>
      <c r="AQ17" s="175"/>
      <c r="AR17" s="175"/>
      <c r="AS17" s="175"/>
      <c r="AT17" s="175"/>
      <c r="AU17" s="175"/>
      <c r="AV17" s="175"/>
      <c r="AW17" s="175"/>
      <c r="AX17" s="175"/>
      <c r="AY17" s="175"/>
      <c r="AZ17" s="170"/>
      <c r="BA17" s="170"/>
      <c r="BB17" s="170"/>
      <c r="BC17" s="170"/>
      <c r="BD17" s="170"/>
      <c r="BE17" s="170"/>
      <c r="BF17" s="170"/>
      <c r="BG17" s="170"/>
      <c r="BH17" s="170"/>
      <c r="BI17" s="170"/>
      <c r="BJ17" s="170"/>
      <c r="BK17" s="170"/>
      <c r="BL17" s="170"/>
      <c r="BM17" s="170"/>
      <c r="BN17" s="170"/>
      <c r="BO17" s="170"/>
      <c r="BP17" s="170"/>
      <c r="BQ17" s="170"/>
      <c r="BR17" s="170"/>
    </row>
    <row r="18" spans="1:85" ht="14.25" customHeight="1" x14ac:dyDescent="0.25">
      <c r="A18" s="170"/>
      <c r="B18" s="170"/>
      <c r="C18" s="170"/>
      <c r="D18" s="170"/>
      <c r="E18" s="170"/>
      <c r="F18" s="170"/>
      <c r="G18" s="170"/>
      <c r="H18" s="170"/>
      <c r="I18" s="170"/>
      <c r="J18" s="170"/>
      <c r="K18" s="170"/>
      <c r="L18" s="170"/>
      <c r="M18" s="170"/>
      <c r="N18" s="170"/>
      <c r="O18" s="170"/>
      <c r="P18" s="170"/>
      <c r="Q18" s="170"/>
      <c r="R18" s="175"/>
      <c r="S18" s="175"/>
      <c r="T18" s="175"/>
      <c r="U18" s="175"/>
      <c r="V18" s="175"/>
      <c r="W18" s="175"/>
      <c r="X18" s="175"/>
      <c r="Y18" s="175"/>
      <c r="Z18" s="175"/>
      <c r="AA18" s="175"/>
      <c r="AB18" s="175"/>
      <c r="AC18" s="175"/>
      <c r="AD18" s="175"/>
      <c r="AE18" s="175"/>
      <c r="AF18" s="175"/>
      <c r="AG18" s="175"/>
      <c r="AH18" s="175"/>
      <c r="AI18" s="175"/>
      <c r="AJ18" s="175"/>
      <c r="AK18" s="175"/>
      <c r="AL18" s="175"/>
      <c r="AM18" s="175"/>
      <c r="AN18" s="175"/>
      <c r="AO18" s="175"/>
      <c r="AP18" s="175"/>
      <c r="AQ18" s="175"/>
      <c r="AR18" s="175"/>
      <c r="AS18" s="175"/>
      <c r="AT18" s="175"/>
      <c r="AU18" s="175"/>
      <c r="AV18" s="175"/>
      <c r="AW18" s="175"/>
      <c r="AX18" s="175"/>
      <c r="AY18" s="175"/>
      <c r="AZ18" s="170"/>
      <c r="BA18" s="170"/>
      <c r="BB18" s="170"/>
      <c r="BC18" s="170"/>
      <c r="BD18" s="170"/>
      <c r="BE18" s="170"/>
      <c r="BF18" s="170"/>
      <c r="BG18" s="170"/>
      <c r="BH18" s="170"/>
      <c r="BI18" s="170"/>
      <c r="BJ18" s="170"/>
      <c r="BK18" s="170"/>
      <c r="BL18" s="170"/>
      <c r="BM18" s="170"/>
      <c r="BN18" s="170"/>
      <c r="BO18" s="170"/>
      <c r="BP18" s="170"/>
      <c r="BQ18" s="170"/>
      <c r="BR18" s="170"/>
    </row>
    <row r="19" spans="1:85" ht="14.25" customHeight="1" x14ac:dyDescent="0.25">
      <c r="A19" s="170" t="s">
        <v>60</v>
      </c>
      <c r="B19" s="170"/>
      <c r="C19" s="170"/>
      <c r="D19" s="170"/>
      <c r="E19" s="170"/>
      <c r="F19" s="170"/>
      <c r="G19" s="170"/>
      <c r="H19" s="170"/>
      <c r="I19" s="170"/>
      <c r="J19" s="170"/>
      <c r="K19" s="170"/>
      <c r="L19" s="170"/>
      <c r="M19" s="170"/>
      <c r="N19" s="170"/>
      <c r="O19" s="170"/>
      <c r="P19" s="170"/>
      <c r="Q19" s="170"/>
      <c r="R19" s="170" t="s">
        <v>253</v>
      </c>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1" t="s">
        <v>233</v>
      </c>
      <c r="BA19" s="171"/>
      <c r="BB19" s="171"/>
      <c r="BC19" s="171"/>
      <c r="BD19" s="171"/>
      <c r="BE19" s="171"/>
      <c r="BF19" s="171"/>
      <c r="BG19" s="171"/>
      <c r="BH19" s="171"/>
      <c r="BI19" s="171"/>
      <c r="BJ19" s="171"/>
      <c r="BK19" s="171"/>
      <c r="BL19" s="171"/>
      <c r="BM19" s="171"/>
      <c r="BN19" s="171"/>
      <c r="BO19" s="171"/>
      <c r="BP19" s="171"/>
      <c r="BQ19" s="171"/>
      <c r="BR19" s="171"/>
    </row>
    <row r="20" spans="1:85" ht="14.25" customHeight="1" x14ac:dyDescent="0.25">
      <c r="A20" s="170"/>
      <c r="B20" s="170"/>
      <c r="C20" s="170"/>
      <c r="D20" s="170"/>
      <c r="E20" s="170"/>
      <c r="F20" s="170"/>
      <c r="G20" s="170"/>
      <c r="H20" s="170"/>
      <c r="I20" s="170"/>
      <c r="J20" s="170"/>
      <c r="K20" s="170"/>
      <c r="L20" s="170"/>
      <c r="M20" s="170"/>
      <c r="N20" s="170"/>
      <c r="O20" s="170"/>
      <c r="P20" s="170"/>
      <c r="Q20" s="170"/>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1"/>
      <c r="BA20" s="171"/>
      <c r="BB20" s="171"/>
      <c r="BC20" s="171"/>
      <c r="BD20" s="171"/>
      <c r="BE20" s="171"/>
      <c r="BF20" s="171"/>
      <c r="BG20" s="171"/>
      <c r="BH20" s="171"/>
      <c r="BI20" s="171"/>
      <c r="BJ20" s="171"/>
      <c r="BK20" s="171"/>
      <c r="BL20" s="171"/>
      <c r="BM20" s="171"/>
      <c r="BN20" s="171"/>
      <c r="BO20" s="171"/>
      <c r="BP20" s="171"/>
      <c r="BQ20" s="171"/>
      <c r="BR20" s="171"/>
    </row>
    <row r="21" spans="1:85" ht="14.25" customHeight="1" x14ac:dyDescent="0.25">
      <c r="A21" s="170"/>
      <c r="B21" s="170"/>
      <c r="C21" s="170"/>
      <c r="D21" s="170"/>
      <c r="E21" s="170"/>
      <c r="F21" s="170"/>
      <c r="G21" s="170"/>
      <c r="H21" s="170"/>
      <c r="I21" s="170"/>
      <c r="J21" s="170"/>
      <c r="K21" s="170"/>
      <c r="L21" s="170"/>
      <c r="M21" s="170"/>
      <c r="N21" s="170"/>
      <c r="O21" s="170"/>
      <c r="P21" s="170"/>
      <c r="Q21" s="170"/>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1"/>
      <c r="BA21" s="171"/>
      <c r="BB21" s="171"/>
      <c r="BC21" s="171"/>
      <c r="BD21" s="171"/>
      <c r="BE21" s="171"/>
      <c r="BF21" s="171"/>
      <c r="BG21" s="171"/>
      <c r="BH21" s="171"/>
      <c r="BI21" s="171"/>
      <c r="BJ21" s="171"/>
      <c r="BK21" s="171"/>
      <c r="BL21" s="171"/>
      <c r="BM21" s="171"/>
      <c r="BN21" s="171"/>
      <c r="BO21" s="171"/>
      <c r="BP21" s="171"/>
      <c r="BQ21" s="171"/>
      <c r="BR21" s="171"/>
    </row>
    <row r="22" spans="1:85" ht="14.25" customHeight="1" x14ac:dyDescent="0.25">
      <c r="A22" s="170"/>
      <c r="B22" s="170"/>
      <c r="C22" s="170"/>
      <c r="D22" s="170"/>
      <c r="E22" s="170"/>
      <c r="F22" s="170"/>
      <c r="G22" s="170"/>
      <c r="H22" s="170"/>
      <c r="I22" s="170"/>
      <c r="J22" s="170"/>
      <c r="K22" s="170"/>
      <c r="L22" s="170"/>
      <c r="M22" s="170"/>
      <c r="N22" s="170"/>
      <c r="O22" s="170"/>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1"/>
      <c r="BA22" s="171"/>
      <c r="BB22" s="171"/>
      <c r="BC22" s="171"/>
      <c r="BD22" s="171"/>
      <c r="BE22" s="171"/>
      <c r="BF22" s="171"/>
      <c r="BG22" s="171"/>
      <c r="BH22" s="171"/>
      <c r="BI22" s="171"/>
      <c r="BJ22" s="171"/>
      <c r="BK22" s="171"/>
      <c r="BL22" s="171"/>
      <c r="BM22" s="171"/>
      <c r="BN22" s="171"/>
      <c r="BO22" s="171"/>
      <c r="BP22" s="171"/>
      <c r="BQ22" s="171"/>
      <c r="BR22" s="171"/>
    </row>
    <row r="23" spans="1:85" ht="14.25" customHeight="1" x14ac:dyDescent="0.25">
      <c r="A23" s="173" t="s">
        <v>61</v>
      </c>
      <c r="B23" s="173"/>
      <c r="C23" s="173"/>
      <c r="D23" s="173"/>
      <c r="E23" s="173"/>
      <c r="F23" s="173"/>
      <c r="G23" s="173"/>
      <c r="H23" s="173"/>
      <c r="I23" s="173"/>
      <c r="J23" s="173"/>
      <c r="K23" s="173"/>
      <c r="L23" s="173"/>
      <c r="M23" s="173"/>
      <c r="N23" s="173"/>
      <c r="O23" s="173"/>
      <c r="P23" s="173"/>
      <c r="Q23" s="173"/>
      <c r="R23" s="170" t="s">
        <v>124</v>
      </c>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2"/>
      <c r="BA23" s="172"/>
      <c r="BB23" s="172"/>
      <c r="BC23" s="172"/>
      <c r="BD23" s="172"/>
      <c r="BE23" s="172"/>
      <c r="BF23" s="172"/>
      <c r="BG23" s="172"/>
      <c r="BH23" s="172"/>
      <c r="BI23" s="172"/>
      <c r="BJ23" s="172"/>
      <c r="BK23" s="172"/>
      <c r="BL23" s="172"/>
      <c r="BM23" s="172"/>
      <c r="BN23" s="172"/>
      <c r="BO23" s="172"/>
      <c r="BP23" s="172"/>
      <c r="BQ23" s="172"/>
      <c r="BR23" s="172"/>
    </row>
    <row r="24" spans="1:85" ht="14.25" customHeight="1" x14ac:dyDescent="0.25">
      <c r="A24" s="173"/>
      <c r="B24" s="173"/>
      <c r="C24" s="173"/>
      <c r="D24" s="173"/>
      <c r="E24" s="173"/>
      <c r="F24" s="173"/>
      <c r="G24" s="173"/>
      <c r="H24" s="173"/>
      <c r="I24" s="173"/>
      <c r="J24" s="173"/>
      <c r="K24" s="173"/>
      <c r="L24" s="173"/>
      <c r="M24" s="173"/>
      <c r="N24" s="173"/>
      <c r="O24" s="173"/>
      <c r="P24" s="173"/>
      <c r="Q24" s="173"/>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2"/>
      <c r="BA24" s="172"/>
      <c r="BB24" s="172"/>
      <c r="BC24" s="172"/>
      <c r="BD24" s="172"/>
      <c r="BE24" s="172"/>
      <c r="BF24" s="172"/>
      <c r="BG24" s="172"/>
      <c r="BH24" s="172"/>
      <c r="BI24" s="172"/>
      <c r="BJ24" s="172"/>
      <c r="BK24" s="172"/>
      <c r="BL24" s="172"/>
      <c r="BM24" s="172"/>
      <c r="BN24" s="172"/>
      <c r="BO24" s="172"/>
      <c r="BP24" s="172"/>
      <c r="BQ24" s="172"/>
      <c r="BR24" s="172"/>
    </row>
    <row r="25" spans="1:85" ht="14.25" customHeight="1" x14ac:dyDescent="0.25">
      <c r="A25" s="173"/>
      <c r="B25" s="173"/>
      <c r="C25" s="173"/>
      <c r="D25" s="173"/>
      <c r="E25" s="173"/>
      <c r="F25" s="173"/>
      <c r="G25" s="173"/>
      <c r="H25" s="173"/>
      <c r="I25" s="173"/>
      <c r="J25" s="173"/>
      <c r="K25" s="173"/>
      <c r="L25" s="173"/>
      <c r="M25" s="173"/>
      <c r="N25" s="173"/>
      <c r="O25" s="173"/>
      <c r="P25" s="173"/>
      <c r="Q25" s="173"/>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2"/>
      <c r="BA25" s="172"/>
      <c r="BB25" s="172"/>
      <c r="BC25" s="172"/>
      <c r="BD25" s="172"/>
      <c r="BE25" s="172"/>
      <c r="BF25" s="172"/>
      <c r="BG25" s="172"/>
      <c r="BH25" s="172"/>
      <c r="BI25" s="172"/>
      <c r="BJ25" s="172"/>
      <c r="BK25" s="172"/>
      <c r="BL25" s="172"/>
      <c r="BM25" s="172"/>
      <c r="BN25" s="172"/>
      <c r="BO25" s="172"/>
      <c r="BP25" s="172"/>
      <c r="BQ25" s="172"/>
      <c r="BR25" s="172"/>
    </row>
    <row r="26" spans="1:85" ht="14.25" customHeight="1" x14ac:dyDescent="0.25">
      <c r="A26" s="173"/>
      <c r="B26" s="173"/>
      <c r="C26" s="173"/>
      <c r="D26" s="173"/>
      <c r="E26" s="173"/>
      <c r="F26" s="173"/>
      <c r="G26" s="173"/>
      <c r="H26" s="173"/>
      <c r="I26" s="173"/>
      <c r="J26" s="173"/>
      <c r="K26" s="173"/>
      <c r="L26" s="173"/>
      <c r="M26" s="173"/>
      <c r="N26" s="173"/>
      <c r="O26" s="173"/>
      <c r="P26" s="173"/>
      <c r="Q26" s="173"/>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2"/>
      <c r="BA26" s="172"/>
      <c r="BB26" s="172"/>
      <c r="BC26" s="172"/>
      <c r="BD26" s="172"/>
      <c r="BE26" s="172"/>
      <c r="BF26" s="172"/>
      <c r="BG26" s="172"/>
      <c r="BH26" s="172"/>
      <c r="BI26" s="172"/>
      <c r="BJ26" s="172"/>
      <c r="BK26" s="172"/>
      <c r="BL26" s="172"/>
      <c r="BM26" s="172"/>
      <c r="BN26" s="172"/>
      <c r="BO26" s="172"/>
      <c r="BP26" s="172"/>
      <c r="BQ26" s="172"/>
      <c r="BR26" s="172"/>
    </row>
    <row r="27" spans="1:85" ht="14.25" customHeight="1" x14ac:dyDescent="0.25">
      <c r="A27" s="76"/>
      <c r="B27" s="76"/>
      <c r="C27" s="76"/>
      <c r="D27" s="76"/>
      <c r="E27" s="76"/>
      <c r="F27" s="76"/>
      <c r="G27" s="76"/>
      <c r="H27" s="76"/>
      <c r="I27" s="76"/>
      <c r="J27" s="76"/>
      <c r="K27" s="76"/>
      <c r="L27" s="76"/>
      <c r="M27" s="76"/>
      <c r="N27" s="76"/>
      <c r="O27" s="76"/>
      <c r="P27" s="76"/>
      <c r="Q27" s="76"/>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5"/>
      <c r="BA27" s="75"/>
      <c r="BB27" s="75"/>
      <c r="BC27" s="75"/>
      <c r="BD27" s="75"/>
      <c r="BE27" s="75"/>
      <c r="BF27" s="75"/>
      <c r="BG27" s="75"/>
      <c r="BH27" s="75"/>
      <c r="BI27" s="75"/>
      <c r="BJ27" s="75"/>
      <c r="BK27" s="75"/>
      <c r="BL27" s="75"/>
      <c r="BM27" s="75"/>
      <c r="BN27" s="75"/>
      <c r="BO27" s="75"/>
      <c r="BP27" s="75"/>
      <c r="BQ27" s="75"/>
      <c r="BR27" s="75"/>
    </row>
    <row r="28" spans="1:85" ht="14.25" customHeight="1" x14ac:dyDescent="0.25">
      <c r="A28" s="75"/>
      <c r="B28" s="3"/>
      <c r="C28" s="3"/>
      <c r="D28" s="75"/>
      <c r="E28" s="75"/>
      <c r="F28" s="75"/>
      <c r="G28" s="75"/>
      <c r="H28" s="75"/>
      <c r="I28" s="75"/>
      <c r="J28" s="75"/>
      <c r="K28" s="75"/>
      <c r="L28" s="75"/>
      <c r="M28" s="75"/>
      <c r="N28" s="75"/>
      <c r="O28" s="75"/>
      <c r="P28" s="75"/>
      <c r="Q28" s="75"/>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5"/>
      <c r="BA28" s="75"/>
      <c r="BB28" s="75"/>
      <c r="BC28" s="75"/>
      <c r="BD28" s="75"/>
      <c r="BE28" s="75"/>
      <c r="BF28" s="75"/>
      <c r="BG28" s="75"/>
      <c r="BH28" s="75"/>
      <c r="BI28" s="75"/>
      <c r="BJ28" s="75"/>
      <c r="BK28" s="75"/>
      <c r="BL28" s="75"/>
      <c r="BM28" s="75"/>
      <c r="BN28" s="75"/>
      <c r="BO28" s="75"/>
      <c r="BP28" s="75"/>
      <c r="BQ28" s="75"/>
      <c r="BR28" s="75"/>
    </row>
    <row r="29" spans="1:85" ht="14.25" customHeight="1" x14ac:dyDescent="0.25">
      <c r="A29" s="153" t="s">
        <v>65</v>
      </c>
      <c r="B29" s="153"/>
      <c r="C29" s="153"/>
      <c r="D29" s="153"/>
      <c r="E29" s="153"/>
      <c r="F29" s="153"/>
      <c r="G29" s="153"/>
      <c r="H29" s="153"/>
      <c r="I29" s="153"/>
      <c r="J29" s="153"/>
      <c r="K29" s="153"/>
      <c r="L29" s="153"/>
      <c r="M29" s="153"/>
      <c r="N29" s="153"/>
      <c r="O29" s="153"/>
      <c r="P29" s="153"/>
      <c r="Q29" s="153"/>
      <c r="R29" s="153"/>
      <c r="S29" s="153"/>
      <c r="T29" s="153"/>
      <c r="U29" s="153"/>
      <c r="V29" s="153"/>
      <c r="W29" s="153"/>
      <c r="X29" s="153"/>
      <c r="Y29" s="153"/>
      <c r="Z29" s="153"/>
      <c r="AA29" s="153"/>
      <c r="AB29" s="153"/>
      <c r="AC29" s="153"/>
      <c r="AD29" s="153"/>
      <c r="AE29" s="153"/>
      <c r="AF29" s="153"/>
      <c r="AG29" s="153"/>
      <c r="AH29" s="153"/>
      <c r="AI29" s="153"/>
      <c r="AJ29" s="153"/>
      <c r="AK29" s="153"/>
      <c r="AL29" s="153"/>
      <c r="AM29" s="153"/>
      <c r="AN29" s="153"/>
      <c r="AO29" s="153"/>
      <c r="AP29" s="153"/>
      <c r="AQ29" s="153"/>
      <c r="AR29" s="153"/>
      <c r="AS29" s="153"/>
      <c r="AT29" s="153"/>
      <c r="AU29" s="153"/>
      <c r="AV29" s="153"/>
      <c r="AW29" s="153"/>
      <c r="AX29" s="153"/>
      <c r="AY29" s="153"/>
      <c r="AZ29" s="153"/>
      <c r="BA29" s="153"/>
      <c r="BB29" s="153"/>
      <c r="BC29" s="153"/>
      <c r="BD29" s="153"/>
      <c r="BE29" s="153"/>
      <c r="BF29" s="153"/>
      <c r="BG29" s="153"/>
      <c r="BH29" s="153"/>
      <c r="BI29" s="153"/>
      <c r="BJ29" s="153"/>
      <c r="BK29" s="153"/>
      <c r="BL29" s="153"/>
      <c r="BM29" s="153"/>
      <c r="BN29" s="153"/>
      <c r="BO29" s="153"/>
      <c r="BP29" s="153"/>
      <c r="BQ29" s="153"/>
      <c r="BR29" s="153"/>
    </row>
    <row r="30" spans="1:85" ht="14.25" customHeight="1" x14ac:dyDescent="0.25">
      <c r="A30" s="154"/>
      <c r="B30" s="154"/>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c r="AA30" s="154"/>
      <c r="AB30" s="154"/>
      <c r="AC30" s="154"/>
      <c r="AD30" s="154"/>
      <c r="AE30" s="154"/>
      <c r="AF30" s="154"/>
      <c r="AG30" s="154"/>
      <c r="AH30" s="154"/>
      <c r="AI30" s="154"/>
      <c r="AJ30" s="154"/>
      <c r="AK30" s="154"/>
      <c r="AL30" s="154"/>
      <c r="AM30" s="154"/>
      <c r="AN30" s="154"/>
      <c r="AO30" s="154"/>
      <c r="AP30" s="154"/>
      <c r="AQ30" s="154"/>
      <c r="AR30" s="154"/>
      <c r="AS30" s="154"/>
      <c r="AT30" s="154"/>
      <c r="AU30" s="154"/>
      <c r="AV30" s="154"/>
      <c r="AW30" s="154"/>
      <c r="AX30" s="154"/>
      <c r="AY30" s="154"/>
      <c r="AZ30" s="154"/>
      <c r="BA30" s="154"/>
      <c r="BB30" s="154"/>
      <c r="BC30" s="154"/>
      <c r="BD30" s="154"/>
      <c r="BE30" s="154"/>
      <c r="BF30" s="154"/>
      <c r="BG30" s="154"/>
      <c r="BH30" s="154"/>
      <c r="BI30" s="154"/>
      <c r="BJ30" s="154"/>
      <c r="BK30" s="154"/>
      <c r="BL30" s="154"/>
      <c r="BM30" s="154"/>
      <c r="BN30" s="154"/>
      <c r="BO30" s="154"/>
      <c r="BP30" s="154"/>
      <c r="BQ30" s="154"/>
      <c r="BR30" s="154"/>
    </row>
    <row r="31" spans="1:85" ht="14.25" customHeight="1" x14ac:dyDescent="0.25">
      <c r="A31" s="134" t="s">
        <v>86</v>
      </c>
      <c r="B31" s="134"/>
      <c r="C31" s="106" t="s">
        <v>85</v>
      </c>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6"/>
      <c r="BA31" s="106"/>
      <c r="BB31" s="106"/>
      <c r="BC31" s="236" t="s">
        <v>87</v>
      </c>
      <c r="BD31" s="210"/>
      <c r="BE31" s="233" t="s">
        <v>95</v>
      </c>
      <c r="BF31" s="234"/>
      <c r="BG31" s="234"/>
      <c r="BH31" s="234"/>
      <c r="BI31" s="234"/>
      <c r="BJ31" s="234"/>
      <c r="BK31" s="234"/>
      <c r="BL31" s="235"/>
      <c r="BM31" s="236" t="s">
        <v>92</v>
      </c>
      <c r="BN31" s="210"/>
      <c r="BO31" s="133" t="s">
        <v>93</v>
      </c>
      <c r="BP31" s="133"/>
      <c r="BQ31" s="209" t="s">
        <v>94</v>
      </c>
      <c r="BR31" s="210"/>
      <c r="BT31" s="233"/>
      <c r="BU31" s="234"/>
      <c r="BV31" s="234"/>
      <c r="BW31" s="234"/>
      <c r="BX31" s="234"/>
      <c r="BY31" s="234"/>
      <c r="BZ31" s="234"/>
      <c r="CA31" s="235"/>
      <c r="CB31" s="236"/>
      <c r="CC31" s="210"/>
      <c r="CD31" s="133"/>
      <c r="CE31" s="133"/>
      <c r="CF31" s="209"/>
      <c r="CG31" s="210"/>
    </row>
    <row r="32" spans="1:85" ht="177.75" customHeight="1" x14ac:dyDescent="0.25">
      <c r="A32" s="134"/>
      <c r="B32" s="134"/>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c r="AZ32" s="106"/>
      <c r="BA32" s="106"/>
      <c r="BB32" s="106"/>
      <c r="BC32" s="237"/>
      <c r="BD32" s="212"/>
      <c r="BE32" s="135" t="s">
        <v>88</v>
      </c>
      <c r="BF32" s="135"/>
      <c r="BG32" s="215" t="s">
        <v>89</v>
      </c>
      <c r="BH32" s="217"/>
      <c r="BI32" s="215" t="s">
        <v>90</v>
      </c>
      <c r="BJ32" s="217"/>
      <c r="BK32" s="134" t="s">
        <v>91</v>
      </c>
      <c r="BL32" s="134"/>
      <c r="BM32" s="237"/>
      <c r="BN32" s="212"/>
      <c r="BO32" s="133"/>
      <c r="BP32" s="133"/>
      <c r="BQ32" s="211"/>
      <c r="BR32" s="212"/>
      <c r="BT32" s="215"/>
      <c r="BU32" s="216"/>
      <c r="BV32" s="217"/>
      <c r="BW32" s="215"/>
      <c r="BX32" s="217"/>
      <c r="BY32" s="224"/>
      <c r="BZ32" s="225"/>
      <c r="CA32" s="226"/>
      <c r="CB32" s="237"/>
      <c r="CC32" s="212"/>
      <c r="CD32" s="133"/>
      <c r="CE32" s="133"/>
      <c r="CF32" s="211"/>
      <c r="CG32" s="212"/>
    </row>
    <row r="33" spans="1:85" ht="14.25" customHeight="1" x14ac:dyDescent="0.25">
      <c r="A33" s="134"/>
      <c r="B33" s="134"/>
      <c r="C33" s="167" t="s">
        <v>73</v>
      </c>
      <c r="D33" s="168"/>
      <c r="E33" s="168"/>
      <c r="F33" s="152"/>
      <c r="G33" s="106" t="s">
        <v>74</v>
      </c>
      <c r="H33" s="106"/>
      <c r="I33" s="106"/>
      <c r="J33" s="106"/>
      <c r="K33" s="106" t="s">
        <v>75</v>
      </c>
      <c r="L33" s="106"/>
      <c r="M33" s="106"/>
      <c r="N33" s="106"/>
      <c r="O33" s="106"/>
      <c r="P33" s="167" t="s">
        <v>76</v>
      </c>
      <c r="Q33" s="168"/>
      <c r="R33" s="168"/>
      <c r="S33" s="152"/>
      <c r="T33" s="167" t="s">
        <v>77</v>
      </c>
      <c r="U33" s="168"/>
      <c r="V33" s="168"/>
      <c r="W33" s="168"/>
      <c r="X33" s="152"/>
      <c r="Y33" s="167" t="s">
        <v>78</v>
      </c>
      <c r="Z33" s="168"/>
      <c r="AA33" s="168"/>
      <c r="AB33" s="152"/>
      <c r="AC33" s="167" t="s">
        <v>79</v>
      </c>
      <c r="AD33" s="168"/>
      <c r="AE33" s="168"/>
      <c r="AF33" s="152"/>
      <c r="AG33" s="167" t="s">
        <v>80</v>
      </c>
      <c r="AH33" s="168"/>
      <c r="AI33" s="168"/>
      <c r="AJ33" s="152"/>
      <c r="AK33" s="167" t="s">
        <v>81</v>
      </c>
      <c r="AL33" s="168"/>
      <c r="AM33" s="168"/>
      <c r="AN33" s="168"/>
      <c r="AO33" s="152"/>
      <c r="AP33" s="167" t="s">
        <v>82</v>
      </c>
      <c r="AQ33" s="168"/>
      <c r="AR33" s="168"/>
      <c r="AS33" s="152"/>
      <c r="AT33" s="167" t="s">
        <v>83</v>
      </c>
      <c r="AU33" s="168"/>
      <c r="AV33" s="168"/>
      <c r="AW33" s="168"/>
      <c r="AX33" s="152"/>
      <c r="AY33" s="167" t="s">
        <v>84</v>
      </c>
      <c r="AZ33" s="168"/>
      <c r="BA33" s="168"/>
      <c r="BB33" s="152"/>
      <c r="BC33" s="237"/>
      <c r="BD33" s="212"/>
      <c r="BE33" s="135"/>
      <c r="BF33" s="135"/>
      <c r="BG33" s="218"/>
      <c r="BH33" s="220"/>
      <c r="BI33" s="218"/>
      <c r="BJ33" s="220"/>
      <c r="BK33" s="134"/>
      <c r="BL33" s="134"/>
      <c r="BM33" s="237"/>
      <c r="BN33" s="212"/>
      <c r="BO33" s="133"/>
      <c r="BP33" s="133"/>
      <c r="BQ33" s="211"/>
      <c r="BR33" s="212"/>
      <c r="BT33" s="218"/>
      <c r="BU33" s="219"/>
      <c r="BV33" s="220"/>
      <c r="BW33" s="218"/>
      <c r="BX33" s="220"/>
      <c r="BY33" s="227"/>
      <c r="BZ33" s="228"/>
      <c r="CA33" s="229"/>
      <c r="CB33" s="237"/>
      <c r="CC33" s="212"/>
      <c r="CD33" s="133"/>
      <c r="CE33" s="133"/>
      <c r="CF33" s="211"/>
      <c r="CG33" s="212"/>
    </row>
    <row r="34" spans="1:85" ht="14.25" customHeight="1" x14ac:dyDescent="0.25">
      <c r="A34" s="134"/>
      <c r="B34" s="134"/>
      <c r="C34" s="72">
        <v>1</v>
      </c>
      <c r="D34" s="72">
        <v>2</v>
      </c>
      <c r="E34" s="72">
        <v>3</v>
      </c>
      <c r="F34" s="72">
        <v>4</v>
      </c>
      <c r="G34" s="72">
        <v>5</v>
      </c>
      <c r="H34" s="72">
        <v>6</v>
      </c>
      <c r="I34" s="72">
        <v>7</v>
      </c>
      <c r="J34" s="72">
        <v>8</v>
      </c>
      <c r="K34" s="72">
        <v>9</v>
      </c>
      <c r="L34" s="72">
        <v>10</v>
      </c>
      <c r="M34" s="72">
        <v>11</v>
      </c>
      <c r="N34" s="72">
        <v>12</v>
      </c>
      <c r="O34" s="72">
        <v>13</v>
      </c>
      <c r="P34" s="72">
        <v>14</v>
      </c>
      <c r="Q34" s="72">
        <v>15</v>
      </c>
      <c r="R34" s="72">
        <v>16</v>
      </c>
      <c r="S34" s="72">
        <v>17</v>
      </c>
      <c r="T34" s="72">
        <v>18</v>
      </c>
      <c r="U34" s="72">
        <v>19</v>
      </c>
      <c r="V34" s="72">
        <v>20</v>
      </c>
      <c r="W34" s="72">
        <v>21</v>
      </c>
      <c r="X34" s="72">
        <v>22</v>
      </c>
      <c r="Y34" s="72">
        <v>23</v>
      </c>
      <c r="Z34" s="72">
        <v>24</v>
      </c>
      <c r="AA34" s="72">
        <v>25</v>
      </c>
      <c r="AB34" s="72">
        <v>26</v>
      </c>
      <c r="AC34" s="72">
        <v>27</v>
      </c>
      <c r="AD34" s="72">
        <v>28</v>
      </c>
      <c r="AE34" s="72">
        <v>29</v>
      </c>
      <c r="AF34" s="72">
        <v>30</v>
      </c>
      <c r="AG34" s="72">
        <v>31</v>
      </c>
      <c r="AH34" s="72">
        <v>32</v>
      </c>
      <c r="AI34" s="72">
        <v>33</v>
      </c>
      <c r="AJ34" s="72">
        <v>34</v>
      </c>
      <c r="AK34" s="72">
        <v>35</v>
      </c>
      <c r="AL34" s="72">
        <v>36</v>
      </c>
      <c r="AM34" s="72">
        <v>37</v>
      </c>
      <c r="AN34" s="72">
        <v>38</v>
      </c>
      <c r="AO34" s="72">
        <v>39</v>
      </c>
      <c r="AP34" s="72">
        <v>40</v>
      </c>
      <c r="AQ34" s="72">
        <v>41</v>
      </c>
      <c r="AR34" s="72">
        <v>42</v>
      </c>
      <c r="AS34" s="72">
        <v>43</v>
      </c>
      <c r="AT34" s="72">
        <v>44</v>
      </c>
      <c r="AU34" s="72">
        <v>45</v>
      </c>
      <c r="AV34" s="72">
        <v>46</v>
      </c>
      <c r="AW34" s="72">
        <v>47</v>
      </c>
      <c r="AX34" s="72">
        <v>48</v>
      </c>
      <c r="AY34" s="72">
        <v>49</v>
      </c>
      <c r="AZ34" s="72">
        <v>50</v>
      </c>
      <c r="BA34" s="72">
        <v>51</v>
      </c>
      <c r="BB34" s="72">
        <v>52</v>
      </c>
      <c r="BC34" s="238"/>
      <c r="BD34" s="214"/>
      <c r="BE34" s="135"/>
      <c r="BF34" s="135"/>
      <c r="BG34" s="221"/>
      <c r="BH34" s="223"/>
      <c r="BI34" s="221"/>
      <c r="BJ34" s="223"/>
      <c r="BK34" s="134"/>
      <c r="BL34" s="134"/>
      <c r="BM34" s="238"/>
      <c r="BN34" s="214"/>
      <c r="BO34" s="133"/>
      <c r="BP34" s="133"/>
      <c r="BQ34" s="213"/>
      <c r="BR34" s="214"/>
      <c r="BT34" s="221"/>
      <c r="BU34" s="222"/>
      <c r="BV34" s="223"/>
      <c r="BW34" s="221"/>
      <c r="BX34" s="223"/>
      <c r="BY34" s="230"/>
      <c r="BZ34" s="231"/>
      <c r="CA34" s="232"/>
      <c r="CB34" s="238"/>
      <c r="CC34" s="214"/>
      <c r="CD34" s="133"/>
      <c r="CE34" s="133"/>
      <c r="CF34" s="213"/>
      <c r="CG34" s="214"/>
    </row>
    <row r="35" spans="1:85" ht="14.25" customHeight="1" x14ac:dyDescent="0.25">
      <c r="A35" s="106" t="s">
        <v>0</v>
      </c>
      <c r="B35" s="106"/>
      <c r="C35" s="72" t="s">
        <v>106</v>
      </c>
      <c r="D35" s="72"/>
      <c r="E35" s="72"/>
      <c r="F35" s="72"/>
      <c r="G35" s="72"/>
      <c r="H35" s="72"/>
      <c r="I35" s="72"/>
      <c r="J35" s="72"/>
      <c r="K35" s="72"/>
      <c r="L35" s="72"/>
      <c r="M35" s="72"/>
      <c r="N35" s="72"/>
      <c r="O35" s="72"/>
      <c r="P35" s="72"/>
      <c r="Q35" s="72"/>
      <c r="R35" s="72"/>
      <c r="S35" s="72" t="s">
        <v>2</v>
      </c>
      <c r="T35" s="72" t="s">
        <v>2</v>
      </c>
      <c r="U35" s="72" t="s">
        <v>1</v>
      </c>
      <c r="V35" s="72" t="s">
        <v>1</v>
      </c>
      <c r="W35" s="72" t="s">
        <v>106</v>
      </c>
      <c r="X35" s="72" t="s">
        <v>0</v>
      </c>
      <c r="Y35" s="72" t="s">
        <v>0</v>
      </c>
      <c r="Z35" s="72" t="s">
        <v>0</v>
      </c>
      <c r="AA35" s="72" t="s">
        <v>0</v>
      </c>
      <c r="AB35" s="72" t="s">
        <v>0</v>
      </c>
      <c r="AC35" s="72"/>
      <c r="AD35" s="72"/>
      <c r="AE35" s="72"/>
      <c r="AF35" s="72"/>
      <c r="AG35" s="72"/>
      <c r="AH35" s="72"/>
      <c r="AI35" s="72"/>
      <c r="AJ35" s="72"/>
      <c r="AK35" s="72"/>
      <c r="AL35" s="72"/>
      <c r="AM35" s="72"/>
      <c r="AN35" s="72"/>
      <c r="AO35" s="72"/>
      <c r="AP35" s="72"/>
      <c r="AQ35" s="72"/>
      <c r="AR35" s="72" t="s">
        <v>1</v>
      </c>
      <c r="AS35" s="72" t="s">
        <v>1</v>
      </c>
      <c r="AT35" s="72" t="s">
        <v>2</v>
      </c>
      <c r="AU35" s="72" t="s">
        <v>2</v>
      </c>
      <c r="AV35" s="72" t="s">
        <v>2</v>
      </c>
      <c r="AW35" s="72" t="s">
        <v>2</v>
      </c>
      <c r="AX35" s="72" t="s">
        <v>2</v>
      </c>
      <c r="AY35" s="72" t="s">
        <v>2</v>
      </c>
      <c r="AZ35" s="72" t="s">
        <v>2</v>
      </c>
      <c r="BA35" s="72" t="s">
        <v>2</v>
      </c>
      <c r="BB35" s="72" t="s">
        <v>2</v>
      </c>
      <c r="BC35" s="167">
        <f>SUM(BE35:BN35)</f>
        <v>41</v>
      </c>
      <c r="BD35" s="152"/>
      <c r="BE35" s="106">
        <v>30</v>
      </c>
      <c r="BF35" s="106"/>
      <c r="BG35" s="167">
        <v>5</v>
      </c>
      <c r="BH35" s="152"/>
      <c r="BI35" s="167"/>
      <c r="BJ35" s="152"/>
      <c r="BK35" s="168">
        <v>4</v>
      </c>
      <c r="BL35" s="152"/>
      <c r="BM35" s="167">
        <v>2</v>
      </c>
      <c r="BN35" s="152"/>
      <c r="BO35" s="167">
        <v>11</v>
      </c>
      <c r="BP35" s="152"/>
      <c r="BQ35" s="106">
        <f>BO35+BC35</f>
        <v>52</v>
      </c>
      <c r="BR35" s="106"/>
    </row>
    <row r="36" spans="1:85" ht="14.25" customHeight="1" x14ac:dyDescent="0.25">
      <c r="A36" s="106" t="s">
        <v>3</v>
      </c>
      <c r="B36" s="106"/>
      <c r="C36" s="72" t="s">
        <v>106</v>
      </c>
      <c r="D36" s="72"/>
      <c r="E36" s="72"/>
      <c r="F36" s="72"/>
      <c r="G36" s="72"/>
      <c r="H36" s="72"/>
      <c r="I36" s="72"/>
      <c r="J36" s="72"/>
      <c r="K36" s="72"/>
      <c r="L36" s="72"/>
      <c r="M36" s="72"/>
      <c r="N36" s="72"/>
      <c r="O36" s="72"/>
      <c r="P36" s="72"/>
      <c r="Q36" s="72"/>
      <c r="R36" s="72"/>
      <c r="S36" s="72" t="s">
        <v>2</v>
      </c>
      <c r="T36" s="72" t="s">
        <v>2</v>
      </c>
      <c r="U36" s="72" t="s">
        <v>1</v>
      </c>
      <c r="V36" s="72" t="s">
        <v>1</v>
      </c>
      <c r="W36" s="72" t="s">
        <v>106</v>
      </c>
      <c r="X36" s="72" t="s">
        <v>22</v>
      </c>
      <c r="Y36" s="72" t="s">
        <v>22</v>
      </c>
      <c r="Z36" s="72" t="s">
        <v>22</v>
      </c>
      <c r="AA36" s="72" t="s">
        <v>22</v>
      </c>
      <c r="AB36" s="72" t="s">
        <v>22</v>
      </c>
      <c r="AC36" s="72"/>
      <c r="AD36" s="72"/>
      <c r="AE36" s="72"/>
      <c r="AF36" s="72"/>
      <c r="AG36" s="72"/>
      <c r="AH36" s="72"/>
      <c r="AI36" s="72"/>
      <c r="AJ36" s="72"/>
      <c r="AK36" s="72"/>
      <c r="AL36" s="72"/>
      <c r="AM36" s="72"/>
      <c r="AN36" s="72"/>
      <c r="AO36" s="72"/>
      <c r="AP36" s="72"/>
      <c r="AQ36" s="72"/>
      <c r="AR36" s="72" t="s">
        <v>1</v>
      </c>
      <c r="AS36" s="72" t="s">
        <v>102</v>
      </c>
      <c r="AT36" s="72" t="s">
        <v>2</v>
      </c>
      <c r="AU36" s="72" t="s">
        <v>2</v>
      </c>
      <c r="AV36" s="72" t="s">
        <v>2</v>
      </c>
      <c r="AW36" s="72" t="s">
        <v>2</v>
      </c>
      <c r="AX36" s="72" t="s">
        <v>2</v>
      </c>
      <c r="AY36" s="72"/>
      <c r="AZ36" s="72"/>
      <c r="BA36" s="72"/>
      <c r="BB36" s="72"/>
      <c r="BC36" s="167">
        <f>SUM(BE36:BN36)</f>
        <v>41</v>
      </c>
      <c r="BD36" s="152"/>
      <c r="BE36" s="106">
        <v>30</v>
      </c>
      <c r="BF36" s="106"/>
      <c r="BG36" s="167"/>
      <c r="BH36" s="152"/>
      <c r="BI36" s="167">
        <v>5</v>
      </c>
      <c r="BJ36" s="152"/>
      <c r="BK36" s="168">
        <v>4</v>
      </c>
      <c r="BL36" s="152"/>
      <c r="BM36" s="167">
        <v>2</v>
      </c>
      <c r="BN36" s="152"/>
      <c r="BO36" s="167">
        <v>7</v>
      </c>
      <c r="BP36" s="152"/>
      <c r="BQ36" s="106">
        <f>BO36+BC36</f>
        <v>48</v>
      </c>
      <c r="BR36" s="106"/>
    </row>
    <row r="37" spans="1:85" ht="14.25" customHeight="1" x14ac:dyDescent="0.25">
      <c r="A37" s="169" t="s">
        <v>4</v>
      </c>
      <c r="B37" s="169"/>
      <c r="C37" s="169"/>
      <c r="D37" s="169"/>
      <c r="E37" s="169"/>
      <c r="F37" s="169"/>
      <c r="G37" s="169"/>
      <c r="H37" s="169"/>
      <c r="I37" s="169"/>
      <c r="J37" s="169"/>
      <c r="K37" s="169"/>
      <c r="L37" s="169"/>
      <c r="M37" s="169"/>
      <c r="N37" s="169"/>
      <c r="O37" s="169"/>
      <c r="P37" s="169"/>
      <c r="Q37" s="169"/>
      <c r="R37" s="169"/>
      <c r="S37" s="169"/>
      <c r="T37" s="169"/>
      <c r="U37" s="169"/>
      <c r="V37" s="169"/>
      <c r="W37" s="169"/>
      <c r="X37" s="169"/>
      <c r="Y37" s="169"/>
      <c r="Z37" s="169"/>
      <c r="AA37" s="169"/>
      <c r="AB37" s="169"/>
      <c r="AC37" s="169"/>
      <c r="AD37" s="169"/>
      <c r="AE37" s="169"/>
      <c r="AF37" s="169"/>
      <c r="AG37" s="169"/>
      <c r="AH37" s="169"/>
      <c r="AI37" s="169"/>
      <c r="AJ37" s="169"/>
      <c r="AK37" s="169"/>
      <c r="AL37" s="169"/>
      <c r="AM37" s="169"/>
      <c r="AN37" s="169"/>
      <c r="AO37" s="169"/>
      <c r="AP37" s="169"/>
      <c r="AQ37" s="169"/>
      <c r="AR37" s="169"/>
      <c r="AS37" s="169"/>
      <c r="AT37" s="169"/>
      <c r="AU37" s="169"/>
      <c r="AV37" s="169"/>
      <c r="AW37" s="169"/>
      <c r="AX37" s="169"/>
      <c r="AY37" s="169"/>
      <c r="AZ37" s="169"/>
      <c r="BA37" s="169"/>
      <c r="BB37" s="169"/>
      <c r="BC37" s="167">
        <f>SUM(BC35:BD36)</f>
        <v>82</v>
      </c>
      <c r="BD37" s="152"/>
      <c r="BE37" s="106">
        <f>SUM(BE35:BF36)</f>
        <v>60</v>
      </c>
      <c r="BF37" s="106"/>
      <c r="BG37" s="106">
        <f t="shared" ref="BG37" si="0">SUM(BG35:BH36)</f>
        <v>5</v>
      </c>
      <c r="BH37" s="106"/>
      <c r="BI37" s="106">
        <f t="shared" ref="BI37" si="1">SUM(BI35:BJ36)</f>
        <v>5</v>
      </c>
      <c r="BJ37" s="106"/>
      <c r="BK37" s="106">
        <f t="shared" ref="BK37" si="2">SUM(BK35:BL36)</f>
        <v>8</v>
      </c>
      <c r="BL37" s="106"/>
      <c r="BM37" s="106">
        <f t="shared" ref="BM37" si="3">SUM(BM35:BN36)</f>
        <v>4</v>
      </c>
      <c r="BN37" s="106"/>
      <c r="BO37" s="106">
        <f t="shared" ref="BO37" si="4">SUM(BO35:BP36)</f>
        <v>18</v>
      </c>
      <c r="BP37" s="106"/>
      <c r="BQ37" s="106">
        <f>SUM(BQ35:BR36)</f>
        <v>100</v>
      </c>
      <c r="BR37" s="106"/>
    </row>
    <row r="38" spans="1:85" ht="14.25" customHeight="1" x14ac:dyDescent="0.25">
      <c r="A38" s="4"/>
      <c r="B38" s="5"/>
      <c r="C38" s="5"/>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7"/>
      <c r="AF38" s="6"/>
      <c r="AG38" s="6"/>
      <c r="AH38" s="6"/>
      <c r="AI38" s="6"/>
      <c r="AJ38" s="6"/>
      <c r="AK38" s="6"/>
      <c r="AL38" s="6"/>
      <c r="AM38" s="6"/>
      <c r="AN38" s="6"/>
      <c r="AO38" s="6"/>
      <c r="AP38" s="6"/>
      <c r="AQ38" s="8"/>
      <c r="AR38" s="6"/>
      <c r="AS38" s="6"/>
      <c r="AT38" s="6"/>
      <c r="AU38" s="6"/>
      <c r="AV38" s="8"/>
      <c r="AW38" s="6"/>
      <c r="AX38" s="6"/>
      <c r="AY38" s="6"/>
      <c r="AZ38" s="6"/>
      <c r="BA38" s="6"/>
      <c r="BB38" s="6"/>
      <c r="BC38" s="77"/>
      <c r="BD38" s="77"/>
      <c r="BE38" s="77"/>
      <c r="BF38" s="77"/>
      <c r="BG38" s="77"/>
      <c r="BH38" s="77"/>
      <c r="BI38" s="77"/>
      <c r="BJ38" s="77"/>
      <c r="BK38" s="77"/>
      <c r="BL38" s="77"/>
      <c r="BM38" s="77"/>
      <c r="BN38" s="77"/>
      <c r="BO38" s="9"/>
      <c r="BP38" s="9"/>
      <c r="BQ38" s="9"/>
      <c r="BR38" s="8"/>
    </row>
    <row r="39" spans="1:85" ht="14.25" customHeight="1" x14ac:dyDescent="0.25">
      <c r="A39" s="4"/>
      <c r="B39" s="160"/>
      <c r="C39" s="160"/>
      <c r="D39" s="161" t="s">
        <v>96</v>
      </c>
      <c r="E39" s="143"/>
      <c r="F39" s="143"/>
      <c r="G39" s="143"/>
      <c r="H39" s="143"/>
      <c r="I39" s="143"/>
      <c r="J39" s="143"/>
      <c r="K39" s="162" t="s">
        <v>102</v>
      </c>
      <c r="L39" s="162"/>
      <c r="M39" s="162"/>
      <c r="N39" s="162"/>
      <c r="O39" s="163" t="s">
        <v>97</v>
      </c>
      <c r="P39" s="163"/>
      <c r="Q39" s="163"/>
      <c r="R39" s="164"/>
      <c r="S39" s="162" t="s">
        <v>0</v>
      </c>
      <c r="T39" s="162"/>
      <c r="U39" s="162"/>
      <c r="V39" s="165" t="s">
        <v>98</v>
      </c>
      <c r="W39" s="165"/>
      <c r="X39" s="165"/>
      <c r="Y39" s="165"/>
      <c r="Z39" s="165"/>
      <c r="AA39" s="166"/>
      <c r="AB39" s="162" t="s">
        <v>103</v>
      </c>
      <c r="AC39" s="162"/>
      <c r="AD39" s="162"/>
      <c r="AE39" s="7"/>
      <c r="AF39" s="163" t="s">
        <v>99</v>
      </c>
      <c r="AG39" s="163"/>
      <c r="AH39" s="163"/>
      <c r="AI39" s="163"/>
      <c r="AJ39" s="163"/>
      <c r="AK39" s="163"/>
      <c r="AL39" s="163"/>
      <c r="AM39" s="164"/>
      <c r="AN39" s="162" t="s">
        <v>104</v>
      </c>
      <c r="AO39" s="162"/>
      <c r="AP39" s="162"/>
      <c r="AQ39" s="8"/>
      <c r="AR39" s="177" t="s">
        <v>100</v>
      </c>
      <c r="AS39" s="177"/>
      <c r="AT39" s="177"/>
      <c r="AU39" s="177"/>
      <c r="AV39" s="8"/>
      <c r="AW39" s="162" t="s">
        <v>105</v>
      </c>
      <c r="AX39" s="162"/>
      <c r="AY39" s="162"/>
      <c r="AZ39" s="177" t="s">
        <v>101</v>
      </c>
      <c r="BA39" s="177"/>
      <c r="BB39" s="177"/>
      <c r="BC39" s="177"/>
      <c r="BD39" s="138" t="s">
        <v>106</v>
      </c>
      <c r="BE39" s="138"/>
      <c r="BF39" s="138"/>
      <c r="BG39" s="138"/>
      <c r="BH39" s="139" t="s">
        <v>92</v>
      </c>
      <c r="BI39" s="139"/>
      <c r="BJ39" s="139"/>
      <c r="BK39" s="139"/>
      <c r="BL39" s="139"/>
      <c r="BM39" s="139"/>
      <c r="BN39" s="139"/>
      <c r="BO39" s="9"/>
      <c r="BP39" s="9"/>
      <c r="BQ39" s="9"/>
      <c r="BR39" s="8"/>
    </row>
    <row r="40" spans="1:85" ht="14.25" customHeight="1" x14ac:dyDescent="0.25">
      <c r="A40" s="4"/>
      <c r="B40" s="160"/>
      <c r="C40" s="160"/>
      <c r="D40" s="161"/>
      <c r="E40" s="143"/>
      <c r="F40" s="143"/>
      <c r="G40" s="143"/>
      <c r="H40" s="143"/>
      <c r="I40" s="143"/>
      <c r="J40" s="143"/>
      <c r="K40" s="162"/>
      <c r="L40" s="162"/>
      <c r="M40" s="162"/>
      <c r="N40" s="162"/>
      <c r="O40" s="163"/>
      <c r="P40" s="163"/>
      <c r="Q40" s="163"/>
      <c r="R40" s="164"/>
      <c r="S40" s="162"/>
      <c r="T40" s="162"/>
      <c r="U40" s="162"/>
      <c r="V40" s="165"/>
      <c r="W40" s="165"/>
      <c r="X40" s="165"/>
      <c r="Y40" s="165"/>
      <c r="Z40" s="165"/>
      <c r="AA40" s="166"/>
      <c r="AB40" s="162"/>
      <c r="AC40" s="162"/>
      <c r="AD40" s="162"/>
      <c r="AE40" s="7"/>
      <c r="AF40" s="163"/>
      <c r="AG40" s="163"/>
      <c r="AH40" s="163"/>
      <c r="AI40" s="163"/>
      <c r="AJ40" s="163"/>
      <c r="AK40" s="163"/>
      <c r="AL40" s="163"/>
      <c r="AM40" s="164"/>
      <c r="AN40" s="162"/>
      <c r="AO40" s="162"/>
      <c r="AP40" s="162"/>
      <c r="AQ40" s="8"/>
      <c r="AR40" s="177"/>
      <c r="AS40" s="177"/>
      <c r="AT40" s="177"/>
      <c r="AU40" s="177"/>
      <c r="AV40" s="8"/>
      <c r="AW40" s="162"/>
      <c r="AX40" s="162"/>
      <c r="AY40" s="162"/>
      <c r="AZ40" s="177"/>
      <c r="BA40" s="177"/>
      <c r="BB40" s="177"/>
      <c r="BC40" s="177"/>
      <c r="BD40" s="138"/>
      <c r="BE40" s="138"/>
      <c r="BF40" s="138"/>
      <c r="BG40" s="138"/>
      <c r="BH40" s="139"/>
      <c r="BI40" s="139"/>
      <c r="BJ40" s="139"/>
      <c r="BK40" s="139"/>
      <c r="BL40" s="139"/>
      <c r="BM40" s="139"/>
      <c r="BN40" s="139"/>
      <c r="BO40" s="9"/>
      <c r="BP40" s="9"/>
      <c r="BQ40" s="9"/>
      <c r="BR40" s="8"/>
    </row>
    <row r="41" spans="1:85" ht="14.25" customHeight="1" x14ac:dyDescent="0.25">
      <c r="A41" s="4"/>
      <c r="B41" s="160"/>
      <c r="C41" s="160"/>
      <c r="D41" s="161"/>
      <c r="E41" s="143"/>
      <c r="F41" s="143"/>
      <c r="G41" s="143"/>
      <c r="H41" s="143"/>
      <c r="I41" s="143"/>
      <c r="J41" s="143"/>
      <c r="K41" s="162"/>
      <c r="L41" s="162"/>
      <c r="M41" s="162"/>
      <c r="N41" s="162"/>
      <c r="O41" s="163"/>
      <c r="P41" s="163"/>
      <c r="Q41" s="163"/>
      <c r="R41" s="164"/>
      <c r="S41" s="162"/>
      <c r="T41" s="162"/>
      <c r="U41" s="162"/>
      <c r="V41" s="165"/>
      <c r="W41" s="165"/>
      <c r="X41" s="165"/>
      <c r="Y41" s="165"/>
      <c r="Z41" s="165"/>
      <c r="AA41" s="166"/>
      <c r="AB41" s="162"/>
      <c r="AC41" s="162"/>
      <c r="AD41" s="162"/>
      <c r="AE41" s="7"/>
      <c r="AF41" s="163"/>
      <c r="AG41" s="163"/>
      <c r="AH41" s="163"/>
      <c r="AI41" s="163"/>
      <c r="AJ41" s="163"/>
      <c r="AK41" s="163"/>
      <c r="AL41" s="163"/>
      <c r="AM41" s="164"/>
      <c r="AN41" s="162"/>
      <c r="AO41" s="162"/>
      <c r="AP41" s="162"/>
      <c r="AQ41" s="8"/>
      <c r="AR41" s="177"/>
      <c r="AS41" s="177"/>
      <c r="AT41" s="177"/>
      <c r="AU41" s="177"/>
      <c r="AV41" s="8"/>
      <c r="AW41" s="162"/>
      <c r="AX41" s="162"/>
      <c r="AY41" s="162"/>
      <c r="AZ41" s="177"/>
      <c r="BA41" s="177"/>
      <c r="BB41" s="177"/>
      <c r="BC41" s="177"/>
      <c r="BD41" s="138"/>
      <c r="BE41" s="138"/>
      <c r="BF41" s="138"/>
      <c r="BG41" s="138"/>
      <c r="BH41" s="139"/>
      <c r="BI41" s="139"/>
      <c r="BJ41" s="139"/>
      <c r="BK41" s="139"/>
      <c r="BL41" s="139"/>
      <c r="BM41" s="139"/>
      <c r="BN41" s="139"/>
      <c r="BO41" s="9"/>
      <c r="BP41" s="9"/>
      <c r="BQ41" s="9"/>
      <c r="BR41" s="8"/>
    </row>
    <row r="42" spans="1:85" ht="14.25" customHeight="1" x14ac:dyDescent="0.25">
      <c r="A42" s="4"/>
      <c r="B42" s="10"/>
      <c r="C42" s="11"/>
      <c r="D42" s="12"/>
      <c r="E42" s="4"/>
      <c r="F42" s="4"/>
      <c r="G42" s="4"/>
      <c r="H42" s="4"/>
      <c r="I42" s="66"/>
      <c r="J42" s="66"/>
      <c r="K42" s="66"/>
      <c r="L42" s="66"/>
      <c r="M42" s="66"/>
      <c r="N42" s="66"/>
      <c r="O42" s="13"/>
      <c r="P42" s="13"/>
      <c r="Q42" s="13"/>
      <c r="R42" s="13"/>
      <c r="S42" s="66"/>
      <c r="T42" s="66"/>
      <c r="U42" s="66"/>
      <c r="V42" s="66"/>
      <c r="W42" s="66"/>
      <c r="X42" s="66"/>
      <c r="Y42" s="13"/>
      <c r="Z42" s="13"/>
      <c r="AA42" s="13"/>
      <c r="AB42" s="13"/>
      <c r="AC42" s="66"/>
      <c r="AD42" s="66"/>
      <c r="AE42" s="66"/>
      <c r="AF42" s="66"/>
      <c r="AG42" s="66"/>
      <c r="AH42" s="66"/>
      <c r="AI42" s="13"/>
      <c r="AJ42" s="13"/>
      <c r="AK42" s="13"/>
      <c r="AL42" s="13"/>
      <c r="AM42" s="66"/>
      <c r="AN42" s="66"/>
      <c r="AO42" s="66"/>
      <c r="AP42" s="66"/>
      <c r="AQ42" s="66"/>
      <c r="AR42" s="66"/>
      <c r="AS42" s="13"/>
      <c r="AT42" s="13"/>
      <c r="AU42" s="13"/>
      <c r="AV42" s="13"/>
      <c r="AW42" s="66"/>
      <c r="AX42" s="66"/>
      <c r="AY42" s="66"/>
      <c r="AZ42" s="66"/>
      <c r="BA42" s="66"/>
      <c r="BB42" s="66"/>
      <c r="BC42" s="13"/>
      <c r="BD42" s="13"/>
      <c r="BE42" s="13"/>
      <c r="BF42" s="13"/>
      <c r="BG42" s="66"/>
      <c r="BH42" s="66"/>
      <c r="BI42" s="66"/>
      <c r="BJ42" s="66"/>
      <c r="BK42" s="66"/>
      <c r="BL42" s="66"/>
      <c r="BM42" s="73"/>
      <c r="BN42" s="4"/>
      <c r="BO42" s="4"/>
      <c r="BP42" s="4"/>
      <c r="BQ42" s="4"/>
      <c r="BR42" s="4"/>
    </row>
    <row r="43" spans="1:85" ht="14.25" customHeight="1" x14ac:dyDescent="0.25">
      <c r="A43" s="4"/>
      <c r="B43" s="10"/>
      <c r="C43" s="11"/>
      <c r="D43" s="12"/>
      <c r="E43" s="4"/>
      <c r="F43" s="4"/>
      <c r="G43" s="4"/>
      <c r="H43" s="4"/>
      <c r="I43" s="66"/>
      <c r="J43" s="66"/>
      <c r="K43" s="66"/>
      <c r="L43" s="66"/>
      <c r="M43" s="66"/>
      <c r="N43" s="66"/>
      <c r="O43" s="13"/>
      <c r="P43" s="13"/>
      <c r="Q43" s="13"/>
      <c r="R43" s="13"/>
      <c r="S43" s="66"/>
      <c r="T43" s="66"/>
      <c r="U43" s="66"/>
      <c r="V43" s="66"/>
      <c r="W43" s="66"/>
      <c r="X43" s="66"/>
      <c r="Y43" s="13"/>
      <c r="Z43" s="13"/>
      <c r="AA43" s="13"/>
      <c r="AB43" s="13"/>
      <c r="AC43" s="66"/>
      <c r="AD43" s="66"/>
      <c r="AE43" s="66"/>
      <c r="AF43" s="66"/>
      <c r="AG43" s="66"/>
      <c r="AH43" s="66"/>
      <c r="AI43" s="13"/>
      <c r="AJ43" s="13"/>
      <c r="AK43" s="13"/>
      <c r="AL43" s="13"/>
      <c r="AM43" s="66"/>
      <c r="AN43" s="66"/>
      <c r="AO43" s="66"/>
      <c r="AP43" s="66"/>
      <c r="AQ43" s="66"/>
      <c r="AR43" s="66"/>
      <c r="AS43" s="13"/>
      <c r="AT43" s="13"/>
      <c r="AU43" s="13"/>
      <c r="AV43" s="13"/>
      <c r="AW43" s="66"/>
      <c r="AX43" s="66"/>
      <c r="AY43" s="66"/>
      <c r="AZ43" s="66"/>
      <c r="BA43" s="66"/>
      <c r="BB43" s="66"/>
      <c r="BC43" s="13"/>
      <c r="BD43" s="13"/>
      <c r="BE43" s="13"/>
      <c r="BF43" s="13"/>
      <c r="BG43" s="66"/>
      <c r="BH43" s="66"/>
      <c r="BI43" s="66"/>
      <c r="BJ43" s="66"/>
      <c r="BK43" s="66"/>
      <c r="BL43" s="66"/>
      <c r="BM43" s="73"/>
      <c r="BN43" s="4"/>
      <c r="BO43" s="4"/>
      <c r="BP43" s="4"/>
      <c r="BQ43" s="4"/>
      <c r="BR43" s="4"/>
    </row>
    <row r="44" spans="1:85" ht="14.25" customHeight="1" x14ac:dyDescent="0.25">
      <c r="A44" s="153" t="s">
        <v>66</v>
      </c>
      <c r="B44" s="153"/>
      <c r="C44" s="153"/>
      <c r="D44" s="153"/>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3"/>
      <c r="BK44" s="153"/>
      <c r="BL44" s="153"/>
      <c r="BM44" s="153"/>
      <c r="BN44" s="153"/>
      <c r="BO44" s="153"/>
      <c r="BP44" s="153"/>
      <c r="BQ44" s="153"/>
      <c r="BR44" s="153"/>
    </row>
    <row r="45" spans="1:85" ht="14.25" customHeight="1" x14ac:dyDescent="0.25">
      <c r="A45" s="154"/>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4"/>
      <c r="AX45" s="154"/>
      <c r="AY45" s="154"/>
      <c r="AZ45" s="154"/>
      <c r="BA45" s="154"/>
      <c r="BB45" s="154"/>
      <c r="BC45" s="154"/>
      <c r="BD45" s="154"/>
      <c r="BE45" s="154"/>
      <c r="BF45" s="154"/>
      <c r="BG45" s="154"/>
      <c r="BH45" s="154"/>
      <c r="BI45" s="154"/>
      <c r="BJ45" s="154"/>
      <c r="BK45" s="154"/>
      <c r="BL45" s="154"/>
      <c r="BM45" s="154"/>
      <c r="BN45" s="154"/>
      <c r="BO45" s="154"/>
      <c r="BP45" s="154"/>
      <c r="BQ45" s="154"/>
      <c r="BR45" s="154"/>
    </row>
    <row r="46" spans="1:85" ht="14.25" customHeight="1" x14ac:dyDescent="0.25">
      <c r="A46" s="106" t="s">
        <v>108</v>
      </c>
      <c r="B46" s="133" t="s">
        <v>107</v>
      </c>
      <c r="C46" s="134"/>
      <c r="D46" s="132" t="s">
        <v>126</v>
      </c>
      <c r="E46" s="132"/>
      <c r="F46" s="132"/>
      <c r="G46" s="132"/>
      <c r="H46" s="132"/>
      <c r="I46" s="132"/>
      <c r="J46" s="132"/>
      <c r="K46" s="132"/>
      <c r="L46" s="132"/>
      <c r="M46" s="132"/>
      <c r="N46" s="132"/>
      <c r="O46" s="155"/>
      <c r="P46" s="156" t="s">
        <v>113</v>
      </c>
      <c r="Q46" s="132"/>
      <c r="R46" s="132"/>
      <c r="S46" s="132"/>
      <c r="T46" s="132"/>
      <c r="U46" s="132"/>
      <c r="V46" s="132"/>
      <c r="W46" s="132"/>
      <c r="X46" s="132"/>
      <c r="Y46" s="132"/>
      <c r="Z46" s="132"/>
      <c r="AA46" s="132"/>
      <c r="AB46" s="132"/>
      <c r="AC46" s="132"/>
      <c r="AD46" s="132"/>
      <c r="AE46" s="132"/>
      <c r="AF46" s="132"/>
      <c r="AG46" s="132"/>
      <c r="AH46" s="132"/>
      <c r="AI46" s="132"/>
      <c r="AJ46" s="132"/>
      <c r="AK46" s="132"/>
      <c r="AL46" s="132"/>
      <c r="AM46" s="132"/>
      <c r="AN46" s="132"/>
      <c r="AO46" s="132"/>
      <c r="AP46" s="155"/>
      <c r="AQ46" s="157" t="s">
        <v>179</v>
      </c>
      <c r="AR46" s="132"/>
      <c r="AS46" s="132"/>
      <c r="AT46" s="132"/>
      <c r="AU46" s="132"/>
      <c r="AV46" s="132"/>
      <c r="AW46" s="132"/>
      <c r="AX46" s="132"/>
      <c r="AY46" s="132"/>
      <c r="AZ46" s="132"/>
      <c r="BA46" s="132"/>
      <c r="BB46" s="155"/>
      <c r="BC46" s="157" t="s">
        <v>180</v>
      </c>
      <c r="BD46" s="132"/>
      <c r="BE46" s="132"/>
      <c r="BF46" s="132"/>
      <c r="BG46" s="132"/>
      <c r="BH46" s="132"/>
      <c r="BI46" s="132"/>
      <c r="BJ46" s="132"/>
      <c r="BK46" s="132"/>
      <c r="BL46" s="132"/>
      <c r="BM46" s="132"/>
      <c r="BN46" s="155"/>
      <c r="BO46" s="158" t="s">
        <v>123</v>
      </c>
      <c r="BP46" s="134"/>
      <c r="BQ46" s="134"/>
      <c r="BR46" s="134"/>
    </row>
    <row r="47" spans="1:85" ht="14.25" customHeight="1" x14ac:dyDescent="0.25">
      <c r="A47" s="106"/>
      <c r="B47" s="134"/>
      <c r="C47" s="134"/>
      <c r="D47" s="132"/>
      <c r="E47" s="132"/>
      <c r="F47" s="132"/>
      <c r="G47" s="132"/>
      <c r="H47" s="132"/>
      <c r="I47" s="132"/>
      <c r="J47" s="132"/>
      <c r="K47" s="132"/>
      <c r="L47" s="132"/>
      <c r="M47" s="132"/>
      <c r="N47" s="132"/>
      <c r="O47" s="155"/>
      <c r="P47" s="156"/>
      <c r="Q47" s="132"/>
      <c r="R47" s="132"/>
      <c r="S47" s="132"/>
      <c r="T47" s="132"/>
      <c r="U47" s="132"/>
      <c r="V47" s="132"/>
      <c r="W47" s="132"/>
      <c r="X47" s="132"/>
      <c r="Y47" s="132"/>
      <c r="Z47" s="132"/>
      <c r="AA47" s="132"/>
      <c r="AB47" s="132"/>
      <c r="AC47" s="132"/>
      <c r="AD47" s="132"/>
      <c r="AE47" s="132"/>
      <c r="AF47" s="132"/>
      <c r="AG47" s="132"/>
      <c r="AH47" s="132"/>
      <c r="AI47" s="132"/>
      <c r="AJ47" s="132"/>
      <c r="AK47" s="132"/>
      <c r="AL47" s="132"/>
      <c r="AM47" s="132"/>
      <c r="AN47" s="132"/>
      <c r="AO47" s="132"/>
      <c r="AP47" s="155"/>
      <c r="AQ47" s="157"/>
      <c r="AR47" s="132"/>
      <c r="AS47" s="132"/>
      <c r="AT47" s="132"/>
      <c r="AU47" s="132"/>
      <c r="AV47" s="132"/>
      <c r="AW47" s="132"/>
      <c r="AX47" s="132"/>
      <c r="AY47" s="132"/>
      <c r="AZ47" s="132"/>
      <c r="BA47" s="132"/>
      <c r="BB47" s="155"/>
      <c r="BC47" s="157"/>
      <c r="BD47" s="132"/>
      <c r="BE47" s="132"/>
      <c r="BF47" s="132"/>
      <c r="BG47" s="132"/>
      <c r="BH47" s="132"/>
      <c r="BI47" s="132"/>
      <c r="BJ47" s="132"/>
      <c r="BK47" s="132"/>
      <c r="BL47" s="132"/>
      <c r="BM47" s="132"/>
      <c r="BN47" s="155"/>
      <c r="BO47" s="158"/>
      <c r="BP47" s="134"/>
      <c r="BQ47" s="134"/>
      <c r="BR47" s="134"/>
      <c r="BS47" s="71"/>
      <c r="BT47" s="71"/>
      <c r="BU47" s="71"/>
      <c r="BV47" s="71"/>
      <c r="BW47" s="71"/>
      <c r="BX47" s="71"/>
      <c r="BY47" s="71"/>
      <c r="BZ47" s="71"/>
    </row>
    <row r="48" spans="1:85" ht="14.25" customHeight="1" x14ac:dyDescent="0.25">
      <c r="A48" s="106"/>
      <c r="B48" s="134"/>
      <c r="C48" s="134"/>
      <c r="D48" s="132"/>
      <c r="E48" s="132"/>
      <c r="F48" s="132"/>
      <c r="G48" s="132"/>
      <c r="H48" s="132"/>
      <c r="I48" s="132"/>
      <c r="J48" s="132"/>
      <c r="K48" s="132"/>
      <c r="L48" s="132"/>
      <c r="M48" s="132"/>
      <c r="N48" s="132"/>
      <c r="O48" s="155"/>
      <c r="P48" s="157" t="s">
        <v>109</v>
      </c>
      <c r="Q48" s="132"/>
      <c r="R48" s="132"/>
      <c r="S48" s="132"/>
      <c r="T48" s="132"/>
      <c r="U48" s="155"/>
      <c r="V48" s="156" t="s">
        <v>114</v>
      </c>
      <c r="W48" s="132"/>
      <c r="X48" s="132"/>
      <c r="Y48" s="132"/>
      <c r="Z48" s="132"/>
      <c r="AA48" s="132"/>
      <c r="AB48" s="132"/>
      <c r="AC48" s="132"/>
      <c r="AD48" s="132"/>
      <c r="AE48" s="132"/>
      <c r="AF48" s="132"/>
      <c r="AG48" s="132"/>
      <c r="AH48" s="132"/>
      <c r="AI48" s="132"/>
      <c r="AJ48" s="132"/>
      <c r="AK48" s="132"/>
      <c r="AL48" s="132"/>
      <c r="AM48" s="132"/>
      <c r="AN48" s="135" t="s">
        <v>120</v>
      </c>
      <c r="AO48" s="135"/>
      <c r="AP48" s="159"/>
      <c r="AQ48" s="144" t="s">
        <v>124</v>
      </c>
      <c r="AR48" s="106"/>
      <c r="AS48" s="106"/>
      <c r="AT48" s="106"/>
      <c r="AU48" s="106"/>
      <c r="AV48" s="106"/>
      <c r="AW48" s="106" t="s">
        <v>125</v>
      </c>
      <c r="AX48" s="106"/>
      <c r="AY48" s="106"/>
      <c r="AZ48" s="106"/>
      <c r="BA48" s="106"/>
      <c r="BB48" s="147"/>
      <c r="BC48" s="144" t="s">
        <v>124</v>
      </c>
      <c r="BD48" s="106"/>
      <c r="BE48" s="106"/>
      <c r="BF48" s="106"/>
      <c r="BG48" s="106"/>
      <c r="BH48" s="106"/>
      <c r="BI48" s="106" t="s">
        <v>125</v>
      </c>
      <c r="BJ48" s="106"/>
      <c r="BK48" s="106"/>
      <c r="BL48" s="106"/>
      <c r="BM48" s="106"/>
      <c r="BN48" s="147"/>
      <c r="BO48" s="158"/>
      <c r="BP48" s="134"/>
      <c r="BQ48" s="134"/>
      <c r="BR48" s="134"/>
      <c r="BS48" s="71"/>
      <c r="BT48" s="71"/>
      <c r="BU48" s="71"/>
      <c r="BV48" s="71"/>
      <c r="BW48" s="71"/>
      <c r="BX48" s="71"/>
      <c r="BY48" s="71"/>
      <c r="BZ48" s="71"/>
    </row>
    <row r="49" spans="1:78" ht="14.25" customHeight="1" x14ac:dyDescent="0.25">
      <c r="A49" s="106"/>
      <c r="B49" s="134"/>
      <c r="C49" s="134"/>
      <c r="D49" s="132"/>
      <c r="E49" s="132"/>
      <c r="F49" s="132"/>
      <c r="G49" s="132"/>
      <c r="H49" s="132"/>
      <c r="I49" s="132"/>
      <c r="J49" s="132"/>
      <c r="K49" s="132"/>
      <c r="L49" s="132"/>
      <c r="M49" s="132"/>
      <c r="N49" s="132"/>
      <c r="O49" s="155"/>
      <c r="P49" s="157"/>
      <c r="Q49" s="132"/>
      <c r="R49" s="132"/>
      <c r="S49" s="132"/>
      <c r="T49" s="132"/>
      <c r="U49" s="155"/>
      <c r="V49" s="156"/>
      <c r="W49" s="132"/>
      <c r="X49" s="132"/>
      <c r="Y49" s="132"/>
      <c r="Z49" s="132"/>
      <c r="AA49" s="132"/>
      <c r="AB49" s="132"/>
      <c r="AC49" s="132"/>
      <c r="AD49" s="132"/>
      <c r="AE49" s="132"/>
      <c r="AF49" s="132"/>
      <c r="AG49" s="132"/>
      <c r="AH49" s="132"/>
      <c r="AI49" s="132"/>
      <c r="AJ49" s="132"/>
      <c r="AK49" s="132"/>
      <c r="AL49" s="132"/>
      <c r="AM49" s="132"/>
      <c r="AN49" s="135"/>
      <c r="AO49" s="135"/>
      <c r="AP49" s="159"/>
      <c r="AQ49" s="144"/>
      <c r="AR49" s="106"/>
      <c r="AS49" s="106"/>
      <c r="AT49" s="106"/>
      <c r="AU49" s="106"/>
      <c r="AV49" s="106"/>
      <c r="AW49" s="106"/>
      <c r="AX49" s="106"/>
      <c r="AY49" s="106"/>
      <c r="AZ49" s="106"/>
      <c r="BA49" s="106"/>
      <c r="BB49" s="147"/>
      <c r="BC49" s="144"/>
      <c r="BD49" s="106"/>
      <c r="BE49" s="106"/>
      <c r="BF49" s="106"/>
      <c r="BG49" s="106"/>
      <c r="BH49" s="106"/>
      <c r="BI49" s="106"/>
      <c r="BJ49" s="106"/>
      <c r="BK49" s="106"/>
      <c r="BL49" s="106"/>
      <c r="BM49" s="106"/>
      <c r="BN49" s="147"/>
      <c r="BO49" s="158"/>
      <c r="BP49" s="134"/>
      <c r="BQ49" s="134"/>
      <c r="BR49" s="134"/>
      <c r="BS49" s="71"/>
      <c r="BT49" s="71"/>
      <c r="BU49" s="71"/>
      <c r="BV49" s="71"/>
      <c r="BW49" s="71"/>
      <c r="BX49" s="71"/>
      <c r="BY49" s="71"/>
      <c r="BZ49" s="71"/>
    </row>
    <row r="50" spans="1:78" ht="14.25" customHeight="1" x14ac:dyDescent="0.25">
      <c r="A50" s="106"/>
      <c r="B50" s="134"/>
      <c r="C50" s="134"/>
      <c r="D50" s="132"/>
      <c r="E50" s="132"/>
      <c r="F50" s="132"/>
      <c r="G50" s="132"/>
      <c r="H50" s="132"/>
      <c r="I50" s="132"/>
      <c r="J50" s="132"/>
      <c r="K50" s="132"/>
      <c r="L50" s="132"/>
      <c r="M50" s="132"/>
      <c r="N50" s="132"/>
      <c r="O50" s="155"/>
      <c r="P50" s="157"/>
      <c r="Q50" s="132"/>
      <c r="R50" s="132"/>
      <c r="S50" s="132"/>
      <c r="T50" s="132"/>
      <c r="U50" s="155"/>
      <c r="V50" s="176" t="s">
        <v>87</v>
      </c>
      <c r="W50" s="135"/>
      <c r="X50" s="135"/>
      <c r="Y50" s="135" t="s">
        <v>115</v>
      </c>
      <c r="Z50" s="135"/>
      <c r="AA50" s="135"/>
      <c r="AB50" s="135" t="s">
        <v>116</v>
      </c>
      <c r="AC50" s="135"/>
      <c r="AD50" s="135"/>
      <c r="AE50" s="135" t="s">
        <v>117</v>
      </c>
      <c r="AF50" s="135"/>
      <c r="AG50" s="135"/>
      <c r="AH50" s="135" t="s">
        <v>118</v>
      </c>
      <c r="AI50" s="135"/>
      <c r="AJ50" s="135"/>
      <c r="AK50" s="135" t="s">
        <v>119</v>
      </c>
      <c r="AL50" s="135"/>
      <c r="AM50" s="135"/>
      <c r="AN50" s="135"/>
      <c r="AO50" s="135"/>
      <c r="AP50" s="159"/>
      <c r="AQ50" s="144">
        <v>1</v>
      </c>
      <c r="AR50" s="106"/>
      <c r="AS50" s="106"/>
      <c r="AT50" s="106">
        <v>2</v>
      </c>
      <c r="AU50" s="106"/>
      <c r="AV50" s="106"/>
      <c r="AW50" s="106">
        <v>3</v>
      </c>
      <c r="AX50" s="106"/>
      <c r="AY50" s="106"/>
      <c r="AZ50" s="106">
        <v>4</v>
      </c>
      <c r="BA50" s="106"/>
      <c r="BB50" s="147"/>
      <c r="BC50" s="144">
        <v>1</v>
      </c>
      <c r="BD50" s="106"/>
      <c r="BE50" s="106"/>
      <c r="BF50" s="106">
        <v>2</v>
      </c>
      <c r="BG50" s="106"/>
      <c r="BH50" s="106"/>
      <c r="BI50" s="106">
        <v>3</v>
      </c>
      <c r="BJ50" s="106"/>
      <c r="BK50" s="106"/>
      <c r="BL50" s="106">
        <v>4</v>
      </c>
      <c r="BM50" s="106"/>
      <c r="BN50" s="147"/>
      <c r="BO50" s="158"/>
      <c r="BP50" s="134"/>
      <c r="BQ50" s="134"/>
      <c r="BR50" s="134"/>
      <c r="BS50" s="71"/>
      <c r="BT50" s="71"/>
      <c r="BU50" s="71"/>
      <c r="BV50" s="71"/>
      <c r="BW50" s="71"/>
      <c r="BX50" s="71"/>
      <c r="BY50" s="71"/>
      <c r="BZ50" s="71"/>
    </row>
    <row r="51" spans="1:78" ht="14.25" customHeight="1" x14ac:dyDescent="0.25">
      <c r="A51" s="106"/>
      <c r="B51" s="134"/>
      <c r="C51" s="134"/>
      <c r="D51" s="132"/>
      <c r="E51" s="132"/>
      <c r="F51" s="132"/>
      <c r="G51" s="132"/>
      <c r="H51" s="132"/>
      <c r="I51" s="132"/>
      <c r="J51" s="132"/>
      <c r="K51" s="132"/>
      <c r="L51" s="132"/>
      <c r="M51" s="132"/>
      <c r="N51" s="132"/>
      <c r="O51" s="155"/>
      <c r="P51" s="157"/>
      <c r="Q51" s="132"/>
      <c r="R51" s="132"/>
      <c r="S51" s="132"/>
      <c r="T51" s="132"/>
      <c r="U51" s="155"/>
      <c r="V51" s="176"/>
      <c r="W51" s="135"/>
      <c r="X51" s="135"/>
      <c r="Y51" s="135"/>
      <c r="Z51" s="135"/>
      <c r="AA51" s="135"/>
      <c r="AB51" s="135"/>
      <c r="AC51" s="135"/>
      <c r="AD51" s="135"/>
      <c r="AE51" s="135"/>
      <c r="AF51" s="135"/>
      <c r="AG51" s="135"/>
      <c r="AH51" s="135"/>
      <c r="AI51" s="135"/>
      <c r="AJ51" s="135"/>
      <c r="AK51" s="135"/>
      <c r="AL51" s="135"/>
      <c r="AM51" s="135"/>
      <c r="AN51" s="135"/>
      <c r="AO51" s="135"/>
      <c r="AP51" s="159"/>
      <c r="AQ51" s="144"/>
      <c r="AR51" s="106"/>
      <c r="AS51" s="106"/>
      <c r="AT51" s="106"/>
      <c r="AU51" s="106"/>
      <c r="AV51" s="106"/>
      <c r="AW51" s="106"/>
      <c r="AX51" s="106"/>
      <c r="AY51" s="106"/>
      <c r="AZ51" s="106"/>
      <c r="BA51" s="106"/>
      <c r="BB51" s="147"/>
      <c r="BC51" s="144"/>
      <c r="BD51" s="106"/>
      <c r="BE51" s="106"/>
      <c r="BF51" s="106"/>
      <c r="BG51" s="106"/>
      <c r="BH51" s="106"/>
      <c r="BI51" s="106"/>
      <c r="BJ51" s="106"/>
      <c r="BK51" s="106"/>
      <c r="BL51" s="106"/>
      <c r="BM51" s="106"/>
      <c r="BN51" s="147"/>
      <c r="BO51" s="158"/>
      <c r="BP51" s="134"/>
      <c r="BQ51" s="134"/>
      <c r="BR51" s="134"/>
      <c r="BS51" s="71"/>
      <c r="BT51" s="71"/>
      <c r="BU51" s="71"/>
      <c r="BV51" s="71"/>
      <c r="BW51" s="71"/>
      <c r="BX51" s="71"/>
      <c r="BY51" s="71"/>
      <c r="BZ51" s="71"/>
    </row>
    <row r="52" spans="1:78" ht="14.25" customHeight="1" x14ac:dyDescent="0.25">
      <c r="A52" s="106"/>
      <c r="B52" s="134"/>
      <c r="C52" s="134"/>
      <c r="D52" s="132"/>
      <c r="E52" s="132"/>
      <c r="F52" s="132"/>
      <c r="G52" s="132"/>
      <c r="H52" s="132"/>
      <c r="I52" s="132"/>
      <c r="J52" s="132"/>
      <c r="K52" s="132"/>
      <c r="L52" s="132"/>
      <c r="M52" s="132"/>
      <c r="N52" s="132"/>
      <c r="O52" s="155"/>
      <c r="P52" s="157"/>
      <c r="Q52" s="132"/>
      <c r="R52" s="132"/>
      <c r="S52" s="132"/>
      <c r="T52" s="132"/>
      <c r="U52" s="155"/>
      <c r="V52" s="176"/>
      <c r="W52" s="135"/>
      <c r="X52" s="135"/>
      <c r="Y52" s="135"/>
      <c r="Z52" s="135"/>
      <c r="AA52" s="135"/>
      <c r="AB52" s="135"/>
      <c r="AC52" s="135"/>
      <c r="AD52" s="135"/>
      <c r="AE52" s="135"/>
      <c r="AF52" s="135"/>
      <c r="AG52" s="135"/>
      <c r="AH52" s="135"/>
      <c r="AI52" s="135"/>
      <c r="AJ52" s="135"/>
      <c r="AK52" s="135"/>
      <c r="AL52" s="135"/>
      <c r="AM52" s="135"/>
      <c r="AN52" s="135"/>
      <c r="AO52" s="135"/>
      <c r="AP52" s="159"/>
      <c r="AQ52" s="157" t="s">
        <v>121</v>
      </c>
      <c r="AR52" s="132"/>
      <c r="AS52" s="132"/>
      <c r="AT52" s="132"/>
      <c r="AU52" s="132"/>
      <c r="AV52" s="132"/>
      <c r="AW52" s="132"/>
      <c r="AX52" s="132"/>
      <c r="AY52" s="132"/>
      <c r="AZ52" s="132"/>
      <c r="BA52" s="132"/>
      <c r="BB52" s="155"/>
      <c r="BC52" s="157" t="s">
        <v>122</v>
      </c>
      <c r="BD52" s="132"/>
      <c r="BE52" s="132"/>
      <c r="BF52" s="132"/>
      <c r="BG52" s="132"/>
      <c r="BH52" s="132"/>
      <c r="BI52" s="132"/>
      <c r="BJ52" s="132"/>
      <c r="BK52" s="132"/>
      <c r="BL52" s="132"/>
      <c r="BM52" s="132"/>
      <c r="BN52" s="155"/>
      <c r="BO52" s="158"/>
      <c r="BP52" s="134"/>
      <c r="BQ52" s="134"/>
      <c r="BR52" s="134"/>
      <c r="BS52" s="71"/>
      <c r="BT52" s="71"/>
      <c r="BU52" s="71"/>
      <c r="BV52" s="71"/>
      <c r="BW52" s="71"/>
      <c r="BX52" s="71"/>
      <c r="BY52" s="71"/>
      <c r="BZ52" s="71"/>
    </row>
    <row r="53" spans="1:78" ht="14.25" customHeight="1" x14ac:dyDescent="0.25">
      <c r="A53" s="106"/>
      <c r="B53" s="134"/>
      <c r="C53" s="134"/>
      <c r="D53" s="132"/>
      <c r="E53" s="132"/>
      <c r="F53" s="132"/>
      <c r="G53" s="132"/>
      <c r="H53" s="132"/>
      <c r="I53" s="132"/>
      <c r="J53" s="132"/>
      <c r="K53" s="132"/>
      <c r="L53" s="132"/>
      <c r="M53" s="132"/>
      <c r="N53" s="132"/>
      <c r="O53" s="155"/>
      <c r="P53" s="157"/>
      <c r="Q53" s="132"/>
      <c r="R53" s="132"/>
      <c r="S53" s="132"/>
      <c r="T53" s="132"/>
      <c r="U53" s="155"/>
      <c r="V53" s="176"/>
      <c r="W53" s="135"/>
      <c r="X53" s="135"/>
      <c r="Y53" s="135"/>
      <c r="Z53" s="135"/>
      <c r="AA53" s="135"/>
      <c r="AB53" s="135"/>
      <c r="AC53" s="135"/>
      <c r="AD53" s="135"/>
      <c r="AE53" s="135"/>
      <c r="AF53" s="135"/>
      <c r="AG53" s="135"/>
      <c r="AH53" s="135"/>
      <c r="AI53" s="135"/>
      <c r="AJ53" s="135"/>
      <c r="AK53" s="135"/>
      <c r="AL53" s="135"/>
      <c r="AM53" s="135"/>
      <c r="AN53" s="135"/>
      <c r="AO53" s="135"/>
      <c r="AP53" s="159"/>
      <c r="AQ53" s="157"/>
      <c r="AR53" s="132"/>
      <c r="AS53" s="132"/>
      <c r="AT53" s="132"/>
      <c r="AU53" s="132"/>
      <c r="AV53" s="132"/>
      <c r="AW53" s="132"/>
      <c r="AX53" s="132"/>
      <c r="AY53" s="132"/>
      <c r="AZ53" s="132"/>
      <c r="BA53" s="132"/>
      <c r="BB53" s="155"/>
      <c r="BC53" s="157"/>
      <c r="BD53" s="132"/>
      <c r="BE53" s="132"/>
      <c r="BF53" s="132"/>
      <c r="BG53" s="132"/>
      <c r="BH53" s="132"/>
      <c r="BI53" s="132"/>
      <c r="BJ53" s="132"/>
      <c r="BK53" s="132"/>
      <c r="BL53" s="132"/>
      <c r="BM53" s="132"/>
      <c r="BN53" s="155"/>
      <c r="BO53" s="158"/>
      <c r="BP53" s="134"/>
      <c r="BQ53" s="134"/>
      <c r="BR53" s="134"/>
      <c r="BS53" s="71"/>
      <c r="BT53" s="71"/>
      <c r="BU53" s="71"/>
      <c r="BV53" s="71"/>
      <c r="BW53" s="71"/>
      <c r="BX53" s="71"/>
      <c r="BY53" s="71"/>
      <c r="BZ53" s="71"/>
    </row>
    <row r="54" spans="1:78" ht="14.25" customHeight="1" x14ac:dyDescent="0.25">
      <c r="A54" s="106"/>
      <c r="B54" s="134"/>
      <c r="C54" s="134"/>
      <c r="D54" s="132"/>
      <c r="E54" s="132"/>
      <c r="F54" s="132"/>
      <c r="G54" s="132"/>
      <c r="H54" s="132"/>
      <c r="I54" s="132"/>
      <c r="J54" s="132"/>
      <c r="K54" s="132"/>
      <c r="L54" s="132"/>
      <c r="M54" s="132"/>
      <c r="N54" s="132"/>
      <c r="O54" s="155"/>
      <c r="P54" s="157"/>
      <c r="Q54" s="132"/>
      <c r="R54" s="132"/>
      <c r="S54" s="132"/>
      <c r="T54" s="132"/>
      <c r="U54" s="155"/>
      <c r="V54" s="176"/>
      <c r="W54" s="135"/>
      <c r="X54" s="135"/>
      <c r="Y54" s="135"/>
      <c r="Z54" s="135"/>
      <c r="AA54" s="135"/>
      <c r="AB54" s="135"/>
      <c r="AC54" s="135"/>
      <c r="AD54" s="135"/>
      <c r="AE54" s="135"/>
      <c r="AF54" s="135"/>
      <c r="AG54" s="135"/>
      <c r="AH54" s="135"/>
      <c r="AI54" s="135"/>
      <c r="AJ54" s="135"/>
      <c r="AK54" s="135"/>
      <c r="AL54" s="135"/>
      <c r="AM54" s="135"/>
      <c r="AN54" s="135"/>
      <c r="AO54" s="135"/>
      <c r="AP54" s="159"/>
      <c r="AQ54" s="144">
        <v>15</v>
      </c>
      <c r="AR54" s="106"/>
      <c r="AS54" s="106"/>
      <c r="AT54" s="106">
        <v>15</v>
      </c>
      <c r="AU54" s="106"/>
      <c r="AV54" s="106"/>
      <c r="AW54" s="106">
        <v>15</v>
      </c>
      <c r="AX54" s="106"/>
      <c r="AY54" s="106"/>
      <c r="AZ54" s="106">
        <v>15</v>
      </c>
      <c r="BA54" s="106"/>
      <c r="BB54" s="147"/>
      <c r="BC54" s="144">
        <v>15</v>
      </c>
      <c r="BD54" s="106"/>
      <c r="BE54" s="106"/>
      <c r="BF54" s="106">
        <v>15</v>
      </c>
      <c r="BG54" s="106"/>
      <c r="BH54" s="106"/>
      <c r="BI54" s="106">
        <v>15</v>
      </c>
      <c r="BJ54" s="106"/>
      <c r="BK54" s="106"/>
      <c r="BL54" s="106">
        <v>15</v>
      </c>
      <c r="BM54" s="106"/>
      <c r="BN54" s="147"/>
      <c r="BO54" s="158"/>
      <c r="BP54" s="134"/>
      <c r="BQ54" s="134"/>
      <c r="BR54" s="134"/>
      <c r="BS54" s="71"/>
      <c r="BT54" s="71"/>
      <c r="BU54" s="71"/>
      <c r="BV54" s="71"/>
      <c r="BW54" s="71"/>
      <c r="BX54" s="71"/>
      <c r="BY54" s="71"/>
      <c r="BZ54" s="71"/>
    </row>
    <row r="55" spans="1:78" ht="14.25" customHeight="1" x14ac:dyDescent="0.25">
      <c r="A55" s="106"/>
      <c r="B55" s="134"/>
      <c r="C55" s="134"/>
      <c r="D55" s="132"/>
      <c r="E55" s="132"/>
      <c r="F55" s="132"/>
      <c r="G55" s="132"/>
      <c r="H55" s="132"/>
      <c r="I55" s="132"/>
      <c r="J55" s="132"/>
      <c r="K55" s="132"/>
      <c r="L55" s="132"/>
      <c r="M55" s="132"/>
      <c r="N55" s="132"/>
      <c r="O55" s="155"/>
      <c r="P55" s="144" t="s">
        <v>110</v>
      </c>
      <c r="Q55" s="106"/>
      <c r="R55" s="106"/>
      <c r="S55" s="106" t="s">
        <v>5</v>
      </c>
      <c r="T55" s="106"/>
      <c r="U55" s="147"/>
      <c r="V55" s="176"/>
      <c r="W55" s="135"/>
      <c r="X55" s="135"/>
      <c r="Y55" s="135"/>
      <c r="Z55" s="135"/>
      <c r="AA55" s="135"/>
      <c r="AB55" s="135"/>
      <c r="AC55" s="135"/>
      <c r="AD55" s="135"/>
      <c r="AE55" s="135"/>
      <c r="AF55" s="135"/>
      <c r="AG55" s="135"/>
      <c r="AH55" s="135"/>
      <c r="AI55" s="135"/>
      <c r="AJ55" s="135"/>
      <c r="AK55" s="135"/>
      <c r="AL55" s="135"/>
      <c r="AM55" s="135"/>
      <c r="AN55" s="135"/>
      <c r="AO55" s="135"/>
      <c r="AP55" s="159"/>
      <c r="AQ55" s="144"/>
      <c r="AR55" s="106"/>
      <c r="AS55" s="106"/>
      <c r="AT55" s="106"/>
      <c r="AU55" s="106"/>
      <c r="AV55" s="106"/>
      <c r="AW55" s="106"/>
      <c r="AX55" s="106"/>
      <c r="AY55" s="106"/>
      <c r="AZ55" s="106"/>
      <c r="BA55" s="106"/>
      <c r="BB55" s="147"/>
      <c r="BC55" s="144"/>
      <c r="BD55" s="106"/>
      <c r="BE55" s="106"/>
      <c r="BF55" s="106"/>
      <c r="BG55" s="106"/>
      <c r="BH55" s="106"/>
      <c r="BI55" s="106"/>
      <c r="BJ55" s="106"/>
      <c r="BK55" s="106"/>
      <c r="BL55" s="106"/>
      <c r="BM55" s="106"/>
      <c r="BN55" s="147"/>
      <c r="BO55" s="158"/>
      <c r="BP55" s="134"/>
      <c r="BQ55" s="134"/>
      <c r="BR55" s="134"/>
      <c r="BS55" s="71"/>
      <c r="BT55" s="71"/>
      <c r="BU55" s="71"/>
      <c r="BV55" s="71"/>
      <c r="BW55" s="71"/>
      <c r="BX55" s="71"/>
      <c r="BY55" s="71"/>
      <c r="BZ55" s="71"/>
    </row>
    <row r="56" spans="1:78" ht="14.25" customHeight="1" x14ac:dyDescent="0.25">
      <c r="A56" s="72">
        <v>1</v>
      </c>
      <c r="B56" s="130"/>
      <c r="C56" s="130"/>
      <c r="D56" s="106">
        <v>2</v>
      </c>
      <c r="E56" s="106"/>
      <c r="F56" s="106"/>
      <c r="G56" s="106"/>
      <c r="H56" s="106"/>
      <c r="I56" s="106"/>
      <c r="J56" s="106"/>
      <c r="K56" s="106"/>
      <c r="L56" s="106"/>
      <c r="M56" s="106"/>
      <c r="N56" s="106"/>
      <c r="O56" s="147"/>
      <c r="P56" s="144">
        <v>3</v>
      </c>
      <c r="Q56" s="106"/>
      <c r="R56" s="106"/>
      <c r="S56" s="106">
        <v>4</v>
      </c>
      <c r="T56" s="106"/>
      <c r="U56" s="147"/>
      <c r="V56" s="152">
        <v>5</v>
      </c>
      <c r="W56" s="106"/>
      <c r="X56" s="106"/>
      <c r="Y56" s="106">
        <v>6</v>
      </c>
      <c r="Z56" s="106"/>
      <c r="AA56" s="106"/>
      <c r="AB56" s="106">
        <v>7</v>
      </c>
      <c r="AC56" s="106"/>
      <c r="AD56" s="106"/>
      <c r="AE56" s="106">
        <v>8</v>
      </c>
      <c r="AF56" s="106"/>
      <c r="AG56" s="106"/>
      <c r="AH56" s="106">
        <v>9</v>
      </c>
      <c r="AI56" s="106"/>
      <c r="AJ56" s="106"/>
      <c r="AK56" s="106">
        <v>10</v>
      </c>
      <c r="AL56" s="106"/>
      <c r="AM56" s="106"/>
      <c r="AN56" s="106">
        <v>11</v>
      </c>
      <c r="AO56" s="106"/>
      <c r="AP56" s="147"/>
      <c r="AQ56" s="144">
        <v>12</v>
      </c>
      <c r="AR56" s="106"/>
      <c r="AS56" s="106"/>
      <c r="AT56" s="106">
        <v>13</v>
      </c>
      <c r="AU56" s="106"/>
      <c r="AV56" s="106"/>
      <c r="AW56" s="106">
        <v>14</v>
      </c>
      <c r="AX56" s="106"/>
      <c r="AY56" s="106"/>
      <c r="AZ56" s="106">
        <v>15</v>
      </c>
      <c r="BA56" s="106"/>
      <c r="BB56" s="147"/>
      <c r="BC56" s="144">
        <v>16</v>
      </c>
      <c r="BD56" s="106"/>
      <c r="BE56" s="106"/>
      <c r="BF56" s="106">
        <v>17</v>
      </c>
      <c r="BG56" s="106"/>
      <c r="BH56" s="106"/>
      <c r="BI56" s="106">
        <v>18</v>
      </c>
      <c r="BJ56" s="106"/>
      <c r="BK56" s="106"/>
      <c r="BL56" s="106">
        <v>19</v>
      </c>
      <c r="BM56" s="106"/>
      <c r="BN56" s="147"/>
      <c r="BO56" s="152">
        <v>20</v>
      </c>
      <c r="BP56" s="106"/>
      <c r="BQ56" s="106"/>
      <c r="BR56" s="106"/>
      <c r="BS56" s="71"/>
      <c r="BT56" s="71"/>
      <c r="BU56" s="71"/>
      <c r="BV56" s="71"/>
      <c r="BW56" s="71"/>
      <c r="BX56" s="71"/>
      <c r="BY56" s="71"/>
      <c r="BZ56" s="71"/>
    </row>
    <row r="57" spans="1:78" ht="14.25" customHeight="1" x14ac:dyDescent="0.25">
      <c r="A57" s="72" t="s">
        <v>6</v>
      </c>
      <c r="B57" s="243"/>
      <c r="C57" s="243"/>
      <c r="D57" s="182" t="s">
        <v>111</v>
      </c>
      <c r="E57" s="182"/>
      <c r="F57" s="182"/>
      <c r="G57" s="182"/>
      <c r="H57" s="182"/>
      <c r="I57" s="182"/>
      <c r="J57" s="182"/>
      <c r="K57" s="182"/>
      <c r="L57" s="182"/>
      <c r="M57" s="182"/>
      <c r="N57" s="182"/>
      <c r="O57" s="183"/>
      <c r="P57" s="144">
        <f>SUM(V57+AN57)</f>
        <v>1470</v>
      </c>
      <c r="Q57" s="106"/>
      <c r="R57" s="106"/>
      <c r="S57" s="131">
        <f>P57/3600*100</f>
        <v>40.833333333333336</v>
      </c>
      <c r="T57" s="131"/>
      <c r="U57" s="151"/>
      <c r="V57" s="152">
        <f t="shared" ref="V57" si="5">SUM(AQ57+AT57+AW57+AZ57)*15</f>
        <v>570</v>
      </c>
      <c r="W57" s="106"/>
      <c r="X57" s="106"/>
      <c r="Y57" s="106">
        <f>SUM(Y58:AA68)</f>
        <v>156</v>
      </c>
      <c r="Z57" s="106"/>
      <c r="AA57" s="106"/>
      <c r="AB57" s="106">
        <f>SUM(AB58:AD68)</f>
        <v>142</v>
      </c>
      <c r="AC57" s="106"/>
      <c r="AD57" s="106"/>
      <c r="AE57" s="106">
        <f>SUM(AE58:AG68)</f>
        <v>210</v>
      </c>
      <c r="AF57" s="106"/>
      <c r="AG57" s="106"/>
      <c r="AH57" s="106">
        <f>SUM(AH58:AJ68)</f>
        <v>62</v>
      </c>
      <c r="AI57" s="106"/>
      <c r="AJ57" s="106"/>
      <c r="AK57" s="106">
        <f>SUM(AK58:AM68)</f>
        <v>0</v>
      </c>
      <c r="AL57" s="106"/>
      <c r="AM57" s="106"/>
      <c r="AN57" s="106">
        <f>SUM(AN58:AP68)</f>
        <v>900</v>
      </c>
      <c r="AO57" s="106"/>
      <c r="AP57" s="147"/>
      <c r="AQ57" s="144">
        <f>SUM(AQ58:AS68)</f>
        <v>16</v>
      </c>
      <c r="AR57" s="106"/>
      <c r="AS57" s="106"/>
      <c r="AT57" s="106">
        <f>SUM(AT58:AV68)</f>
        <v>6</v>
      </c>
      <c r="AU57" s="106"/>
      <c r="AV57" s="106"/>
      <c r="AW57" s="106">
        <f>SUM(AW58:AY68)</f>
        <v>10</v>
      </c>
      <c r="AX57" s="106"/>
      <c r="AY57" s="106"/>
      <c r="AZ57" s="106">
        <f>SUM(AZ58:BB68)</f>
        <v>6</v>
      </c>
      <c r="BA57" s="106"/>
      <c r="BB57" s="147"/>
      <c r="BC57" s="144">
        <f>SUM(BC58:BE68)</f>
        <v>22</v>
      </c>
      <c r="BD57" s="106"/>
      <c r="BE57" s="106"/>
      <c r="BF57" s="106">
        <f>SUM(BF58:BH68)</f>
        <v>7</v>
      </c>
      <c r="BG57" s="106"/>
      <c r="BH57" s="106"/>
      <c r="BI57" s="106">
        <f>SUM(BI58:BK68)</f>
        <v>12</v>
      </c>
      <c r="BJ57" s="106"/>
      <c r="BK57" s="106"/>
      <c r="BL57" s="106">
        <f>SUM(BL58:BN68)</f>
        <v>8</v>
      </c>
      <c r="BM57" s="106"/>
      <c r="BN57" s="147"/>
      <c r="BO57" s="148">
        <f>SUM(P57/30)</f>
        <v>49</v>
      </c>
      <c r="BP57" s="105"/>
      <c r="BQ57" s="105"/>
      <c r="BR57" s="105"/>
      <c r="BS57" s="71"/>
      <c r="BT57" s="71"/>
      <c r="BU57" s="71"/>
      <c r="BV57" s="71"/>
      <c r="BW57" s="71"/>
      <c r="BX57" s="71"/>
      <c r="BY57" s="71"/>
      <c r="BZ57" s="71"/>
    </row>
    <row r="58" spans="1:78" ht="14.25" customHeight="1" x14ac:dyDescent="0.25">
      <c r="A58" s="14" t="s">
        <v>7</v>
      </c>
      <c r="B58" s="104" t="s">
        <v>31</v>
      </c>
      <c r="C58" s="104"/>
      <c r="D58" s="149" t="s">
        <v>142</v>
      </c>
      <c r="E58" s="149"/>
      <c r="F58" s="149"/>
      <c r="G58" s="149"/>
      <c r="H58" s="149"/>
      <c r="I58" s="149"/>
      <c r="J58" s="149"/>
      <c r="K58" s="149"/>
      <c r="L58" s="149"/>
      <c r="M58" s="149"/>
      <c r="N58" s="149"/>
      <c r="O58" s="150"/>
      <c r="P58" s="144">
        <f t="shared" ref="P58:P59" si="6">SUM(V58+AN58)</f>
        <v>90</v>
      </c>
      <c r="Q58" s="106"/>
      <c r="R58" s="106"/>
      <c r="S58" s="131"/>
      <c r="T58" s="131"/>
      <c r="U58" s="151"/>
      <c r="V58" s="152">
        <f t="shared" ref="V58:V59" si="7">SUM(AQ58+AT58+AW58+AZ58)*15</f>
        <v>30</v>
      </c>
      <c r="W58" s="106"/>
      <c r="X58" s="106"/>
      <c r="Y58" s="104">
        <v>16</v>
      </c>
      <c r="Z58" s="104"/>
      <c r="AA58" s="104"/>
      <c r="AB58" s="104">
        <v>14</v>
      </c>
      <c r="AC58" s="104"/>
      <c r="AD58" s="104"/>
      <c r="AE58" s="104"/>
      <c r="AF58" s="104"/>
      <c r="AG58" s="104"/>
      <c r="AH58" s="104"/>
      <c r="AI58" s="104"/>
      <c r="AJ58" s="104"/>
      <c r="AK58" s="104"/>
      <c r="AL58" s="104"/>
      <c r="AM58" s="104"/>
      <c r="AN58" s="104">
        <v>60</v>
      </c>
      <c r="AO58" s="104"/>
      <c r="AP58" s="145"/>
      <c r="AQ58" s="146">
        <v>2</v>
      </c>
      <c r="AR58" s="104"/>
      <c r="AS58" s="104"/>
      <c r="AT58" s="104"/>
      <c r="AU58" s="104"/>
      <c r="AV58" s="104"/>
      <c r="AW58" s="104"/>
      <c r="AX58" s="104"/>
      <c r="AY58" s="104"/>
      <c r="AZ58" s="104"/>
      <c r="BA58" s="104"/>
      <c r="BB58" s="145"/>
      <c r="BC58" s="146">
        <v>3</v>
      </c>
      <c r="BD58" s="104"/>
      <c r="BE58" s="104"/>
      <c r="BF58" s="104"/>
      <c r="BG58" s="104"/>
      <c r="BH58" s="104"/>
      <c r="BI58" s="104"/>
      <c r="BJ58" s="104"/>
      <c r="BK58" s="104"/>
      <c r="BL58" s="104"/>
      <c r="BM58" s="104"/>
      <c r="BN58" s="145"/>
      <c r="BO58" s="148">
        <f t="shared" ref="BO58:BO59" si="8">SUM(P58/30)</f>
        <v>3</v>
      </c>
      <c r="BP58" s="105"/>
      <c r="BQ58" s="105"/>
      <c r="BR58" s="105"/>
      <c r="BS58" s="71">
        <f>SUM(V58/P58)*100</f>
        <v>33.333333333333329</v>
      </c>
      <c r="BT58" s="71">
        <f>SUM(AN58/P58)*100</f>
        <v>66.666666666666657</v>
      </c>
      <c r="BU58" s="71">
        <f>SUM(Y58:AJ58)</f>
        <v>30</v>
      </c>
      <c r="BV58" s="15">
        <f>IF(BU58=V58,1,0)</f>
        <v>1</v>
      </c>
      <c r="BW58" s="15" t="str">
        <f>IF(BV58=1,"тўғри","хато")</f>
        <v>тўғри</v>
      </c>
      <c r="BX58" s="71">
        <f>SUM(BC58:BN58)</f>
        <v>3</v>
      </c>
      <c r="BY58" s="15">
        <f>IF(BX58=BO58,1,0)</f>
        <v>1</v>
      </c>
      <c r="BZ58" s="15" t="str">
        <f>IF(BY58=1,"тўғри","хато")</f>
        <v>тўғри</v>
      </c>
    </row>
    <row r="59" spans="1:78" ht="14.25" customHeight="1" x14ac:dyDescent="0.25">
      <c r="A59" s="14" t="s">
        <v>8</v>
      </c>
      <c r="B59" s="104" t="s">
        <v>213</v>
      </c>
      <c r="C59" s="104"/>
      <c r="D59" s="149" t="s">
        <v>143</v>
      </c>
      <c r="E59" s="149"/>
      <c r="F59" s="149"/>
      <c r="G59" s="149"/>
      <c r="H59" s="149"/>
      <c r="I59" s="149"/>
      <c r="J59" s="149"/>
      <c r="K59" s="149"/>
      <c r="L59" s="149"/>
      <c r="M59" s="149"/>
      <c r="N59" s="149"/>
      <c r="O59" s="150"/>
      <c r="P59" s="144">
        <f t="shared" si="6"/>
        <v>90</v>
      </c>
      <c r="Q59" s="106"/>
      <c r="R59" s="106"/>
      <c r="S59" s="131"/>
      <c r="T59" s="131"/>
      <c r="U59" s="151"/>
      <c r="V59" s="152">
        <f t="shared" si="7"/>
        <v>30</v>
      </c>
      <c r="W59" s="106"/>
      <c r="X59" s="106"/>
      <c r="Y59" s="104">
        <v>16</v>
      </c>
      <c r="Z59" s="104"/>
      <c r="AA59" s="104"/>
      <c r="AB59" s="104">
        <v>14</v>
      </c>
      <c r="AC59" s="104"/>
      <c r="AD59" s="104"/>
      <c r="AE59" s="104"/>
      <c r="AF59" s="104"/>
      <c r="AG59" s="104"/>
      <c r="AH59" s="104"/>
      <c r="AI59" s="104"/>
      <c r="AJ59" s="104"/>
      <c r="AK59" s="104"/>
      <c r="AL59" s="104"/>
      <c r="AM59" s="104"/>
      <c r="AN59" s="104">
        <v>60</v>
      </c>
      <c r="AO59" s="104"/>
      <c r="AP59" s="145"/>
      <c r="AQ59" s="146"/>
      <c r="AR59" s="104"/>
      <c r="AS59" s="104"/>
      <c r="AT59" s="104"/>
      <c r="AU59" s="104"/>
      <c r="AV59" s="104"/>
      <c r="AW59" s="104">
        <v>2</v>
      </c>
      <c r="AX59" s="104"/>
      <c r="AY59" s="104"/>
      <c r="AZ59" s="104"/>
      <c r="BA59" s="104"/>
      <c r="BB59" s="145"/>
      <c r="BC59" s="146"/>
      <c r="BD59" s="104"/>
      <c r="BE59" s="104"/>
      <c r="BF59" s="104"/>
      <c r="BG59" s="104"/>
      <c r="BH59" s="104"/>
      <c r="BI59" s="104">
        <v>3</v>
      </c>
      <c r="BJ59" s="104"/>
      <c r="BK59" s="104"/>
      <c r="BL59" s="104"/>
      <c r="BM59" s="104"/>
      <c r="BN59" s="145"/>
      <c r="BO59" s="148">
        <f t="shared" si="8"/>
        <v>3</v>
      </c>
      <c r="BP59" s="105"/>
      <c r="BQ59" s="105"/>
      <c r="BR59" s="105"/>
      <c r="BS59" s="71">
        <f t="shared" ref="BS59" si="9">SUM(V59/P59)*100</f>
        <v>33.333333333333329</v>
      </c>
      <c r="BT59" s="71">
        <f t="shared" ref="BT59" si="10">SUM(AN59/P59)*100</f>
        <v>66.666666666666657</v>
      </c>
      <c r="BU59" s="71">
        <f t="shared" ref="BU59" si="11">SUM(Y59:AJ59)</f>
        <v>30</v>
      </c>
      <c r="BV59" s="15">
        <f t="shared" ref="BV59" si="12">IF(BU59=V59,1,0)</f>
        <v>1</v>
      </c>
      <c r="BW59" s="15" t="str">
        <f t="shared" ref="BW59" si="13">IF(BV59=1,"тўғри","хато")</f>
        <v>тўғри</v>
      </c>
      <c r="BX59" s="71">
        <f t="shared" ref="BX59" si="14">SUM(BC59:BN59)</f>
        <v>3</v>
      </c>
      <c r="BY59" s="15">
        <f t="shared" ref="BY59" si="15">IF(BX59=BO59,1,0)</f>
        <v>1</v>
      </c>
      <c r="BZ59" s="15" t="str">
        <f t="shared" ref="BZ59" si="16">IF(BY59=1,"тўғри","хато")</f>
        <v>тўғри</v>
      </c>
    </row>
    <row r="60" spans="1:78" ht="14.25" customHeight="1" x14ac:dyDescent="0.25">
      <c r="A60" s="14" t="s">
        <v>23</v>
      </c>
      <c r="B60" s="104" t="s">
        <v>182</v>
      </c>
      <c r="C60" s="104"/>
      <c r="D60" s="247" t="s">
        <v>183</v>
      </c>
      <c r="E60" s="248"/>
      <c r="F60" s="248"/>
      <c r="G60" s="248"/>
      <c r="H60" s="248"/>
      <c r="I60" s="248"/>
      <c r="J60" s="248"/>
      <c r="K60" s="248"/>
      <c r="L60" s="248"/>
      <c r="M60" s="248"/>
      <c r="N60" s="248"/>
      <c r="O60" s="249"/>
      <c r="P60" s="144">
        <f t="shared" ref="P60:P65" si="17">SUM(V60+AN60)</f>
        <v>270</v>
      </c>
      <c r="Q60" s="106"/>
      <c r="R60" s="106"/>
      <c r="S60" s="131"/>
      <c r="T60" s="131"/>
      <c r="U60" s="151"/>
      <c r="V60" s="152">
        <f t="shared" ref="V60:V68" si="18">SUM(AQ60+AT60+AW60+AZ60)*15</f>
        <v>120</v>
      </c>
      <c r="W60" s="106"/>
      <c r="X60" s="106"/>
      <c r="Y60" s="104"/>
      <c r="Z60" s="104"/>
      <c r="AA60" s="104"/>
      <c r="AB60" s="104"/>
      <c r="AC60" s="104"/>
      <c r="AD60" s="104"/>
      <c r="AE60" s="104">
        <v>120</v>
      </c>
      <c r="AF60" s="104"/>
      <c r="AG60" s="104"/>
      <c r="AH60" s="104"/>
      <c r="AI60" s="104"/>
      <c r="AJ60" s="104"/>
      <c r="AK60" s="106"/>
      <c r="AL60" s="106"/>
      <c r="AM60" s="106"/>
      <c r="AN60" s="104">
        <v>150</v>
      </c>
      <c r="AO60" s="104"/>
      <c r="AP60" s="145"/>
      <c r="AQ60" s="146">
        <v>2</v>
      </c>
      <c r="AR60" s="104"/>
      <c r="AS60" s="104"/>
      <c r="AT60" s="104">
        <v>2</v>
      </c>
      <c r="AU60" s="104"/>
      <c r="AV60" s="104"/>
      <c r="AW60" s="104">
        <v>2</v>
      </c>
      <c r="AX60" s="104"/>
      <c r="AY60" s="104"/>
      <c r="AZ60" s="104">
        <v>2</v>
      </c>
      <c r="BA60" s="104"/>
      <c r="BB60" s="145"/>
      <c r="BC60" s="146">
        <v>3</v>
      </c>
      <c r="BD60" s="104"/>
      <c r="BE60" s="104"/>
      <c r="BF60" s="104">
        <v>2</v>
      </c>
      <c r="BG60" s="104"/>
      <c r="BH60" s="104"/>
      <c r="BI60" s="104">
        <v>2</v>
      </c>
      <c r="BJ60" s="104"/>
      <c r="BK60" s="104"/>
      <c r="BL60" s="104">
        <v>2</v>
      </c>
      <c r="BM60" s="104"/>
      <c r="BN60" s="145"/>
      <c r="BO60" s="148">
        <f t="shared" ref="BO60:BO68" si="19">SUM(P60/30)</f>
        <v>9</v>
      </c>
      <c r="BP60" s="105"/>
      <c r="BQ60" s="105"/>
      <c r="BR60" s="105"/>
      <c r="BS60" s="71">
        <f t="shared" ref="BS60:BS68" si="20">SUM(V60/P60)*100</f>
        <v>44.444444444444443</v>
      </c>
      <c r="BT60" s="71">
        <f t="shared" ref="BT60:BT68" si="21">SUM(AN60/P60)*100</f>
        <v>55.555555555555557</v>
      </c>
      <c r="BU60" s="71">
        <f t="shared" ref="BU60:BU68" si="22">SUM(Y60:AJ60)</f>
        <v>120</v>
      </c>
      <c r="BV60" s="15">
        <f t="shared" ref="BV60:BV68" si="23">IF(BU60=V60,1,0)</f>
        <v>1</v>
      </c>
      <c r="BW60" s="15" t="str">
        <f t="shared" ref="BW60:BW68" si="24">IF(BV60=1,"тўғри","хато")</f>
        <v>тўғри</v>
      </c>
      <c r="BX60" s="71">
        <f t="shared" ref="BX60:BX68" si="25">SUM(BC60:BN60)</f>
        <v>9</v>
      </c>
      <c r="BY60" s="15">
        <f t="shared" ref="BY60:BY68" si="26">IF(BX60=BO60,1,0)</f>
        <v>1</v>
      </c>
      <c r="BZ60" s="15" t="str">
        <f t="shared" ref="BZ60:BZ68" si="27">IF(BY60=1,"тўғри","хато")</f>
        <v>тўғри</v>
      </c>
    </row>
    <row r="61" spans="1:78" ht="28.5" customHeight="1" x14ac:dyDescent="0.25">
      <c r="A61" s="14" t="s">
        <v>24</v>
      </c>
      <c r="B61" s="104" t="s">
        <v>248</v>
      </c>
      <c r="C61" s="104"/>
      <c r="D61" s="244" t="s">
        <v>184</v>
      </c>
      <c r="E61" s="245"/>
      <c r="F61" s="245"/>
      <c r="G61" s="245"/>
      <c r="H61" s="245"/>
      <c r="I61" s="245"/>
      <c r="J61" s="245"/>
      <c r="K61" s="245"/>
      <c r="L61" s="245"/>
      <c r="M61" s="245"/>
      <c r="N61" s="245"/>
      <c r="O61" s="246"/>
      <c r="P61" s="144">
        <f t="shared" si="17"/>
        <v>90</v>
      </c>
      <c r="Q61" s="106"/>
      <c r="R61" s="106"/>
      <c r="S61" s="131"/>
      <c r="T61" s="131"/>
      <c r="U61" s="151"/>
      <c r="V61" s="152">
        <f t="shared" si="18"/>
        <v>30</v>
      </c>
      <c r="W61" s="106"/>
      <c r="X61" s="106"/>
      <c r="Y61" s="104"/>
      <c r="Z61" s="104"/>
      <c r="AA61" s="104"/>
      <c r="AB61" s="104"/>
      <c r="AC61" s="104"/>
      <c r="AD61" s="104"/>
      <c r="AE61" s="104">
        <v>30</v>
      </c>
      <c r="AF61" s="104"/>
      <c r="AG61" s="104"/>
      <c r="AH61" s="104"/>
      <c r="AI61" s="104"/>
      <c r="AJ61" s="104"/>
      <c r="AK61" s="106"/>
      <c r="AL61" s="106"/>
      <c r="AM61" s="106"/>
      <c r="AN61" s="104">
        <v>60</v>
      </c>
      <c r="AO61" s="104"/>
      <c r="AP61" s="145"/>
      <c r="AQ61" s="146">
        <v>2</v>
      </c>
      <c r="AR61" s="104"/>
      <c r="AS61" s="104"/>
      <c r="AT61" s="104"/>
      <c r="AU61" s="104"/>
      <c r="AV61" s="104"/>
      <c r="AW61" s="104"/>
      <c r="AX61" s="104"/>
      <c r="AY61" s="104"/>
      <c r="AZ61" s="104"/>
      <c r="BA61" s="104"/>
      <c r="BB61" s="145"/>
      <c r="BC61" s="146">
        <v>3</v>
      </c>
      <c r="BD61" s="104"/>
      <c r="BE61" s="104"/>
      <c r="BF61" s="104"/>
      <c r="BG61" s="104"/>
      <c r="BH61" s="104"/>
      <c r="BI61" s="104"/>
      <c r="BJ61" s="104"/>
      <c r="BK61" s="104"/>
      <c r="BL61" s="104"/>
      <c r="BM61" s="104"/>
      <c r="BN61" s="145"/>
      <c r="BO61" s="148">
        <f t="shared" si="19"/>
        <v>3</v>
      </c>
      <c r="BP61" s="105"/>
      <c r="BQ61" s="105"/>
      <c r="BR61" s="105"/>
      <c r="BS61" s="71">
        <f t="shared" si="20"/>
        <v>33.333333333333329</v>
      </c>
      <c r="BT61" s="71">
        <f t="shared" si="21"/>
        <v>66.666666666666657</v>
      </c>
      <c r="BU61" s="71">
        <f>SUM(Y61:AJ61)</f>
        <v>30</v>
      </c>
      <c r="BV61" s="15">
        <f t="shared" si="23"/>
        <v>1</v>
      </c>
      <c r="BW61" s="15" t="str">
        <f t="shared" si="24"/>
        <v>тўғри</v>
      </c>
      <c r="BX61" s="71">
        <f t="shared" si="25"/>
        <v>3</v>
      </c>
      <c r="BY61" s="15">
        <f t="shared" si="26"/>
        <v>1</v>
      </c>
      <c r="BZ61" s="15" t="str">
        <f t="shared" si="27"/>
        <v>тўғри</v>
      </c>
    </row>
    <row r="62" spans="1:78" ht="14.25" customHeight="1" x14ac:dyDescent="0.25">
      <c r="A62" s="14" t="s">
        <v>25</v>
      </c>
      <c r="B62" s="104" t="s">
        <v>185</v>
      </c>
      <c r="C62" s="104"/>
      <c r="D62" s="247" t="s">
        <v>186</v>
      </c>
      <c r="E62" s="248"/>
      <c r="F62" s="248"/>
      <c r="G62" s="248"/>
      <c r="H62" s="248"/>
      <c r="I62" s="248"/>
      <c r="J62" s="248"/>
      <c r="K62" s="248"/>
      <c r="L62" s="248"/>
      <c r="M62" s="248"/>
      <c r="N62" s="248"/>
      <c r="O62" s="249"/>
      <c r="P62" s="144">
        <f t="shared" si="17"/>
        <v>90</v>
      </c>
      <c r="Q62" s="106"/>
      <c r="R62" s="106"/>
      <c r="S62" s="131"/>
      <c r="T62" s="131"/>
      <c r="U62" s="151"/>
      <c r="V62" s="152">
        <f t="shared" si="18"/>
        <v>30</v>
      </c>
      <c r="W62" s="106"/>
      <c r="X62" s="106"/>
      <c r="Y62" s="104"/>
      <c r="Z62" s="104"/>
      <c r="AA62" s="104"/>
      <c r="AB62" s="104"/>
      <c r="AC62" s="104"/>
      <c r="AD62" s="104"/>
      <c r="AE62" s="104">
        <v>30</v>
      </c>
      <c r="AF62" s="104"/>
      <c r="AG62" s="104"/>
      <c r="AH62" s="104"/>
      <c r="AI62" s="104"/>
      <c r="AJ62" s="104"/>
      <c r="AK62" s="106"/>
      <c r="AL62" s="106"/>
      <c r="AM62" s="106"/>
      <c r="AN62" s="104">
        <v>60</v>
      </c>
      <c r="AO62" s="104"/>
      <c r="AP62" s="145"/>
      <c r="AQ62" s="146">
        <v>2</v>
      </c>
      <c r="AR62" s="104"/>
      <c r="AS62" s="104"/>
      <c r="AT62" s="104"/>
      <c r="AU62" s="104"/>
      <c r="AV62" s="104"/>
      <c r="AW62" s="104"/>
      <c r="AX62" s="104"/>
      <c r="AY62" s="104"/>
      <c r="AZ62" s="104"/>
      <c r="BA62" s="104"/>
      <c r="BB62" s="145"/>
      <c r="BC62" s="146">
        <v>3</v>
      </c>
      <c r="BD62" s="104"/>
      <c r="BE62" s="104"/>
      <c r="BF62" s="104"/>
      <c r="BG62" s="104"/>
      <c r="BH62" s="104"/>
      <c r="BI62" s="104"/>
      <c r="BJ62" s="104"/>
      <c r="BK62" s="104"/>
      <c r="BL62" s="104"/>
      <c r="BM62" s="104"/>
      <c r="BN62" s="145"/>
      <c r="BO62" s="148">
        <f t="shared" si="19"/>
        <v>3</v>
      </c>
      <c r="BP62" s="105"/>
      <c r="BQ62" s="105"/>
      <c r="BR62" s="105"/>
      <c r="BS62" s="71">
        <f t="shared" si="20"/>
        <v>33.333333333333329</v>
      </c>
      <c r="BT62" s="71">
        <f t="shared" si="21"/>
        <v>66.666666666666657</v>
      </c>
      <c r="BU62" s="71">
        <f t="shared" si="22"/>
        <v>30</v>
      </c>
      <c r="BV62" s="15">
        <f t="shared" si="23"/>
        <v>1</v>
      </c>
      <c r="BW62" s="15" t="str">
        <f t="shared" si="24"/>
        <v>тўғри</v>
      </c>
      <c r="BX62" s="71">
        <f t="shared" si="25"/>
        <v>3</v>
      </c>
      <c r="BY62" s="15">
        <f t="shared" si="26"/>
        <v>1</v>
      </c>
      <c r="BZ62" s="15" t="str">
        <f t="shared" si="27"/>
        <v>тўғри</v>
      </c>
    </row>
    <row r="63" spans="1:78" ht="14.25" customHeight="1" x14ac:dyDescent="0.25">
      <c r="A63" s="14" t="s">
        <v>26</v>
      </c>
      <c r="B63" s="104" t="s">
        <v>53</v>
      </c>
      <c r="C63" s="104"/>
      <c r="D63" s="247" t="s">
        <v>151</v>
      </c>
      <c r="E63" s="248"/>
      <c r="F63" s="248"/>
      <c r="G63" s="248"/>
      <c r="H63" s="248"/>
      <c r="I63" s="248"/>
      <c r="J63" s="248"/>
      <c r="K63" s="248"/>
      <c r="L63" s="248"/>
      <c r="M63" s="248"/>
      <c r="N63" s="248"/>
      <c r="O63" s="249"/>
      <c r="P63" s="144">
        <f t="shared" si="17"/>
        <v>150</v>
      </c>
      <c r="Q63" s="106"/>
      <c r="R63" s="106"/>
      <c r="S63" s="131"/>
      <c r="T63" s="131"/>
      <c r="U63" s="151"/>
      <c r="V63" s="152">
        <f t="shared" si="18"/>
        <v>60</v>
      </c>
      <c r="W63" s="106"/>
      <c r="X63" s="106"/>
      <c r="Y63" s="104">
        <v>20</v>
      </c>
      <c r="Z63" s="104"/>
      <c r="AA63" s="104"/>
      <c r="AB63" s="104">
        <v>20</v>
      </c>
      <c r="AC63" s="104"/>
      <c r="AD63" s="104"/>
      <c r="AE63" s="104">
        <v>10</v>
      </c>
      <c r="AF63" s="104"/>
      <c r="AG63" s="104"/>
      <c r="AH63" s="104">
        <v>10</v>
      </c>
      <c r="AI63" s="104"/>
      <c r="AJ63" s="104"/>
      <c r="AK63" s="104"/>
      <c r="AL63" s="104"/>
      <c r="AM63" s="104"/>
      <c r="AN63" s="104">
        <v>90</v>
      </c>
      <c r="AO63" s="104"/>
      <c r="AP63" s="145"/>
      <c r="AQ63" s="146">
        <v>2</v>
      </c>
      <c r="AR63" s="104"/>
      <c r="AS63" s="104"/>
      <c r="AT63" s="104">
        <v>2</v>
      </c>
      <c r="AU63" s="104"/>
      <c r="AV63" s="104"/>
      <c r="AW63" s="104"/>
      <c r="AX63" s="104"/>
      <c r="AY63" s="104"/>
      <c r="AZ63" s="104"/>
      <c r="BA63" s="104"/>
      <c r="BB63" s="145"/>
      <c r="BC63" s="146">
        <v>2</v>
      </c>
      <c r="BD63" s="104"/>
      <c r="BE63" s="104"/>
      <c r="BF63" s="104">
        <v>3</v>
      </c>
      <c r="BG63" s="104"/>
      <c r="BH63" s="104"/>
      <c r="BI63" s="104"/>
      <c r="BJ63" s="104"/>
      <c r="BK63" s="104"/>
      <c r="BL63" s="104"/>
      <c r="BM63" s="104"/>
      <c r="BN63" s="145"/>
      <c r="BO63" s="148">
        <f t="shared" si="19"/>
        <v>5</v>
      </c>
      <c r="BP63" s="105"/>
      <c r="BQ63" s="105"/>
      <c r="BR63" s="105"/>
      <c r="BS63" s="71">
        <f t="shared" si="20"/>
        <v>40</v>
      </c>
      <c r="BT63" s="71">
        <f t="shared" si="21"/>
        <v>60</v>
      </c>
      <c r="BU63" s="71">
        <f t="shared" si="22"/>
        <v>60</v>
      </c>
      <c r="BV63" s="15">
        <f t="shared" si="23"/>
        <v>1</v>
      </c>
      <c r="BW63" s="15" t="str">
        <f t="shared" si="24"/>
        <v>тўғри</v>
      </c>
      <c r="BX63" s="71">
        <f t="shared" si="25"/>
        <v>5</v>
      </c>
      <c r="BY63" s="15">
        <f t="shared" si="26"/>
        <v>1</v>
      </c>
      <c r="BZ63" s="15" t="str">
        <f t="shared" si="27"/>
        <v>тўғри</v>
      </c>
    </row>
    <row r="64" spans="1:78" ht="14.25" customHeight="1" x14ac:dyDescent="0.25">
      <c r="A64" s="14" t="s">
        <v>27</v>
      </c>
      <c r="B64" s="104" t="s">
        <v>219</v>
      </c>
      <c r="C64" s="104"/>
      <c r="D64" s="247" t="s">
        <v>152</v>
      </c>
      <c r="E64" s="248"/>
      <c r="F64" s="248"/>
      <c r="G64" s="248"/>
      <c r="H64" s="248"/>
      <c r="I64" s="248"/>
      <c r="J64" s="248"/>
      <c r="K64" s="248"/>
      <c r="L64" s="248"/>
      <c r="M64" s="248"/>
      <c r="N64" s="248"/>
      <c r="O64" s="249"/>
      <c r="P64" s="144">
        <f t="shared" si="17"/>
        <v>150</v>
      </c>
      <c r="Q64" s="106"/>
      <c r="R64" s="106"/>
      <c r="S64" s="131"/>
      <c r="T64" s="131"/>
      <c r="U64" s="151"/>
      <c r="V64" s="152">
        <f t="shared" si="18"/>
        <v>60</v>
      </c>
      <c r="W64" s="106"/>
      <c r="X64" s="106"/>
      <c r="Y64" s="104">
        <v>20</v>
      </c>
      <c r="Z64" s="104"/>
      <c r="AA64" s="104"/>
      <c r="AB64" s="104">
        <v>20</v>
      </c>
      <c r="AC64" s="104"/>
      <c r="AD64" s="104"/>
      <c r="AE64" s="104">
        <v>10</v>
      </c>
      <c r="AF64" s="104"/>
      <c r="AG64" s="104"/>
      <c r="AH64" s="104">
        <v>10</v>
      </c>
      <c r="AI64" s="104"/>
      <c r="AJ64" s="104"/>
      <c r="AK64" s="106"/>
      <c r="AL64" s="106"/>
      <c r="AM64" s="106"/>
      <c r="AN64" s="104">
        <v>90</v>
      </c>
      <c r="AO64" s="104"/>
      <c r="AP64" s="145"/>
      <c r="AQ64" s="250"/>
      <c r="AR64" s="251"/>
      <c r="AS64" s="242"/>
      <c r="AT64" s="241"/>
      <c r="AU64" s="251"/>
      <c r="AV64" s="242"/>
      <c r="AW64" s="104">
        <v>2</v>
      </c>
      <c r="AX64" s="104"/>
      <c r="AY64" s="104"/>
      <c r="AZ64" s="104">
        <v>2</v>
      </c>
      <c r="BA64" s="104"/>
      <c r="BB64" s="145"/>
      <c r="BC64" s="250"/>
      <c r="BD64" s="251"/>
      <c r="BE64" s="242"/>
      <c r="BF64" s="241"/>
      <c r="BG64" s="251"/>
      <c r="BH64" s="242"/>
      <c r="BI64" s="104">
        <v>2</v>
      </c>
      <c r="BJ64" s="104"/>
      <c r="BK64" s="104"/>
      <c r="BL64" s="104">
        <v>3</v>
      </c>
      <c r="BM64" s="104"/>
      <c r="BN64" s="145"/>
      <c r="BO64" s="148">
        <f t="shared" si="19"/>
        <v>5</v>
      </c>
      <c r="BP64" s="105"/>
      <c r="BQ64" s="105"/>
      <c r="BR64" s="105"/>
      <c r="BS64" s="71">
        <f t="shared" si="20"/>
        <v>40</v>
      </c>
      <c r="BT64" s="71">
        <f t="shared" si="21"/>
        <v>60</v>
      </c>
      <c r="BU64" s="71">
        <f t="shared" si="22"/>
        <v>60</v>
      </c>
      <c r="BV64" s="15">
        <f t="shared" si="23"/>
        <v>1</v>
      </c>
      <c r="BW64" s="15" t="str">
        <f t="shared" si="24"/>
        <v>тўғри</v>
      </c>
      <c r="BX64" s="71">
        <f t="shared" si="25"/>
        <v>5</v>
      </c>
      <c r="BY64" s="15">
        <f t="shared" si="26"/>
        <v>1</v>
      </c>
      <c r="BZ64" s="15" t="str">
        <f t="shared" si="27"/>
        <v>тўғри</v>
      </c>
    </row>
    <row r="65" spans="1:78" ht="14.25" customHeight="1" x14ac:dyDescent="0.25">
      <c r="A65" s="14" t="s">
        <v>28</v>
      </c>
      <c r="B65" s="104" t="s">
        <v>218</v>
      </c>
      <c r="C65" s="104"/>
      <c r="D65" s="247" t="s">
        <v>153</v>
      </c>
      <c r="E65" s="248"/>
      <c r="F65" s="248"/>
      <c r="G65" s="248"/>
      <c r="H65" s="248"/>
      <c r="I65" s="248"/>
      <c r="J65" s="248"/>
      <c r="K65" s="248"/>
      <c r="L65" s="248"/>
      <c r="M65" s="248"/>
      <c r="N65" s="248"/>
      <c r="O65" s="249"/>
      <c r="P65" s="144">
        <f t="shared" si="17"/>
        <v>150</v>
      </c>
      <c r="Q65" s="106"/>
      <c r="R65" s="106"/>
      <c r="S65" s="131"/>
      <c r="T65" s="131"/>
      <c r="U65" s="151"/>
      <c r="V65" s="152">
        <f t="shared" si="18"/>
        <v>60</v>
      </c>
      <c r="W65" s="106"/>
      <c r="X65" s="106"/>
      <c r="Y65" s="104">
        <v>20</v>
      </c>
      <c r="Z65" s="104"/>
      <c r="AA65" s="104"/>
      <c r="AB65" s="104">
        <v>20</v>
      </c>
      <c r="AC65" s="104"/>
      <c r="AD65" s="104"/>
      <c r="AE65" s="104">
        <v>10</v>
      </c>
      <c r="AF65" s="104"/>
      <c r="AG65" s="104"/>
      <c r="AH65" s="104">
        <v>10</v>
      </c>
      <c r="AI65" s="104"/>
      <c r="AJ65" s="104"/>
      <c r="AK65" s="106"/>
      <c r="AL65" s="106"/>
      <c r="AM65" s="106"/>
      <c r="AN65" s="104">
        <v>90</v>
      </c>
      <c r="AO65" s="104"/>
      <c r="AP65" s="145"/>
      <c r="AQ65" s="250"/>
      <c r="AR65" s="251"/>
      <c r="AS65" s="242"/>
      <c r="AT65" s="241"/>
      <c r="AU65" s="251"/>
      <c r="AV65" s="242"/>
      <c r="AW65" s="104">
        <v>2</v>
      </c>
      <c r="AX65" s="104"/>
      <c r="AY65" s="104"/>
      <c r="AZ65" s="104">
        <v>2</v>
      </c>
      <c r="BA65" s="104"/>
      <c r="BB65" s="145"/>
      <c r="BC65" s="250"/>
      <c r="BD65" s="251"/>
      <c r="BE65" s="242"/>
      <c r="BF65" s="241"/>
      <c r="BG65" s="251"/>
      <c r="BH65" s="242"/>
      <c r="BI65" s="104">
        <v>2</v>
      </c>
      <c r="BJ65" s="104"/>
      <c r="BK65" s="104"/>
      <c r="BL65" s="104">
        <v>3</v>
      </c>
      <c r="BM65" s="104"/>
      <c r="BN65" s="145"/>
      <c r="BO65" s="148">
        <f t="shared" si="19"/>
        <v>5</v>
      </c>
      <c r="BP65" s="105"/>
      <c r="BQ65" s="105"/>
      <c r="BR65" s="105"/>
      <c r="BS65" s="71">
        <f t="shared" si="20"/>
        <v>40</v>
      </c>
      <c r="BT65" s="71">
        <f t="shared" si="21"/>
        <v>60</v>
      </c>
      <c r="BU65" s="71">
        <f t="shared" si="22"/>
        <v>60</v>
      </c>
      <c r="BV65" s="15">
        <f t="shared" si="23"/>
        <v>1</v>
      </c>
      <c r="BW65" s="15" t="str">
        <f t="shared" si="24"/>
        <v>тўғри</v>
      </c>
      <c r="BX65" s="71">
        <f t="shared" si="25"/>
        <v>5</v>
      </c>
      <c r="BY65" s="15">
        <f t="shared" si="26"/>
        <v>1</v>
      </c>
      <c r="BZ65" s="15" t="str">
        <f t="shared" si="27"/>
        <v>тўғри</v>
      </c>
    </row>
    <row r="66" spans="1:78" ht="14.25" customHeight="1" x14ac:dyDescent="0.25">
      <c r="A66" s="14" t="s">
        <v>29</v>
      </c>
      <c r="B66" s="104" t="s">
        <v>41</v>
      </c>
      <c r="C66" s="104"/>
      <c r="D66" s="247" t="s">
        <v>155</v>
      </c>
      <c r="E66" s="248"/>
      <c r="F66" s="248"/>
      <c r="G66" s="248"/>
      <c r="H66" s="248"/>
      <c r="I66" s="248"/>
      <c r="J66" s="248"/>
      <c r="K66" s="248"/>
      <c r="L66" s="248"/>
      <c r="M66" s="248"/>
      <c r="N66" s="248"/>
      <c r="O66" s="249"/>
      <c r="P66" s="144">
        <f t="shared" ref="P66" si="28">SUM(V66+AN66)</f>
        <v>90</v>
      </c>
      <c r="Q66" s="106"/>
      <c r="R66" s="106"/>
      <c r="S66" s="127"/>
      <c r="T66" s="127"/>
      <c r="U66" s="208"/>
      <c r="V66" s="152">
        <f t="shared" si="18"/>
        <v>30</v>
      </c>
      <c r="W66" s="106"/>
      <c r="X66" s="106"/>
      <c r="Y66" s="104"/>
      <c r="Z66" s="104"/>
      <c r="AA66" s="104"/>
      <c r="AB66" s="104">
        <v>30</v>
      </c>
      <c r="AC66" s="104"/>
      <c r="AD66" s="104"/>
      <c r="AE66" s="104"/>
      <c r="AF66" s="104"/>
      <c r="AG66" s="104"/>
      <c r="AH66" s="104"/>
      <c r="AI66" s="104"/>
      <c r="AJ66" s="104"/>
      <c r="AK66" s="130"/>
      <c r="AL66" s="130"/>
      <c r="AM66" s="130"/>
      <c r="AN66" s="104">
        <v>60</v>
      </c>
      <c r="AO66" s="104"/>
      <c r="AP66" s="145"/>
      <c r="AQ66" s="146"/>
      <c r="AR66" s="104"/>
      <c r="AS66" s="104"/>
      <c r="AT66" s="104"/>
      <c r="AU66" s="104"/>
      <c r="AV66" s="104"/>
      <c r="AW66" s="104">
        <v>2</v>
      </c>
      <c r="AX66" s="104"/>
      <c r="AY66" s="104"/>
      <c r="AZ66" s="104"/>
      <c r="BA66" s="104"/>
      <c r="BB66" s="145"/>
      <c r="BC66" s="146"/>
      <c r="BD66" s="104"/>
      <c r="BE66" s="104"/>
      <c r="BF66" s="104"/>
      <c r="BG66" s="104"/>
      <c r="BH66" s="104"/>
      <c r="BI66" s="104">
        <v>3</v>
      </c>
      <c r="BJ66" s="104"/>
      <c r="BK66" s="104"/>
      <c r="BL66" s="104"/>
      <c r="BM66" s="104"/>
      <c r="BN66" s="145"/>
      <c r="BO66" s="148">
        <f t="shared" si="19"/>
        <v>3</v>
      </c>
      <c r="BP66" s="105"/>
      <c r="BQ66" s="105"/>
      <c r="BR66" s="105"/>
      <c r="BS66" s="71">
        <f t="shared" ref="BS66" si="29">SUM(V66/P66)*100</f>
        <v>33.333333333333329</v>
      </c>
      <c r="BT66" s="71">
        <f t="shared" si="21"/>
        <v>66.666666666666657</v>
      </c>
      <c r="BU66" s="71">
        <f t="shared" si="22"/>
        <v>30</v>
      </c>
      <c r="BV66" s="15">
        <f t="shared" si="23"/>
        <v>1</v>
      </c>
      <c r="BW66" s="15" t="str">
        <f t="shared" si="24"/>
        <v>тўғри</v>
      </c>
      <c r="BX66" s="71">
        <f t="shared" si="25"/>
        <v>3</v>
      </c>
      <c r="BY66" s="15">
        <f t="shared" si="26"/>
        <v>1</v>
      </c>
      <c r="BZ66" s="15" t="str">
        <f t="shared" si="27"/>
        <v>тўғри</v>
      </c>
    </row>
    <row r="67" spans="1:78" ht="14.25" customHeight="1" x14ac:dyDescent="0.25">
      <c r="A67" s="14" t="s">
        <v>30</v>
      </c>
      <c r="B67" s="104" t="s">
        <v>48</v>
      </c>
      <c r="C67" s="104"/>
      <c r="D67" s="247" t="s">
        <v>156</v>
      </c>
      <c r="E67" s="248"/>
      <c r="F67" s="248"/>
      <c r="G67" s="248"/>
      <c r="H67" s="248"/>
      <c r="I67" s="248"/>
      <c r="J67" s="248"/>
      <c r="K67" s="248"/>
      <c r="L67" s="248"/>
      <c r="M67" s="248"/>
      <c r="N67" s="248"/>
      <c r="O67" s="249"/>
      <c r="P67" s="144">
        <f>SUM(V67+AN67)</f>
        <v>150</v>
      </c>
      <c r="Q67" s="106"/>
      <c r="R67" s="106"/>
      <c r="S67" s="131"/>
      <c r="T67" s="131"/>
      <c r="U67" s="151"/>
      <c r="V67" s="152">
        <f t="shared" si="18"/>
        <v>60</v>
      </c>
      <c r="W67" s="106"/>
      <c r="X67" s="106"/>
      <c r="Y67" s="104">
        <v>32</v>
      </c>
      <c r="Z67" s="104"/>
      <c r="AA67" s="104"/>
      <c r="AB67" s="104">
        <v>12</v>
      </c>
      <c r="AC67" s="104"/>
      <c r="AD67" s="104"/>
      <c r="AE67" s="104"/>
      <c r="AF67" s="104"/>
      <c r="AG67" s="104"/>
      <c r="AH67" s="104">
        <v>16</v>
      </c>
      <c r="AI67" s="104"/>
      <c r="AJ67" s="104"/>
      <c r="AK67" s="106"/>
      <c r="AL67" s="106"/>
      <c r="AM67" s="106"/>
      <c r="AN67" s="104">
        <v>90</v>
      </c>
      <c r="AO67" s="104"/>
      <c r="AP67" s="145"/>
      <c r="AQ67" s="146">
        <v>4</v>
      </c>
      <c r="AR67" s="104"/>
      <c r="AS67" s="104"/>
      <c r="AT67" s="104"/>
      <c r="AU67" s="104"/>
      <c r="AV67" s="104"/>
      <c r="AW67" s="104"/>
      <c r="AX67" s="104"/>
      <c r="AY67" s="104"/>
      <c r="AZ67" s="104"/>
      <c r="BA67" s="104"/>
      <c r="BB67" s="145"/>
      <c r="BC67" s="146">
        <v>5</v>
      </c>
      <c r="BD67" s="104"/>
      <c r="BE67" s="104"/>
      <c r="BF67" s="104"/>
      <c r="BG67" s="104"/>
      <c r="BH67" s="104"/>
      <c r="BI67" s="104"/>
      <c r="BJ67" s="104"/>
      <c r="BK67" s="104"/>
      <c r="BL67" s="104"/>
      <c r="BM67" s="104"/>
      <c r="BN67" s="145"/>
      <c r="BO67" s="148">
        <f t="shared" si="19"/>
        <v>5</v>
      </c>
      <c r="BP67" s="105"/>
      <c r="BQ67" s="105"/>
      <c r="BR67" s="105"/>
      <c r="BS67" s="71">
        <f t="shared" ref="BS67" si="30">SUM(V67/P67)*100</f>
        <v>40</v>
      </c>
      <c r="BT67" s="71">
        <f t="shared" ref="BT67" si="31">SUM(AN67/P67)*100</f>
        <v>60</v>
      </c>
      <c r="BU67" s="71">
        <f t="shared" ref="BU67" si="32">SUM(Y67:AJ67)</f>
        <v>60</v>
      </c>
      <c r="BV67" s="15">
        <f t="shared" si="23"/>
        <v>1</v>
      </c>
      <c r="BW67" s="15" t="str">
        <f t="shared" si="24"/>
        <v>тўғри</v>
      </c>
      <c r="BX67" s="71">
        <f t="shared" si="25"/>
        <v>5</v>
      </c>
      <c r="BY67" s="15">
        <f t="shared" si="26"/>
        <v>1</v>
      </c>
      <c r="BZ67" s="15" t="str">
        <f t="shared" si="27"/>
        <v>тўғри</v>
      </c>
    </row>
    <row r="68" spans="1:78" ht="14.25" customHeight="1" x14ac:dyDescent="0.25">
      <c r="A68" s="14" t="s">
        <v>187</v>
      </c>
      <c r="B68" s="104" t="s">
        <v>35</v>
      </c>
      <c r="C68" s="104"/>
      <c r="D68" s="247" t="s">
        <v>157</v>
      </c>
      <c r="E68" s="248"/>
      <c r="F68" s="248"/>
      <c r="G68" s="248"/>
      <c r="H68" s="248"/>
      <c r="I68" s="248"/>
      <c r="J68" s="248"/>
      <c r="K68" s="248"/>
      <c r="L68" s="248"/>
      <c r="M68" s="248"/>
      <c r="N68" s="248"/>
      <c r="O68" s="249"/>
      <c r="P68" s="144">
        <f>SUM(V68+AN68)</f>
        <v>150</v>
      </c>
      <c r="Q68" s="106"/>
      <c r="R68" s="106"/>
      <c r="S68" s="131"/>
      <c r="T68" s="131"/>
      <c r="U68" s="151"/>
      <c r="V68" s="152">
        <f t="shared" si="18"/>
        <v>60</v>
      </c>
      <c r="W68" s="106"/>
      <c r="X68" s="106"/>
      <c r="Y68" s="104">
        <v>32</v>
      </c>
      <c r="Z68" s="104"/>
      <c r="AA68" s="104"/>
      <c r="AB68" s="104">
        <v>12</v>
      </c>
      <c r="AC68" s="104"/>
      <c r="AD68" s="104"/>
      <c r="AE68" s="104"/>
      <c r="AF68" s="104"/>
      <c r="AG68" s="104"/>
      <c r="AH68" s="104">
        <v>16</v>
      </c>
      <c r="AI68" s="104"/>
      <c r="AJ68" s="104"/>
      <c r="AK68" s="106"/>
      <c r="AL68" s="106"/>
      <c r="AM68" s="106"/>
      <c r="AN68" s="104">
        <v>90</v>
      </c>
      <c r="AO68" s="104"/>
      <c r="AP68" s="145"/>
      <c r="AQ68" s="146">
        <v>2</v>
      </c>
      <c r="AR68" s="104"/>
      <c r="AS68" s="104"/>
      <c r="AT68" s="104">
        <v>2</v>
      </c>
      <c r="AU68" s="104"/>
      <c r="AV68" s="104"/>
      <c r="AW68" s="104"/>
      <c r="AX68" s="104"/>
      <c r="AY68" s="104"/>
      <c r="AZ68" s="104"/>
      <c r="BA68" s="104"/>
      <c r="BB68" s="145"/>
      <c r="BC68" s="146">
        <v>3</v>
      </c>
      <c r="BD68" s="104"/>
      <c r="BE68" s="104"/>
      <c r="BF68" s="104">
        <v>2</v>
      </c>
      <c r="BG68" s="104"/>
      <c r="BH68" s="104"/>
      <c r="BI68" s="104"/>
      <c r="BJ68" s="104"/>
      <c r="BK68" s="104"/>
      <c r="BL68" s="104"/>
      <c r="BM68" s="104"/>
      <c r="BN68" s="145"/>
      <c r="BO68" s="148">
        <f t="shared" si="19"/>
        <v>5</v>
      </c>
      <c r="BP68" s="105"/>
      <c r="BQ68" s="105"/>
      <c r="BR68" s="105"/>
      <c r="BS68" s="71">
        <f t="shared" si="20"/>
        <v>40</v>
      </c>
      <c r="BT68" s="71">
        <f t="shared" si="21"/>
        <v>60</v>
      </c>
      <c r="BU68" s="71">
        <f t="shared" si="22"/>
        <v>60</v>
      </c>
      <c r="BV68" s="15">
        <f t="shared" si="23"/>
        <v>1</v>
      </c>
      <c r="BW68" s="15" t="str">
        <f t="shared" si="24"/>
        <v>тўғри</v>
      </c>
      <c r="BX68" s="71">
        <f t="shared" si="25"/>
        <v>5</v>
      </c>
      <c r="BY68" s="15">
        <f t="shared" si="26"/>
        <v>1</v>
      </c>
      <c r="BZ68" s="15" t="str">
        <f t="shared" si="27"/>
        <v>тўғри</v>
      </c>
    </row>
    <row r="69" spans="1:78" ht="14.25" customHeight="1" x14ac:dyDescent="0.25">
      <c r="A69" s="72" t="s">
        <v>9</v>
      </c>
      <c r="B69" s="104"/>
      <c r="C69" s="104"/>
      <c r="D69" s="182" t="s">
        <v>112</v>
      </c>
      <c r="E69" s="182"/>
      <c r="F69" s="182"/>
      <c r="G69" s="182"/>
      <c r="H69" s="182"/>
      <c r="I69" s="182"/>
      <c r="J69" s="182"/>
      <c r="K69" s="182"/>
      <c r="L69" s="182"/>
      <c r="M69" s="182"/>
      <c r="N69" s="182"/>
      <c r="O69" s="183"/>
      <c r="P69" s="144">
        <f t="shared" ref="P69" si="33">SUM(V69+AN69)</f>
        <v>330</v>
      </c>
      <c r="Q69" s="106"/>
      <c r="R69" s="106"/>
      <c r="S69" s="131">
        <f>P69/3600*100</f>
        <v>9.1666666666666661</v>
      </c>
      <c r="T69" s="131"/>
      <c r="U69" s="151"/>
      <c r="V69" s="152">
        <f t="shared" ref="V69:V70" si="34">SUM(AQ69+AT69+AW69+AZ69)*15</f>
        <v>120</v>
      </c>
      <c r="W69" s="106"/>
      <c r="X69" s="106"/>
      <c r="Y69" s="106">
        <f>SUM(Y70:AA78)</f>
        <v>10</v>
      </c>
      <c r="Z69" s="106"/>
      <c r="AA69" s="106"/>
      <c r="AB69" s="106">
        <f>SUM(AB70:AD78)</f>
        <v>100</v>
      </c>
      <c r="AC69" s="106"/>
      <c r="AD69" s="106"/>
      <c r="AE69" s="106">
        <f>SUM(AE70:AG78)</f>
        <v>0</v>
      </c>
      <c r="AF69" s="106"/>
      <c r="AG69" s="106"/>
      <c r="AH69" s="106">
        <f>SUM(AH70:AJ78)</f>
        <v>10</v>
      </c>
      <c r="AI69" s="106"/>
      <c r="AJ69" s="106"/>
      <c r="AK69" s="106">
        <f>SUM(AK70:AM78)</f>
        <v>0</v>
      </c>
      <c r="AL69" s="106"/>
      <c r="AM69" s="106"/>
      <c r="AN69" s="106">
        <f>SUM(AN70:AP78)</f>
        <v>210</v>
      </c>
      <c r="AO69" s="106"/>
      <c r="AP69" s="147"/>
      <c r="AQ69" s="144">
        <f>SUM(AQ70:AS78)</f>
        <v>2</v>
      </c>
      <c r="AR69" s="106"/>
      <c r="AS69" s="106"/>
      <c r="AT69" s="106">
        <f>SUM(AT70:AV78)</f>
        <v>4</v>
      </c>
      <c r="AU69" s="106"/>
      <c r="AV69" s="106"/>
      <c r="AW69" s="106">
        <f>SUM(AW70:AY78)</f>
        <v>2</v>
      </c>
      <c r="AX69" s="106"/>
      <c r="AY69" s="106"/>
      <c r="AZ69" s="106">
        <f>SUM(AZ70:BB78)</f>
        <v>0</v>
      </c>
      <c r="BA69" s="106"/>
      <c r="BB69" s="147"/>
      <c r="BC69" s="144">
        <f>SUM(BC70:BE78)</f>
        <v>2</v>
      </c>
      <c r="BD69" s="106"/>
      <c r="BE69" s="106"/>
      <c r="BF69" s="106">
        <f>SUM(BF70:BH78)</f>
        <v>6</v>
      </c>
      <c r="BG69" s="106"/>
      <c r="BH69" s="106"/>
      <c r="BI69" s="106">
        <f>SUM(BI70:BK78)</f>
        <v>3</v>
      </c>
      <c r="BJ69" s="106"/>
      <c r="BK69" s="106"/>
      <c r="BL69" s="106">
        <f>SUM(BL70:BN78)</f>
        <v>0</v>
      </c>
      <c r="BM69" s="106"/>
      <c r="BN69" s="147"/>
      <c r="BO69" s="148">
        <f t="shared" ref="BO69:BO78" si="35">SUM(P69/30)</f>
        <v>11</v>
      </c>
      <c r="BP69" s="105"/>
      <c r="BQ69" s="105"/>
      <c r="BR69" s="105"/>
      <c r="BS69" s="71">
        <f t="shared" ref="BS69:BS80" si="36">SUM(V69/P69)*100</f>
        <v>36.363636363636367</v>
      </c>
      <c r="BT69" s="71">
        <f t="shared" ref="BT69:BT84" si="37">SUM(AN69/P69)*100</f>
        <v>63.636363636363633</v>
      </c>
      <c r="BU69" s="71">
        <f t="shared" ref="BU69:BU79" si="38">SUM(Y69:AJ69)</f>
        <v>120</v>
      </c>
      <c r="BV69" s="15">
        <f t="shared" ref="BV69:BV79" si="39">IF(BU69=V69,1,0)</f>
        <v>1</v>
      </c>
      <c r="BW69" s="15" t="str">
        <f t="shared" ref="BW69:BW79" si="40">IF(BV69=1,"тўғри","хато")</f>
        <v>тўғри</v>
      </c>
      <c r="BX69" s="71">
        <f t="shared" ref="BX69:BX84" si="41">SUM(BC69:BN69)</f>
        <v>11</v>
      </c>
      <c r="BY69" s="15">
        <f t="shared" ref="BY69:BY84" si="42">IF(BX69=BO69,1,0)</f>
        <v>1</v>
      </c>
      <c r="BZ69" s="15" t="str">
        <f t="shared" ref="BZ69:BZ84" si="43">IF(BY69=1,"тўғри","хато")</f>
        <v>тўғри</v>
      </c>
    </row>
    <row r="70" spans="1:78" ht="14.25" customHeight="1" x14ac:dyDescent="0.25">
      <c r="A70" s="85" t="s">
        <v>10</v>
      </c>
      <c r="B70" s="104"/>
      <c r="C70" s="104"/>
      <c r="D70" s="178" t="s">
        <v>130</v>
      </c>
      <c r="E70" s="178"/>
      <c r="F70" s="178"/>
      <c r="G70" s="178"/>
      <c r="H70" s="178"/>
      <c r="I70" s="178"/>
      <c r="J70" s="178"/>
      <c r="K70" s="178"/>
      <c r="L70" s="178"/>
      <c r="M70" s="178"/>
      <c r="N70" s="178"/>
      <c r="O70" s="179"/>
      <c r="P70" s="144">
        <f>SUM(V70+AN70)</f>
        <v>90</v>
      </c>
      <c r="Q70" s="106"/>
      <c r="R70" s="106"/>
      <c r="S70" s="131"/>
      <c r="T70" s="131"/>
      <c r="U70" s="151"/>
      <c r="V70" s="152">
        <f t="shared" si="34"/>
        <v>30</v>
      </c>
      <c r="W70" s="106"/>
      <c r="X70" s="106"/>
      <c r="Y70" s="104"/>
      <c r="Z70" s="104"/>
      <c r="AA70" s="104"/>
      <c r="AB70" s="104">
        <v>30</v>
      </c>
      <c r="AC70" s="104"/>
      <c r="AD70" s="104"/>
      <c r="AE70" s="104"/>
      <c r="AF70" s="104"/>
      <c r="AG70" s="104"/>
      <c r="AH70" s="104"/>
      <c r="AI70" s="104"/>
      <c r="AJ70" s="104"/>
      <c r="AK70" s="104"/>
      <c r="AL70" s="104"/>
      <c r="AM70" s="104"/>
      <c r="AN70" s="104">
        <v>60</v>
      </c>
      <c r="AO70" s="104"/>
      <c r="AP70" s="145"/>
      <c r="AQ70" s="146"/>
      <c r="AR70" s="104"/>
      <c r="AS70" s="104"/>
      <c r="AT70" s="104">
        <v>2</v>
      </c>
      <c r="AU70" s="104"/>
      <c r="AV70" s="104"/>
      <c r="AW70" s="104"/>
      <c r="AX70" s="104"/>
      <c r="AY70" s="104"/>
      <c r="AZ70" s="104"/>
      <c r="BA70" s="104"/>
      <c r="BB70" s="145"/>
      <c r="BC70" s="146"/>
      <c r="BD70" s="104"/>
      <c r="BE70" s="104"/>
      <c r="BF70" s="104">
        <v>3</v>
      </c>
      <c r="BG70" s="104"/>
      <c r="BH70" s="104"/>
      <c r="BI70" s="104"/>
      <c r="BJ70" s="104"/>
      <c r="BK70" s="104"/>
      <c r="BL70" s="104"/>
      <c r="BM70" s="104"/>
      <c r="BN70" s="145"/>
      <c r="BO70" s="148">
        <f t="shared" si="35"/>
        <v>3</v>
      </c>
      <c r="BP70" s="105"/>
      <c r="BQ70" s="105"/>
      <c r="BR70" s="105"/>
      <c r="BS70" s="71">
        <f t="shared" ref="BS70:BS78" si="44">SUM(V70/P70)*100</f>
        <v>33.333333333333329</v>
      </c>
      <c r="BT70" s="71">
        <f t="shared" ref="BT70:BT78" si="45">SUM(AN70/P70)*100</f>
        <v>66.666666666666657</v>
      </c>
      <c r="BU70" s="71">
        <f t="shared" ref="BU70:BU78" si="46">SUM(Y70:AJ70)</f>
        <v>30</v>
      </c>
      <c r="BV70" s="15">
        <f t="shared" si="39"/>
        <v>1</v>
      </c>
      <c r="BW70" s="15" t="str">
        <f t="shared" si="40"/>
        <v>тўғри</v>
      </c>
      <c r="BX70" s="71">
        <f t="shared" si="41"/>
        <v>3</v>
      </c>
      <c r="BY70" s="15">
        <f t="shared" si="42"/>
        <v>1</v>
      </c>
      <c r="BZ70" s="15" t="str">
        <f t="shared" si="43"/>
        <v>тўғри</v>
      </c>
    </row>
    <row r="71" spans="1:78" ht="14.25" customHeight="1" x14ac:dyDescent="0.25">
      <c r="A71" s="71">
        <v>1</v>
      </c>
      <c r="B71" s="104" t="s">
        <v>214</v>
      </c>
      <c r="C71" s="104"/>
      <c r="D71" s="149" t="s">
        <v>136</v>
      </c>
      <c r="E71" s="149"/>
      <c r="F71" s="149"/>
      <c r="G71" s="149"/>
      <c r="H71" s="149"/>
      <c r="I71" s="149"/>
      <c r="J71" s="149"/>
      <c r="K71" s="149"/>
      <c r="L71" s="149"/>
      <c r="M71" s="149"/>
      <c r="N71" s="149"/>
      <c r="O71" s="150"/>
      <c r="P71" s="144"/>
      <c r="Q71" s="106"/>
      <c r="R71" s="106"/>
      <c r="S71" s="131"/>
      <c r="T71" s="131"/>
      <c r="U71" s="151"/>
      <c r="V71" s="152"/>
      <c r="W71" s="106"/>
      <c r="X71" s="106"/>
      <c r="Y71" s="104"/>
      <c r="Z71" s="104"/>
      <c r="AA71" s="104"/>
      <c r="AB71" s="104"/>
      <c r="AC71" s="104"/>
      <c r="AD71" s="104"/>
      <c r="AE71" s="104"/>
      <c r="AF71" s="104"/>
      <c r="AG71" s="104"/>
      <c r="AH71" s="104"/>
      <c r="AI71" s="104"/>
      <c r="AJ71" s="104"/>
      <c r="AK71" s="104"/>
      <c r="AL71" s="104"/>
      <c r="AM71" s="104"/>
      <c r="AN71" s="104"/>
      <c r="AO71" s="104"/>
      <c r="AP71" s="145"/>
      <c r="AQ71" s="146"/>
      <c r="AR71" s="104"/>
      <c r="AS71" s="104"/>
      <c r="AT71" s="104"/>
      <c r="AU71" s="104"/>
      <c r="AV71" s="104"/>
      <c r="AW71" s="104"/>
      <c r="AX71" s="104"/>
      <c r="AY71" s="104"/>
      <c r="AZ71" s="104"/>
      <c r="BA71" s="104"/>
      <c r="BB71" s="145"/>
      <c r="BC71" s="146"/>
      <c r="BD71" s="104"/>
      <c r="BE71" s="104"/>
      <c r="BF71" s="104"/>
      <c r="BG71" s="104"/>
      <c r="BH71" s="104"/>
      <c r="BI71" s="104"/>
      <c r="BJ71" s="104"/>
      <c r="BK71" s="104"/>
      <c r="BL71" s="104"/>
      <c r="BM71" s="104"/>
      <c r="BN71" s="145"/>
      <c r="BO71" s="148">
        <f t="shared" si="35"/>
        <v>0</v>
      </c>
      <c r="BP71" s="105"/>
      <c r="BQ71" s="105"/>
      <c r="BR71" s="105"/>
      <c r="BS71" s="71" t="e">
        <f t="shared" si="44"/>
        <v>#DIV/0!</v>
      </c>
      <c r="BT71" s="71" t="e">
        <f t="shared" si="45"/>
        <v>#DIV/0!</v>
      </c>
      <c r="BU71" s="71">
        <f t="shared" si="46"/>
        <v>0</v>
      </c>
      <c r="BV71" s="15">
        <f t="shared" si="39"/>
        <v>1</v>
      </c>
      <c r="BW71" s="15" t="str">
        <f t="shared" si="40"/>
        <v>тўғри</v>
      </c>
      <c r="BX71" s="71">
        <f t="shared" si="41"/>
        <v>0</v>
      </c>
      <c r="BY71" s="15">
        <f t="shared" si="42"/>
        <v>1</v>
      </c>
      <c r="BZ71" s="15" t="str">
        <f t="shared" si="43"/>
        <v>тўғри</v>
      </c>
    </row>
    <row r="72" spans="1:78" ht="14.25" customHeight="1" x14ac:dyDescent="0.25">
      <c r="A72" s="71">
        <v>2</v>
      </c>
      <c r="B72" s="104" t="s">
        <v>215</v>
      </c>
      <c r="C72" s="104"/>
      <c r="D72" s="149" t="s">
        <v>137</v>
      </c>
      <c r="E72" s="149"/>
      <c r="F72" s="149"/>
      <c r="G72" s="149"/>
      <c r="H72" s="149"/>
      <c r="I72" s="149"/>
      <c r="J72" s="149"/>
      <c r="K72" s="149"/>
      <c r="L72" s="149"/>
      <c r="M72" s="149"/>
      <c r="N72" s="149"/>
      <c r="O72" s="150"/>
      <c r="P72" s="144"/>
      <c r="Q72" s="106"/>
      <c r="R72" s="106"/>
      <c r="S72" s="131"/>
      <c r="T72" s="131"/>
      <c r="U72" s="151"/>
      <c r="V72" s="152"/>
      <c r="W72" s="106"/>
      <c r="X72" s="106"/>
      <c r="Y72" s="104"/>
      <c r="Z72" s="104"/>
      <c r="AA72" s="104"/>
      <c r="AB72" s="104"/>
      <c r="AC72" s="104"/>
      <c r="AD72" s="104"/>
      <c r="AE72" s="104"/>
      <c r="AF72" s="104"/>
      <c r="AG72" s="104"/>
      <c r="AH72" s="104"/>
      <c r="AI72" s="104"/>
      <c r="AJ72" s="104"/>
      <c r="AK72" s="104"/>
      <c r="AL72" s="104"/>
      <c r="AM72" s="104"/>
      <c r="AN72" s="104"/>
      <c r="AO72" s="104"/>
      <c r="AP72" s="145"/>
      <c r="AQ72" s="146"/>
      <c r="AR72" s="104"/>
      <c r="AS72" s="104"/>
      <c r="AT72" s="104"/>
      <c r="AU72" s="104"/>
      <c r="AV72" s="104"/>
      <c r="AW72" s="104"/>
      <c r="AX72" s="104"/>
      <c r="AY72" s="104"/>
      <c r="AZ72" s="104"/>
      <c r="BA72" s="104"/>
      <c r="BB72" s="145"/>
      <c r="BC72" s="146"/>
      <c r="BD72" s="104"/>
      <c r="BE72" s="104"/>
      <c r="BF72" s="104"/>
      <c r="BG72" s="104"/>
      <c r="BH72" s="104"/>
      <c r="BI72" s="104"/>
      <c r="BJ72" s="104"/>
      <c r="BK72" s="104"/>
      <c r="BL72" s="104"/>
      <c r="BM72" s="104"/>
      <c r="BN72" s="145"/>
      <c r="BO72" s="148">
        <f t="shared" si="35"/>
        <v>0</v>
      </c>
      <c r="BP72" s="105"/>
      <c r="BQ72" s="105"/>
      <c r="BR72" s="105"/>
      <c r="BS72" s="71" t="e">
        <f t="shared" si="44"/>
        <v>#DIV/0!</v>
      </c>
      <c r="BT72" s="71" t="e">
        <f t="shared" si="45"/>
        <v>#DIV/0!</v>
      </c>
      <c r="BU72" s="71">
        <f t="shared" si="46"/>
        <v>0</v>
      </c>
      <c r="BV72" s="15">
        <f t="shared" si="39"/>
        <v>1</v>
      </c>
      <c r="BW72" s="15" t="str">
        <f t="shared" si="40"/>
        <v>тўғри</v>
      </c>
      <c r="BX72" s="71">
        <f t="shared" si="41"/>
        <v>0</v>
      </c>
      <c r="BY72" s="15">
        <f t="shared" si="42"/>
        <v>1</v>
      </c>
      <c r="BZ72" s="15" t="str">
        <f t="shared" si="43"/>
        <v>тўғри</v>
      </c>
    </row>
    <row r="73" spans="1:78" ht="14.25" customHeight="1" x14ac:dyDescent="0.25">
      <c r="A73" s="85" t="s">
        <v>11</v>
      </c>
      <c r="B73" s="104"/>
      <c r="C73" s="104"/>
      <c r="D73" s="178" t="s">
        <v>130</v>
      </c>
      <c r="E73" s="178"/>
      <c r="F73" s="178"/>
      <c r="G73" s="178"/>
      <c r="H73" s="178"/>
      <c r="I73" s="178"/>
      <c r="J73" s="178"/>
      <c r="K73" s="178"/>
      <c r="L73" s="178"/>
      <c r="M73" s="178"/>
      <c r="N73" s="178"/>
      <c r="O73" s="179"/>
      <c r="P73" s="144">
        <f t="shared" ref="P73" si="47">SUM(V73+AN73)</f>
        <v>150</v>
      </c>
      <c r="Q73" s="106"/>
      <c r="R73" s="106"/>
      <c r="S73" s="131"/>
      <c r="T73" s="131"/>
      <c r="U73" s="151"/>
      <c r="V73" s="152">
        <f t="shared" ref="V73" si="48">SUM(AQ73+AT73+AW73+AZ73)*15</f>
        <v>60</v>
      </c>
      <c r="W73" s="106"/>
      <c r="X73" s="106"/>
      <c r="Y73" s="104"/>
      <c r="Z73" s="104"/>
      <c r="AA73" s="104"/>
      <c r="AB73" s="104">
        <v>60</v>
      </c>
      <c r="AC73" s="104"/>
      <c r="AD73" s="104"/>
      <c r="AE73" s="104"/>
      <c r="AF73" s="104"/>
      <c r="AG73" s="104"/>
      <c r="AH73" s="104"/>
      <c r="AI73" s="104"/>
      <c r="AJ73" s="104"/>
      <c r="AK73" s="106"/>
      <c r="AL73" s="106"/>
      <c r="AM73" s="106"/>
      <c r="AN73" s="104">
        <v>90</v>
      </c>
      <c r="AO73" s="104"/>
      <c r="AP73" s="145"/>
      <c r="AQ73" s="146">
        <v>2</v>
      </c>
      <c r="AR73" s="104"/>
      <c r="AS73" s="104"/>
      <c r="AT73" s="104">
        <v>2</v>
      </c>
      <c r="AU73" s="104"/>
      <c r="AV73" s="104"/>
      <c r="AW73" s="104"/>
      <c r="AX73" s="104"/>
      <c r="AY73" s="104"/>
      <c r="AZ73" s="104"/>
      <c r="BA73" s="104"/>
      <c r="BB73" s="145"/>
      <c r="BC73" s="146">
        <v>2</v>
      </c>
      <c r="BD73" s="104"/>
      <c r="BE73" s="104"/>
      <c r="BF73" s="104">
        <v>3</v>
      </c>
      <c r="BG73" s="104"/>
      <c r="BH73" s="104"/>
      <c r="BI73" s="104"/>
      <c r="BJ73" s="104"/>
      <c r="BK73" s="104"/>
      <c r="BL73" s="104"/>
      <c r="BM73" s="104"/>
      <c r="BN73" s="145"/>
      <c r="BO73" s="148">
        <f t="shared" si="35"/>
        <v>5</v>
      </c>
      <c r="BP73" s="105"/>
      <c r="BQ73" s="105"/>
      <c r="BR73" s="105"/>
      <c r="BS73" s="71">
        <f t="shared" si="44"/>
        <v>40</v>
      </c>
      <c r="BT73" s="71">
        <f t="shared" si="45"/>
        <v>60</v>
      </c>
      <c r="BU73" s="71">
        <f t="shared" si="46"/>
        <v>60</v>
      </c>
      <c r="BV73" s="15">
        <f t="shared" si="39"/>
        <v>1</v>
      </c>
      <c r="BW73" s="15" t="str">
        <f t="shared" si="40"/>
        <v>тўғри</v>
      </c>
      <c r="BX73" s="71">
        <f t="shared" si="41"/>
        <v>5</v>
      </c>
      <c r="BY73" s="15">
        <f t="shared" si="42"/>
        <v>1</v>
      </c>
      <c r="BZ73" s="15" t="str">
        <f t="shared" si="43"/>
        <v>тўғри</v>
      </c>
    </row>
    <row r="74" spans="1:78" ht="28.5" customHeight="1" x14ac:dyDescent="0.25">
      <c r="A74" s="71">
        <v>1</v>
      </c>
      <c r="B74" s="104" t="s">
        <v>216</v>
      </c>
      <c r="C74" s="104"/>
      <c r="D74" s="180" t="s">
        <v>138</v>
      </c>
      <c r="E74" s="180"/>
      <c r="F74" s="180"/>
      <c r="G74" s="180"/>
      <c r="H74" s="180"/>
      <c r="I74" s="180"/>
      <c r="J74" s="180"/>
      <c r="K74" s="180"/>
      <c r="L74" s="180"/>
      <c r="M74" s="180"/>
      <c r="N74" s="180"/>
      <c r="O74" s="181"/>
      <c r="P74" s="144"/>
      <c r="Q74" s="106"/>
      <c r="R74" s="106"/>
      <c r="S74" s="131"/>
      <c r="T74" s="131"/>
      <c r="U74" s="151"/>
      <c r="V74" s="152"/>
      <c r="W74" s="106"/>
      <c r="X74" s="106"/>
      <c r="Y74" s="104"/>
      <c r="Z74" s="104"/>
      <c r="AA74" s="104"/>
      <c r="AB74" s="104"/>
      <c r="AC74" s="104"/>
      <c r="AD74" s="104"/>
      <c r="AE74" s="104"/>
      <c r="AF74" s="104"/>
      <c r="AG74" s="104"/>
      <c r="AH74" s="104"/>
      <c r="AI74" s="104"/>
      <c r="AJ74" s="104"/>
      <c r="AK74" s="106"/>
      <c r="AL74" s="106"/>
      <c r="AM74" s="106"/>
      <c r="AN74" s="104"/>
      <c r="AO74" s="104"/>
      <c r="AP74" s="145"/>
      <c r="AQ74" s="146"/>
      <c r="AR74" s="104"/>
      <c r="AS74" s="104"/>
      <c r="AT74" s="104"/>
      <c r="AU74" s="104"/>
      <c r="AV74" s="104"/>
      <c r="AW74" s="104"/>
      <c r="AX74" s="104"/>
      <c r="AY74" s="104"/>
      <c r="AZ74" s="104"/>
      <c r="BA74" s="104"/>
      <c r="BB74" s="145"/>
      <c r="BC74" s="146"/>
      <c r="BD74" s="104"/>
      <c r="BE74" s="104"/>
      <c r="BF74" s="104"/>
      <c r="BG74" s="104"/>
      <c r="BH74" s="104"/>
      <c r="BI74" s="104"/>
      <c r="BJ74" s="104"/>
      <c r="BK74" s="104"/>
      <c r="BL74" s="104"/>
      <c r="BM74" s="104"/>
      <c r="BN74" s="145"/>
      <c r="BO74" s="148">
        <f t="shared" si="35"/>
        <v>0</v>
      </c>
      <c r="BP74" s="105"/>
      <c r="BQ74" s="105"/>
      <c r="BR74" s="105"/>
      <c r="BS74" s="71" t="e">
        <f t="shared" si="44"/>
        <v>#DIV/0!</v>
      </c>
      <c r="BT74" s="71" t="e">
        <f t="shared" si="45"/>
        <v>#DIV/0!</v>
      </c>
      <c r="BU74" s="71">
        <f t="shared" si="46"/>
        <v>0</v>
      </c>
      <c r="BV74" s="15">
        <f t="shared" si="39"/>
        <v>1</v>
      </c>
      <c r="BW74" s="15" t="str">
        <f t="shared" si="40"/>
        <v>тўғри</v>
      </c>
      <c r="BX74" s="71">
        <f t="shared" si="41"/>
        <v>0</v>
      </c>
      <c r="BY74" s="15">
        <f t="shared" si="42"/>
        <v>1</v>
      </c>
      <c r="BZ74" s="15" t="str">
        <f t="shared" si="43"/>
        <v>тўғри</v>
      </c>
    </row>
    <row r="75" spans="1:78" ht="14.25" customHeight="1" x14ac:dyDescent="0.25">
      <c r="A75" s="71">
        <v>2</v>
      </c>
      <c r="B75" s="104" t="s">
        <v>217</v>
      </c>
      <c r="C75" s="104"/>
      <c r="D75" s="149" t="s">
        <v>139</v>
      </c>
      <c r="E75" s="149"/>
      <c r="F75" s="149"/>
      <c r="G75" s="149"/>
      <c r="H75" s="149"/>
      <c r="I75" s="149"/>
      <c r="J75" s="149"/>
      <c r="K75" s="149"/>
      <c r="L75" s="149"/>
      <c r="M75" s="149"/>
      <c r="N75" s="149"/>
      <c r="O75" s="150"/>
      <c r="P75" s="144"/>
      <c r="Q75" s="106"/>
      <c r="R75" s="106"/>
      <c r="S75" s="131"/>
      <c r="T75" s="131"/>
      <c r="U75" s="151"/>
      <c r="V75" s="152"/>
      <c r="W75" s="106"/>
      <c r="X75" s="106"/>
      <c r="Y75" s="104"/>
      <c r="Z75" s="104"/>
      <c r="AA75" s="104"/>
      <c r="AB75" s="104"/>
      <c r="AC75" s="104"/>
      <c r="AD75" s="104"/>
      <c r="AE75" s="104"/>
      <c r="AF75" s="104"/>
      <c r="AG75" s="104"/>
      <c r="AH75" s="104"/>
      <c r="AI75" s="104"/>
      <c r="AJ75" s="104"/>
      <c r="AK75" s="106"/>
      <c r="AL75" s="106"/>
      <c r="AM75" s="106"/>
      <c r="AN75" s="104"/>
      <c r="AO75" s="104"/>
      <c r="AP75" s="145"/>
      <c r="AQ75" s="146"/>
      <c r="AR75" s="104"/>
      <c r="AS75" s="104"/>
      <c r="AT75" s="104"/>
      <c r="AU75" s="104"/>
      <c r="AV75" s="104"/>
      <c r="AW75" s="104"/>
      <c r="AX75" s="104"/>
      <c r="AY75" s="104"/>
      <c r="AZ75" s="104"/>
      <c r="BA75" s="104"/>
      <c r="BB75" s="145"/>
      <c r="BC75" s="146"/>
      <c r="BD75" s="104"/>
      <c r="BE75" s="104"/>
      <c r="BF75" s="104"/>
      <c r="BG75" s="104"/>
      <c r="BH75" s="104"/>
      <c r="BI75" s="104"/>
      <c r="BJ75" s="104"/>
      <c r="BK75" s="104"/>
      <c r="BL75" s="104"/>
      <c r="BM75" s="104"/>
      <c r="BN75" s="145"/>
      <c r="BO75" s="148">
        <f t="shared" si="35"/>
        <v>0</v>
      </c>
      <c r="BP75" s="105"/>
      <c r="BQ75" s="105"/>
      <c r="BR75" s="105"/>
      <c r="BS75" s="71" t="e">
        <f t="shared" si="44"/>
        <v>#DIV/0!</v>
      </c>
      <c r="BT75" s="71" t="e">
        <f t="shared" si="45"/>
        <v>#DIV/0!</v>
      </c>
      <c r="BU75" s="71">
        <f t="shared" si="46"/>
        <v>0</v>
      </c>
      <c r="BV75" s="15">
        <f t="shared" si="39"/>
        <v>1</v>
      </c>
      <c r="BW75" s="15" t="str">
        <f t="shared" si="40"/>
        <v>тўғри</v>
      </c>
      <c r="BX75" s="71">
        <f t="shared" si="41"/>
        <v>0</v>
      </c>
      <c r="BY75" s="15">
        <f t="shared" si="42"/>
        <v>1</v>
      </c>
      <c r="BZ75" s="15" t="str">
        <f t="shared" si="43"/>
        <v>тўғри</v>
      </c>
    </row>
    <row r="76" spans="1:78" ht="14.25" customHeight="1" x14ac:dyDescent="0.25">
      <c r="A76" s="85" t="s">
        <v>12</v>
      </c>
      <c r="B76" s="104"/>
      <c r="C76" s="104"/>
      <c r="D76" s="178" t="s">
        <v>131</v>
      </c>
      <c r="E76" s="178"/>
      <c r="F76" s="178"/>
      <c r="G76" s="178"/>
      <c r="H76" s="178"/>
      <c r="I76" s="178"/>
      <c r="J76" s="178"/>
      <c r="K76" s="178"/>
      <c r="L76" s="178"/>
      <c r="M76" s="178"/>
      <c r="N76" s="178"/>
      <c r="O76" s="179"/>
      <c r="P76" s="144">
        <f>SUM(V76+AN76)</f>
        <v>90</v>
      </c>
      <c r="Q76" s="106"/>
      <c r="R76" s="106"/>
      <c r="S76" s="131"/>
      <c r="T76" s="131"/>
      <c r="U76" s="151"/>
      <c r="V76" s="152">
        <f t="shared" ref="V76" si="49">SUM(AQ76+AT76+AW76+AZ76)*15</f>
        <v>30</v>
      </c>
      <c r="W76" s="106"/>
      <c r="X76" s="106"/>
      <c r="Y76" s="104">
        <v>10</v>
      </c>
      <c r="Z76" s="104"/>
      <c r="AA76" s="104"/>
      <c r="AB76" s="104">
        <v>10</v>
      </c>
      <c r="AC76" s="104"/>
      <c r="AD76" s="104"/>
      <c r="AE76" s="104"/>
      <c r="AF76" s="104"/>
      <c r="AG76" s="104"/>
      <c r="AH76" s="104">
        <v>10</v>
      </c>
      <c r="AI76" s="104"/>
      <c r="AJ76" s="104"/>
      <c r="AK76" s="106"/>
      <c r="AL76" s="106"/>
      <c r="AM76" s="106"/>
      <c r="AN76" s="104">
        <v>60</v>
      </c>
      <c r="AO76" s="104"/>
      <c r="AP76" s="145"/>
      <c r="AQ76" s="146"/>
      <c r="AR76" s="104"/>
      <c r="AS76" s="104"/>
      <c r="AT76" s="104"/>
      <c r="AU76" s="104"/>
      <c r="AV76" s="104"/>
      <c r="AW76" s="104">
        <v>2</v>
      </c>
      <c r="AX76" s="104"/>
      <c r="AY76" s="104"/>
      <c r="AZ76" s="104"/>
      <c r="BA76" s="104"/>
      <c r="BB76" s="145"/>
      <c r="BC76" s="146"/>
      <c r="BD76" s="104"/>
      <c r="BE76" s="104"/>
      <c r="BF76" s="104"/>
      <c r="BG76" s="104"/>
      <c r="BH76" s="104"/>
      <c r="BI76" s="104">
        <v>3</v>
      </c>
      <c r="BJ76" s="104"/>
      <c r="BK76" s="104"/>
      <c r="BL76" s="104"/>
      <c r="BM76" s="104"/>
      <c r="BN76" s="145"/>
      <c r="BO76" s="148">
        <f t="shared" si="35"/>
        <v>3</v>
      </c>
      <c r="BP76" s="105"/>
      <c r="BQ76" s="105"/>
      <c r="BR76" s="105"/>
      <c r="BS76" s="71">
        <f t="shared" si="44"/>
        <v>33.333333333333329</v>
      </c>
      <c r="BT76" s="71">
        <f t="shared" si="45"/>
        <v>66.666666666666657</v>
      </c>
      <c r="BU76" s="71">
        <f t="shared" si="46"/>
        <v>30</v>
      </c>
      <c r="BV76" s="15">
        <f t="shared" si="39"/>
        <v>1</v>
      </c>
      <c r="BW76" s="15" t="str">
        <f t="shared" si="40"/>
        <v>тўғри</v>
      </c>
      <c r="BX76" s="71">
        <f t="shared" si="41"/>
        <v>3</v>
      </c>
      <c r="BY76" s="15">
        <f t="shared" si="42"/>
        <v>1</v>
      </c>
      <c r="BZ76" s="15" t="str">
        <f t="shared" si="43"/>
        <v>тўғри</v>
      </c>
    </row>
    <row r="77" spans="1:78" ht="14.25" customHeight="1" x14ac:dyDescent="0.25">
      <c r="A77" s="71">
        <v>1</v>
      </c>
      <c r="B77" s="104" t="s">
        <v>32</v>
      </c>
      <c r="C77" s="104"/>
      <c r="D77" s="149" t="s">
        <v>247</v>
      </c>
      <c r="E77" s="149"/>
      <c r="F77" s="149"/>
      <c r="G77" s="149"/>
      <c r="H77" s="149"/>
      <c r="I77" s="149"/>
      <c r="J77" s="149"/>
      <c r="K77" s="149"/>
      <c r="L77" s="149"/>
      <c r="M77" s="149"/>
      <c r="N77" s="149"/>
      <c r="O77" s="150"/>
      <c r="P77" s="144"/>
      <c r="Q77" s="106"/>
      <c r="R77" s="106"/>
      <c r="S77" s="131"/>
      <c r="T77" s="131"/>
      <c r="U77" s="151"/>
      <c r="V77" s="152"/>
      <c r="W77" s="106"/>
      <c r="X77" s="106"/>
      <c r="Y77" s="104"/>
      <c r="Z77" s="104"/>
      <c r="AA77" s="104"/>
      <c r="AB77" s="104"/>
      <c r="AC77" s="104"/>
      <c r="AD77" s="104"/>
      <c r="AE77" s="104"/>
      <c r="AF77" s="104"/>
      <c r="AG77" s="104"/>
      <c r="AH77" s="104"/>
      <c r="AI77" s="104"/>
      <c r="AJ77" s="104"/>
      <c r="AK77" s="106"/>
      <c r="AL77" s="106"/>
      <c r="AM77" s="106"/>
      <c r="AN77" s="104"/>
      <c r="AO77" s="104"/>
      <c r="AP77" s="145"/>
      <c r="AQ77" s="146"/>
      <c r="AR77" s="104"/>
      <c r="AS77" s="104"/>
      <c r="AT77" s="104"/>
      <c r="AU77" s="104"/>
      <c r="AV77" s="104"/>
      <c r="AW77" s="104"/>
      <c r="AX77" s="104"/>
      <c r="AY77" s="104"/>
      <c r="AZ77" s="104"/>
      <c r="BA77" s="104"/>
      <c r="BB77" s="145"/>
      <c r="BC77" s="146"/>
      <c r="BD77" s="104"/>
      <c r="BE77" s="104"/>
      <c r="BF77" s="104"/>
      <c r="BG77" s="104"/>
      <c r="BH77" s="104"/>
      <c r="BI77" s="104"/>
      <c r="BJ77" s="104"/>
      <c r="BK77" s="104"/>
      <c r="BL77" s="104"/>
      <c r="BM77" s="104"/>
      <c r="BN77" s="145"/>
      <c r="BO77" s="148">
        <f t="shared" si="35"/>
        <v>0</v>
      </c>
      <c r="BP77" s="105"/>
      <c r="BQ77" s="105"/>
      <c r="BR77" s="105"/>
      <c r="BS77" s="71" t="e">
        <f t="shared" si="44"/>
        <v>#DIV/0!</v>
      </c>
      <c r="BT77" s="71" t="e">
        <f t="shared" si="45"/>
        <v>#DIV/0!</v>
      </c>
      <c r="BU77" s="71">
        <f t="shared" si="46"/>
        <v>0</v>
      </c>
      <c r="BV77" s="15">
        <f t="shared" si="39"/>
        <v>1</v>
      </c>
      <c r="BW77" s="15" t="str">
        <f t="shared" si="40"/>
        <v>тўғри</v>
      </c>
      <c r="BX77" s="71">
        <f t="shared" si="41"/>
        <v>0</v>
      </c>
      <c r="BY77" s="15">
        <f t="shared" si="42"/>
        <v>1</v>
      </c>
      <c r="BZ77" s="15" t="str">
        <f t="shared" si="43"/>
        <v>тўғри</v>
      </c>
    </row>
    <row r="78" spans="1:78" ht="14.25" customHeight="1" x14ac:dyDescent="0.25">
      <c r="A78" s="71">
        <v>2</v>
      </c>
      <c r="B78" s="104" t="s">
        <v>33</v>
      </c>
      <c r="C78" s="104"/>
      <c r="D78" s="149" t="s">
        <v>140</v>
      </c>
      <c r="E78" s="149"/>
      <c r="F78" s="149"/>
      <c r="G78" s="149"/>
      <c r="H78" s="149"/>
      <c r="I78" s="149"/>
      <c r="J78" s="149"/>
      <c r="K78" s="149"/>
      <c r="L78" s="149"/>
      <c r="M78" s="149"/>
      <c r="N78" s="149"/>
      <c r="O78" s="150"/>
      <c r="P78" s="144"/>
      <c r="Q78" s="106"/>
      <c r="R78" s="106"/>
      <c r="S78" s="131"/>
      <c r="T78" s="131"/>
      <c r="U78" s="151"/>
      <c r="V78" s="152"/>
      <c r="W78" s="106"/>
      <c r="X78" s="106"/>
      <c r="Y78" s="104"/>
      <c r="Z78" s="104"/>
      <c r="AA78" s="104"/>
      <c r="AB78" s="104"/>
      <c r="AC78" s="104"/>
      <c r="AD78" s="104"/>
      <c r="AE78" s="104"/>
      <c r="AF78" s="104"/>
      <c r="AG78" s="104"/>
      <c r="AH78" s="104"/>
      <c r="AI78" s="104"/>
      <c r="AJ78" s="104"/>
      <c r="AK78" s="106"/>
      <c r="AL78" s="106"/>
      <c r="AM78" s="106"/>
      <c r="AN78" s="104"/>
      <c r="AO78" s="104"/>
      <c r="AP78" s="145"/>
      <c r="AQ78" s="146"/>
      <c r="AR78" s="104"/>
      <c r="AS78" s="104"/>
      <c r="AT78" s="104"/>
      <c r="AU78" s="104"/>
      <c r="AV78" s="104"/>
      <c r="AW78" s="104"/>
      <c r="AX78" s="104"/>
      <c r="AY78" s="104"/>
      <c r="AZ78" s="104"/>
      <c r="BA78" s="104"/>
      <c r="BB78" s="145"/>
      <c r="BC78" s="146"/>
      <c r="BD78" s="104"/>
      <c r="BE78" s="104"/>
      <c r="BF78" s="104"/>
      <c r="BG78" s="104"/>
      <c r="BH78" s="104"/>
      <c r="BI78" s="104"/>
      <c r="BJ78" s="104"/>
      <c r="BK78" s="104"/>
      <c r="BL78" s="104"/>
      <c r="BM78" s="104"/>
      <c r="BN78" s="145"/>
      <c r="BO78" s="148">
        <f t="shared" si="35"/>
        <v>0</v>
      </c>
      <c r="BP78" s="105"/>
      <c r="BQ78" s="105"/>
      <c r="BR78" s="105"/>
      <c r="BS78" s="71" t="e">
        <f t="shared" si="44"/>
        <v>#DIV/0!</v>
      </c>
      <c r="BT78" s="71" t="e">
        <f t="shared" si="45"/>
        <v>#DIV/0!</v>
      </c>
      <c r="BU78" s="71">
        <f t="shared" si="46"/>
        <v>0</v>
      </c>
      <c r="BV78" s="15">
        <f t="shared" si="39"/>
        <v>1</v>
      </c>
      <c r="BW78" s="15" t="str">
        <f t="shared" si="40"/>
        <v>тўғри</v>
      </c>
      <c r="BX78" s="71">
        <f t="shared" si="41"/>
        <v>0</v>
      </c>
      <c r="BY78" s="15">
        <f t="shared" si="42"/>
        <v>1</v>
      </c>
      <c r="BZ78" s="15" t="str">
        <f t="shared" si="43"/>
        <v>тўғри</v>
      </c>
    </row>
    <row r="79" spans="1:78" ht="14.25" customHeight="1" x14ac:dyDescent="0.25">
      <c r="A79" s="71"/>
      <c r="B79" s="104"/>
      <c r="C79" s="104"/>
      <c r="D79" s="184" t="s">
        <v>133</v>
      </c>
      <c r="E79" s="184"/>
      <c r="F79" s="184"/>
      <c r="G79" s="184"/>
      <c r="H79" s="184"/>
      <c r="I79" s="184"/>
      <c r="J79" s="184"/>
      <c r="K79" s="184"/>
      <c r="L79" s="184"/>
      <c r="M79" s="184"/>
      <c r="N79" s="184"/>
      <c r="O79" s="185"/>
      <c r="P79" s="144">
        <f>SUM(V79+AN79)</f>
        <v>1800</v>
      </c>
      <c r="Q79" s="106"/>
      <c r="R79" s="106"/>
      <c r="S79" s="131">
        <f>P79/3600*100</f>
        <v>50</v>
      </c>
      <c r="T79" s="131"/>
      <c r="U79" s="151"/>
      <c r="V79" s="152">
        <f t="shared" ref="V79" si="50">SUM(AQ79+AT79+AW79+AZ79)*15</f>
        <v>690</v>
      </c>
      <c r="W79" s="106"/>
      <c r="X79" s="106"/>
      <c r="Y79" s="106">
        <f>SUM(Y69+Y57)</f>
        <v>166</v>
      </c>
      <c r="Z79" s="106"/>
      <c r="AA79" s="106"/>
      <c r="AB79" s="106">
        <f>SUM(AB69+AB57)</f>
        <v>242</v>
      </c>
      <c r="AC79" s="106"/>
      <c r="AD79" s="106"/>
      <c r="AE79" s="106">
        <f>SUM(AE69+AE57)</f>
        <v>210</v>
      </c>
      <c r="AF79" s="106"/>
      <c r="AG79" s="106"/>
      <c r="AH79" s="106">
        <f>SUM(AH69+AH57)</f>
        <v>72</v>
      </c>
      <c r="AI79" s="106"/>
      <c r="AJ79" s="106"/>
      <c r="AK79" s="106"/>
      <c r="AL79" s="106"/>
      <c r="AM79" s="106"/>
      <c r="AN79" s="106">
        <f>SUM(AN69+AN57)</f>
        <v>1110</v>
      </c>
      <c r="AO79" s="106"/>
      <c r="AP79" s="147"/>
      <c r="AQ79" s="144">
        <f>SUM(AQ69+AQ57)</f>
        <v>18</v>
      </c>
      <c r="AR79" s="106"/>
      <c r="AS79" s="106"/>
      <c r="AT79" s="106">
        <f>SUM(AT69+AT57)</f>
        <v>10</v>
      </c>
      <c r="AU79" s="106"/>
      <c r="AV79" s="106"/>
      <c r="AW79" s="106">
        <f>SUM(AW69+AW57)</f>
        <v>12</v>
      </c>
      <c r="AX79" s="106"/>
      <c r="AY79" s="106"/>
      <c r="AZ79" s="106">
        <f>SUM(AZ69+AZ57)</f>
        <v>6</v>
      </c>
      <c r="BA79" s="106"/>
      <c r="BB79" s="147"/>
      <c r="BC79" s="144">
        <f>SUM(BC69+BC57)</f>
        <v>24</v>
      </c>
      <c r="BD79" s="106"/>
      <c r="BE79" s="106"/>
      <c r="BF79" s="106">
        <f>SUM(BF69+BF57)</f>
        <v>13</v>
      </c>
      <c r="BG79" s="106"/>
      <c r="BH79" s="106"/>
      <c r="BI79" s="106">
        <f>SUM(BI69+BI57)</f>
        <v>15</v>
      </c>
      <c r="BJ79" s="106"/>
      <c r="BK79" s="106"/>
      <c r="BL79" s="106">
        <f>SUM(BL69+BL57)</f>
        <v>8</v>
      </c>
      <c r="BM79" s="106"/>
      <c r="BN79" s="147"/>
      <c r="BO79" s="148">
        <f>SUM(P79/30)</f>
        <v>60</v>
      </c>
      <c r="BP79" s="105"/>
      <c r="BQ79" s="105"/>
      <c r="BR79" s="105"/>
      <c r="BS79" s="71">
        <f t="shared" si="36"/>
        <v>38.333333333333336</v>
      </c>
      <c r="BT79" s="71">
        <f t="shared" si="37"/>
        <v>61.666666666666671</v>
      </c>
      <c r="BU79" s="71">
        <f t="shared" si="38"/>
        <v>690</v>
      </c>
      <c r="BV79" s="15">
        <f t="shared" si="39"/>
        <v>1</v>
      </c>
      <c r="BW79" s="15" t="str">
        <f t="shared" si="40"/>
        <v>тўғри</v>
      </c>
      <c r="BX79" s="71">
        <f t="shared" si="41"/>
        <v>60</v>
      </c>
      <c r="BY79" s="15">
        <f t="shared" si="42"/>
        <v>1</v>
      </c>
      <c r="BZ79" s="15" t="str">
        <f>IF(BY79=1,"тўғри","хато")</f>
        <v>тўғри</v>
      </c>
    </row>
    <row r="80" spans="1:78" ht="14.25" customHeight="1" x14ac:dyDescent="0.25">
      <c r="A80" s="72" t="s">
        <v>49</v>
      </c>
      <c r="B80" s="104"/>
      <c r="C80" s="104"/>
      <c r="D80" s="182" t="s">
        <v>132</v>
      </c>
      <c r="E80" s="182"/>
      <c r="F80" s="182"/>
      <c r="G80" s="182"/>
      <c r="H80" s="182"/>
      <c r="I80" s="182"/>
      <c r="J80" s="182"/>
      <c r="K80" s="182"/>
      <c r="L80" s="182"/>
      <c r="M80" s="182"/>
      <c r="N80" s="182"/>
      <c r="O80" s="183"/>
      <c r="P80" s="144">
        <f>SUM(V80+AN80)</f>
        <v>1800</v>
      </c>
      <c r="Q80" s="106"/>
      <c r="R80" s="106"/>
      <c r="S80" s="131">
        <f>P80/3600*100</f>
        <v>50</v>
      </c>
      <c r="T80" s="131"/>
      <c r="U80" s="151"/>
      <c r="V80" s="152">
        <f>SUM(V81:X83)</f>
        <v>750</v>
      </c>
      <c r="W80" s="106"/>
      <c r="X80" s="106"/>
      <c r="Y80" s="106"/>
      <c r="Z80" s="106"/>
      <c r="AA80" s="106"/>
      <c r="AB80" s="106"/>
      <c r="AC80" s="106"/>
      <c r="AD80" s="106"/>
      <c r="AE80" s="106"/>
      <c r="AF80" s="106"/>
      <c r="AG80" s="106"/>
      <c r="AH80" s="106"/>
      <c r="AI80" s="106"/>
      <c r="AJ80" s="106"/>
      <c r="AK80" s="106"/>
      <c r="AL80" s="106"/>
      <c r="AM80" s="106"/>
      <c r="AN80" s="106">
        <f>SUM(AN81:AP83)</f>
        <v>1050</v>
      </c>
      <c r="AO80" s="106"/>
      <c r="AP80" s="147"/>
      <c r="AQ80" s="144">
        <f>SUM(AQ81:AS83)</f>
        <v>6</v>
      </c>
      <c r="AR80" s="106"/>
      <c r="AS80" s="106"/>
      <c r="AT80" s="106">
        <f>SUM(AT81:AV83)</f>
        <v>14</v>
      </c>
      <c r="AU80" s="106"/>
      <c r="AV80" s="106"/>
      <c r="AW80" s="106">
        <f>SUM(AW81:AY83)</f>
        <v>12</v>
      </c>
      <c r="AX80" s="106"/>
      <c r="AY80" s="106"/>
      <c r="AZ80" s="106">
        <f>SUM(AZ81:BB83)</f>
        <v>18</v>
      </c>
      <c r="BA80" s="106"/>
      <c r="BB80" s="147"/>
      <c r="BC80" s="144">
        <f>SUM(BC81:BE83)</f>
        <v>6</v>
      </c>
      <c r="BD80" s="106"/>
      <c r="BE80" s="106"/>
      <c r="BF80" s="106">
        <f>SUM(BF81:BH83)</f>
        <v>17</v>
      </c>
      <c r="BG80" s="106"/>
      <c r="BH80" s="106"/>
      <c r="BI80" s="106">
        <f>SUM(BI81:BK83)</f>
        <v>15</v>
      </c>
      <c r="BJ80" s="106"/>
      <c r="BK80" s="106"/>
      <c r="BL80" s="106">
        <f>SUM(BL81:BN83)</f>
        <v>22</v>
      </c>
      <c r="BM80" s="106"/>
      <c r="BN80" s="147"/>
      <c r="BO80" s="148">
        <f>SUM(P80/30)</f>
        <v>60</v>
      </c>
      <c r="BP80" s="105"/>
      <c r="BQ80" s="105"/>
      <c r="BR80" s="105"/>
      <c r="BS80" s="71">
        <f t="shared" si="36"/>
        <v>41.666666666666671</v>
      </c>
      <c r="BT80" s="71">
        <f t="shared" si="37"/>
        <v>58.333333333333336</v>
      </c>
      <c r="BU80" s="71"/>
      <c r="BV80" s="15"/>
      <c r="BW80" s="15"/>
      <c r="BX80" s="71">
        <f>SUM(BC80:BN80)</f>
        <v>60</v>
      </c>
      <c r="BY80" s="15">
        <f t="shared" si="42"/>
        <v>1</v>
      </c>
      <c r="BZ80" s="15" t="str">
        <f t="shared" ref="BZ80:BZ82" si="51">IF(BY80=1,"тўғри","хато")</f>
        <v>тўғри</v>
      </c>
    </row>
    <row r="81" spans="1:78" ht="28.5" customHeight="1" x14ac:dyDescent="0.25">
      <c r="A81" s="14" t="s">
        <v>50</v>
      </c>
      <c r="B81" s="104"/>
      <c r="C81" s="104"/>
      <c r="D81" s="180" t="s">
        <v>99</v>
      </c>
      <c r="E81" s="180"/>
      <c r="F81" s="180"/>
      <c r="G81" s="180"/>
      <c r="H81" s="180"/>
      <c r="I81" s="180"/>
      <c r="J81" s="180"/>
      <c r="K81" s="180"/>
      <c r="L81" s="180"/>
      <c r="M81" s="180"/>
      <c r="N81" s="180"/>
      <c r="O81" s="181"/>
      <c r="P81" s="144">
        <f>SUM(V81+AN81)</f>
        <v>1080</v>
      </c>
      <c r="Q81" s="106"/>
      <c r="R81" s="106"/>
      <c r="S81" s="106"/>
      <c r="T81" s="106"/>
      <c r="U81" s="147"/>
      <c r="V81" s="152">
        <f t="shared" ref="V81:V83" si="52">SUM(AQ81+AT81+AW81+AZ81)*15</f>
        <v>480</v>
      </c>
      <c r="W81" s="106"/>
      <c r="X81" s="106"/>
      <c r="Y81" s="106"/>
      <c r="Z81" s="106"/>
      <c r="AA81" s="106"/>
      <c r="AB81" s="106"/>
      <c r="AC81" s="106"/>
      <c r="AD81" s="106"/>
      <c r="AE81" s="106"/>
      <c r="AF81" s="106"/>
      <c r="AG81" s="106"/>
      <c r="AH81" s="106"/>
      <c r="AI81" s="106"/>
      <c r="AJ81" s="106"/>
      <c r="AK81" s="106"/>
      <c r="AL81" s="106"/>
      <c r="AM81" s="106"/>
      <c r="AN81" s="104">
        <v>600</v>
      </c>
      <c r="AO81" s="104"/>
      <c r="AP81" s="145"/>
      <c r="AQ81" s="146">
        <v>4</v>
      </c>
      <c r="AR81" s="104"/>
      <c r="AS81" s="104"/>
      <c r="AT81" s="104">
        <v>6</v>
      </c>
      <c r="AU81" s="104"/>
      <c r="AV81" s="104"/>
      <c r="AW81" s="104">
        <v>10</v>
      </c>
      <c r="AX81" s="104"/>
      <c r="AY81" s="104"/>
      <c r="AZ81" s="104">
        <v>12</v>
      </c>
      <c r="BA81" s="104"/>
      <c r="BB81" s="145"/>
      <c r="BC81" s="146">
        <v>4</v>
      </c>
      <c r="BD81" s="104"/>
      <c r="BE81" s="104"/>
      <c r="BF81" s="104">
        <v>6</v>
      </c>
      <c r="BG81" s="104"/>
      <c r="BH81" s="104"/>
      <c r="BI81" s="104">
        <v>12</v>
      </c>
      <c r="BJ81" s="104"/>
      <c r="BK81" s="104"/>
      <c r="BL81" s="104">
        <v>14</v>
      </c>
      <c r="BM81" s="104"/>
      <c r="BN81" s="145"/>
      <c r="BO81" s="148">
        <f t="shared" ref="BO81:BO83" si="53">SUM(P81/30)</f>
        <v>36</v>
      </c>
      <c r="BP81" s="105"/>
      <c r="BQ81" s="105"/>
      <c r="BR81" s="105"/>
      <c r="BS81" s="71">
        <f t="shared" ref="BS81:BS83" si="54">SUM(V81/P81)*100</f>
        <v>44.444444444444443</v>
      </c>
      <c r="BT81" s="71">
        <f t="shared" ref="BT81:BT83" si="55">SUM(AN81/P81)*100</f>
        <v>55.555555555555557</v>
      </c>
      <c r="BU81" s="71"/>
      <c r="BV81" s="15"/>
      <c r="BW81" s="15" t="str">
        <f>IF(BV81=1,"тўғри","хато")</f>
        <v>хато</v>
      </c>
      <c r="BX81" s="71">
        <f>SUM(BC81:BN81)</f>
        <v>36</v>
      </c>
      <c r="BY81" s="15">
        <f t="shared" si="42"/>
        <v>1</v>
      </c>
      <c r="BZ81" s="15" t="str">
        <f t="shared" si="51"/>
        <v>тўғри</v>
      </c>
    </row>
    <row r="82" spans="1:78" ht="14.25" customHeight="1" x14ac:dyDescent="0.25">
      <c r="A82" s="14" t="s">
        <v>51</v>
      </c>
      <c r="B82" s="104"/>
      <c r="C82" s="104"/>
      <c r="D82" s="149" t="s">
        <v>134</v>
      </c>
      <c r="E82" s="149"/>
      <c r="F82" s="149"/>
      <c r="G82" s="149"/>
      <c r="H82" s="149"/>
      <c r="I82" s="149"/>
      <c r="J82" s="149"/>
      <c r="K82" s="149"/>
      <c r="L82" s="149"/>
      <c r="M82" s="149"/>
      <c r="N82" s="149"/>
      <c r="O82" s="150"/>
      <c r="P82" s="144">
        <f t="shared" ref="P82:P83" si="56">SUM(V82+AN82)</f>
        <v>240</v>
      </c>
      <c r="Q82" s="106"/>
      <c r="R82" s="106"/>
      <c r="S82" s="106"/>
      <c r="T82" s="106"/>
      <c r="U82" s="147"/>
      <c r="V82" s="152">
        <f t="shared" si="52"/>
        <v>90</v>
      </c>
      <c r="W82" s="106"/>
      <c r="X82" s="106"/>
      <c r="Y82" s="106"/>
      <c r="Z82" s="106"/>
      <c r="AA82" s="106"/>
      <c r="AB82" s="106"/>
      <c r="AC82" s="106"/>
      <c r="AD82" s="106"/>
      <c r="AE82" s="106"/>
      <c r="AF82" s="106"/>
      <c r="AG82" s="106"/>
      <c r="AH82" s="106"/>
      <c r="AI82" s="106"/>
      <c r="AJ82" s="106"/>
      <c r="AK82" s="106"/>
      <c r="AL82" s="106"/>
      <c r="AM82" s="106"/>
      <c r="AN82" s="104">
        <v>150</v>
      </c>
      <c r="AO82" s="104"/>
      <c r="AP82" s="145"/>
      <c r="AQ82" s="146">
        <v>2</v>
      </c>
      <c r="AR82" s="104"/>
      <c r="AS82" s="104"/>
      <c r="AT82" s="104">
        <v>2</v>
      </c>
      <c r="AU82" s="104"/>
      <c r="AV82" s="104"/>
      <c r="AW82" s="104">
        <v>2</v>
      </c>
      <c r="AX82" s="104"/>
      <c r="AY82" s="104"/>
      <c r="AZ82" s="104"/>
      <c r="BA82" s="104"/>
      <c r="BB82" s="145"/>
      <c r="BC82" s="146">
        <v>2</v>
      </c>
      <c r="BD82" s="104"/>
      <c r="BE82" s="104"/>
      <c r="BF82" s="104">
        <v>3</v>
      </c>
      <c r="BG82" s="104"/>
      <c r="BH82" s="104"/>
      <c r="BI82" s="104">
        <v>3</v>
      </c>
      <c r="BJ82" s="104"/>
      <c r="BK82" s="104"/>
      <c r="BL82" s="104"/>
      <c r="BM82" s="104"/>
      <c r="BN82" s="145"/>
      <c r="BO82" s="148">
        <f t="shared" si="53"/>
        <v>8</v>
      </c>
      <c r="BP82" s="105"/>
      <c r="BQ82" s="105"/>
      <c r="BR82" s="105"/>
      <c r="BS82" s="71">
        <f t="shared" si="54"/>
        <v>37.5</v>
      </c>
      <c r="BT82" s="71">
        <f t="shared" si="55"/>
        <v>62.5</v>
      </c>
      <c r="BU82" s="71"/>
      <c r="BV82" s="15"/>
      <c r="BW82" s="15" t="str">
        <f t="shared" ref="BW82:BW83" si="57">IF(BV82=1,"тўғри","хато")</f>
        <v>хато</v>
      </c>
      <c r="BX82" s="71">
        <f t="shared" ref="BX82:BX83" si="58">SUM(BC82:BN82)</f>
        <v>8</v>
      </c>
      <c r="BY82" s="15">
        <f t="shared" si="42"/>
        <v>1</v>
      </c>
      <c r="BZ82" s="15" t="str">
        <f t="shared" si="51"/>
        <v>тўғри</v>
      </c>
    </row>
    <row r="83" spans="1:78" ht="14.25" customHeight="1" x14ac:dyDescent="0.25">
      <c r="A83" s="14" t="s">
        <v>52</v>
      </c>
      <c r="B83" s="104"/>
      <c r="C83" s="104"/>
      <c r="D83" s="149" t="s">
        <v>135</v>
      </c>
      <c r="E83" s="149"/>
      <c r="F83" s="149"/>
      <c r="G83" s="149"/>
      <c r="H83" s="149"/>
      <c r="I83" s="149"/>
      <c r="J83" s="149"/>
      <c r="K83" s="149"/>
      <c r="L83" s="149"/>
      <c r="M83" s="149"/>
      <c r="N83" s="149"/>
      <c r="O83" s="150"/>
      <c r="P83" s="144">
        <f t="shared" si="56"/>
        <v>480</v>
      </c>
      <c r="Q83" s="106"/>
      <c r="R83" s="106"/>
      <c r="S83" s="106"/>
      <c r="T83" s="106"/>
      <c r="U83" s="147"/>
      <c r="V83" s="152">
        <f t="shared" si="52"/>
        <v>180</v>
      </c>
      <c r="W83" s="106"/>
      <c r="X83" s="106"/>
      <c r="Y83" s="106"/>
      <c r="Z83" s="106"/>
      <c r="AA83" s="106"/>
      <c r="AB83" s="106"/>
      <c r="AC83" s="106"/>
      <c r="AD83" s="106"/>
      <c r="AE83" s="106"/>
      <c r="AF83" s="106"/>
      <c r="AG83" s="106"/>
      <c r="AH83" s="106"/>
      <c r="AI83" s="106"/>
      <c r="AJ83" s="106"/>
      <c r="AK83" s="106"/>
      <c r="AL83" s="106"/>
      <c r="AM83" s="106"/>
      <c r="AN83" s="104">
        <v>300</v>
      </c>
      <c r="AO83" s="104"/>
      <c r="AP83" s="145"/>
      <c r="AQ83" s="146"/>
      <c r="AR83" s="104"/>
      <c r="AS83" s="104"/>
      <c r="AT83" s="104">
        <v>6</v>
      </c>
      <c r="AU83" s="104"/>
      <c r="AV83" s="104"/>
      <c r="AW83" s="104"/>
      <c r="AX83" s="104"/>
      <c r="AY83" s="104"/>
      <c r="AZ83" s="104">
        <v>6</v>
      </c>
      <c r="BA83" s="104"/>
      <c r="BB83" s="145"/>
      <c r="BC83" s="146"/>
      <c r="BD83" s="104"/>
      <c r="BE83" s="104"/>
      <c r="BF83" s="104">
        <v>8</v>
      </c>
      <c r="BG83" s="104"/>
      <c r="BH83" s="104"/>
      <c r="BI83" s="104"/>
      <c r="BJ83" s="104"/>
      <c r="BK83" s="104"/>
      <c r="BL83" s="104">
        <v>8</v>
      </c>
      <c r="BM83" s="104"/>
      <c r="BN83" s="145"/>
      <c r="BO83" s="148">
        <f t="shared" si="53"/>
        <v>16</v>
      </c>
      <c r="BP83" s="105"/>
      <c r="BQ83" s="105"/>
      <c r="BR83" s="105"/>
      <c r="BS83" s="71">
        <f t="shared" si="54"/>
        <v>37.5</v>
      </c>
      <c r="BT83" s="71">
        <f t="shared" si="55"/>
        <v>62.5</v>
      </c>
      <c r="BU83" s="71"/>
      <c r="BV83" s="15"/>
      <c r="BW83" s="15" t="str">
        <f t="shared" si="57"/>
        <v>хато</v>
      </c>
      <c r="BX83" s="71">
        <f t="shared" si="58"/>
        <v>16</v>
      </c>
      <c r="BY83" s="15">
        <f t="shared" si="42"/>
        <v>1</v>
      </c>
      <c r="BZ83" s="15" t="str">
        <f>IF(BY83=1,"тўғри","хато")</f>
        <v>тўғри</v>
      </c>
    </row>
    <row r="84" spans="1:78" ht="14.25" customHeight="1" x14ac:dyDescent="0.25">
      <c r="A84" s="71"/>
      <c r="B84" s="130"/>
      <c r="C84" s="130"/>
      <c r="D84" s="184" t="s">
        <v>133</v>
      </c>
      <c r="E84" s="184"/>
      <c r="F84" s="184"/>
      <c r="G84" s="184"/>
      <c r="H84" s="184"/>
      <c r="I84" s="184"/>
      <c r="J84" s="184"/>
      <c r="K84" s="184"/>
      <c r="L84" s="184"/>
      <c r="M84" s="184"/>
      <c r="N84" s="184"/>
      <c r="O84" s="185"/>
      <c r="P84" s="144">
        <f>SUM(P80,P79)</f>
        <v>3600</v>
      </c>
      <c r="Q84" s="106"/>
      <c r="R84" s="106"/>
      <c r="S84" s="131">
        <f>P84/3600*100</f>
        <v>100</v>
      </c>
      <c r="T84" s="131"/>
      <c r="U84" s="151"/>
      <c r="V84" s="152">
        <f>SUM(V80+V78)</f>
        <v>750</v>
      </c>
      <c r="W84" s="106"/>
      <c r="X84" s="106"/>
      <c r="Y84" s="106"/>
      <c r="Z84" s="106"/>
      <c r="AA84" s="106"/>
      <c r="AB84" s="106"/>
      <c r="AC84" s="106"/>
      <c r="AD84" s="106"/>
      <c r="AE84" s="106"/>
      <c r="AF84" s="106"/>
      <c r="AG84" s="106"/>
      <c r="AH84" s="106"/>
      <c r="AI84" s="106"/>
      <c r="AJ84" s="106"/>
      <c r="AK84" s="106"/>
      <c r="AL84" s="106"/>
      <c r="AM84" s="106"/>
      <c r="AN84" s="106">
        <f>SUM(AN80+AN79)</f>
        <v>2160</v>
      </c>
      <c r="AO84" s="106"/>
      <c r="AP84" s="147"/>
      <c r="AQ84" s="144">
        <f>SUM(AQ80+AQ79)</f>
        <v>24</v>
      </c>
      <c r="AR84" s="106"/>
      <c r="AS84" s="106"/>
      <c r="AT84" s="106">
        <f>SUM(AT80+AT79)</f>
        <v>24</v>
      </c>
      <c r="AU84" s="106"/>
      <c r="AV84" s="106"/>
      <c r="AW84" s="106">
        <f>SUM(AW80+AW79)</f>
        <v>24</v>
      </c>
      <c r="AX84" s="106"/>
      <c r="AY84" s="106"/>
      <c r="AZ84" s="106">
        <f>SUM(AZ80+AZ79)</f>
        <v>24</v>
      </c>
      <c r="BA84" s="106"/>
      <c r="BB84" s="147"/>
      <c r="BC84" s="144">
        <f>SUM(BC80+BC79)</f>
        <v>30</v>
      </c>
      <c r="BD84" s="106"/>
      <c r="BE84" s="106"/>
      <c r="BF84" s="106">
        <f>SUM(BF80+BF79)</f>
        <v>30</v>
      </c>
      <c r="BG84" s="106"/>
      <c r="BH84" s="106"/>
      <c r="BI84" s="106">
        <f>SUM(BI80+BI79)</f>
        <v>30</v>
      </c>
      <c r="BJ84" s="106"/>
      <c r="BK84" s="106"/>
      <c r="BL84" s="106">
        <f>SUM(BL80+BL79)</f>
        <v>30</v>
      </c>
      <c r="BM84" s="106"/>
      <c r="BN84" s="147"/>
      <c r="BO84" s="148">
        <f>SUM(P84/30)</f>
        <v>120</v>
      </c>
      <c r="BP84" s="105"/>
      <c r="BQ84" s="105"/>
      <c r="BR84" s="105"/>
      <c r="BS84" s="71">
        <f t="shared" ref="BS84" si="59">SUM(V84/P84)*100</f>
        <v>20.833333333333336</v>
      </c>
      <c r="BT84" s="71">
        <f t="shared" si="37"/>
        <v>60</v>
      </c>
      <c r="BU84" s="71"/>
      <c r="BV84" s="15"/>
      <c r="BW84" s="15"/>
      <c r="BX84" s="71">
        <f t="shared" si="41"/>
        <v>120</v>
      </c>
      <c r="BY84" s="15">
        <f t="shared" si="42"/>
        <v>1</v>
      </c>
      <c r="BZ84" s="15" t="str">
        <f t="shared" si="43"/>
        <v>тўғри</v>
      </c>
    </row>
    <row r="85" spans="1:78" ht="14.25" customHeight="1" x14ac:dyDescent="0.25">
      <c r="A85" s="1"/>
      <c r="B85" s="16"/>
      <c r="C85" s="16"/>
      <c r="D85" s="17"/>
      <c r="E85" s="17"/>
      <c r="F85" s="17"/>
      <c r="G85" s="17"/>
      <c r="H85" s="17"/>
      <c r="I85" s="17"/>
      <c r="J85" s="17"/>
      <c r="K85" s="17"/>
      <c r="L85" s="17"/>
      <c r="M85" s="17"/>
      <c r="N85" s="17"/>
      <c r="O85" s="17"/>
      <c r="P85" s="18"/>
      <c r="Q85" s="18"/>
      <c r="R85" s="18"/>
      <c r="S85" s="18"/>
      <c r="T85" s="18"/>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
      <c r="BC85" s="1"/>
      <c r="BD85" s="1"/>
      <c r="BE85" s="1"/>
      <c r="BF85" s="1"/>
      <c r="BG85" s="1"/>
      <c r="BH85" s="1"/>
      <c r="BI85" s="1"/>
      <c r="BJ85" s="1"/>
      <c r="BK85" s="1"/>
      <c r="BL85" s="1"/>
      <c r="BM85" s="1"/>
      <c r="BN85" s="1"/>
      <c r="BO85" s="20"/>
      <c r="BP85" s="20"/>
      <c r="BQ85" s="20"/>
      <c r="BR85" s="20"/>
    </row>
    <row r="86" spans="1:78" ht="14.25" customHeight="1" thickBot="1" x14ac:dyDescent="0.3">
      <c r="A86" s="1"/>
      <c r="B86" s="16"/>
      <c r="C86" s="16"/>
      <c r="D86" s="17"/>
      <c r="E86" s="17"/>
      <c r="F86" s="17"/>
      <c r="G86" s="17"/>
      <c r="H86" s="17"/>
      <c r="I86" s="17"/>
      <c r="J86" s="17"/>
      <c r="K86" s="17"/>
      <c r="L86" s="17"/>
      <c r="M86" s="17"/>
      <c r="N86" s="17"/>
      <c r="O86" s="17"/>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
      <c r="BC86" s="1"/>
      <c r="BD86" s="1"/>
      <c r="BE86" s="1"/>
      <c r="BF86" s="1"/>
      <c r="BG86" s="1"/>
      <c r="BH86" s="1"/>
      <c r="BI86" s="1"/>
      <c r="BJ86" s="1"/>
      <c r="BK86" s="1"/>
      <c r="BL86" s="1"/>
      <c r="BM86" s="1"/>
      <c r="BN86" s="1"/>
      <c r="BO86" s="20"/>
      <c r="BP86" s="20"/>
      <c r="BQ86" s="20"/>
      <c r="BR86" s="20"/>
    </row>
    <row r="87" spans="1:78" s="24" customFormat="1" ht="14.25" customHeight="1" x14ac:dyDescent="0.35">
      <c r="A87" s="21"/>
      <c r="B87" s="16"/>
      <c r="C87" s="16"/>
      <c r="D87" s="74"/>
      <c r="E87" s="74"/>
      <c r="F87" s="74"/>
      <c r="G87" s="74"/>
      <c r="H87" s="74"/>
      <c r="I87" s="74"/>
      <c r="J87" s="74"/>
      <c r="K87" s="74"/>
      <c r="L87" s="74"/>
      <c r="M87" s="74"/>
      <c r="N87" s="74"/>
      <c r="O87" s="74"/>
      <c r="P87" s="22"/>
      <c r="Q87" s="22"/>
      <c r="R87" s="22"/>
      <c r="S87" s="22"/>
      <c r="T87" s="22"/>
      <c r="U87" s="22"/>
      <c r="V87" s="191" t="s">
        <v>129</v>
      </c>
      <c r="W87" s="192"/>
      <c r="X87" s="192"/>
      <c r="Y87" s="192"/>
      <c r="Z87" s="192"/>
      <c r="AA87" s="192"/>
      <c r="AB87" s="192"/>
      <c r="AC87" s="192"/>
      <c r="AD87" s="192"/>
      <c r="AE87" s="192"/>
      <c r="AF87" s="192"/>
      <c r="AG87" s="192"/>
      <c r="AH87" s="192"/>
      <c r="AI87" s="192"/>
      <c r="AJ87" s="192"/>
      <c r="AK87" s="192"/>
      <c r="AL87" s="192"/>
      <c r="AM87" s="192"/>
      <c r="AN87" s="192"/>
      <c r="AO87" s="192"/>
      <c r="AP87" s="192"/>
      <c r="AQ87" s="192"/>
      <c r="AR87" s="192"/>
      <c r="AS87" s="192"/>
      <c r="AT87" s="192"/>
      <c r="AU87" s="192"/>
      <c r="AV87" s="192"/>
      <c r="AW87" s="192"/>
      <c r="AX87" s="192"/>
      <c r="AY87" s="192"/>
      <c r="AZ87" s="193"/>
      <c r="BA87" s="22"/>
      <c r="BB87" s="22"/>
      <c r="BC87" s="22"/>
      <c r="BD87" s="22"/>
      <c r="BE87" s="22"/>
      <c r="BF87" s="22"/>
      <c r="BG87" s="22"/>
      <c r="BH87" s="22"/>
      <c r="BI87" s="22"/>
      <c r="BJ87" s="22"/>
      <c r="BK87" s="22"/>
      <c r="BL87" s="22"/>
      <c r="BM87" s="22"/>
      <c r="BN87" s="22"/>
      <c r="BO87" s="23"/>
      <c r="BP87" s="23"/>
      <c r="BQ87" s="23"/>
      <c r="BR87" s="23"/>
      <c r="BS87" s="1"/>
      <c r="BT87" s="1"/>
      <c r="BU87" s="1"/>
      <c r="BV87" s="1"/>
      <c r="BW87" s="1"/>
      <c r="BX87" s="1"/>
      <c r="BY87" s="1"/>
      <c r="BZ87" s="1"/>
    </row>
    <row r="88" spans="1:78" s="24" customFormat="1" ht="14.25" customHeight="1" x14ac:dyDescent="0.35">
      <c r="A88" s="21"/>
      <c r="B88" s="16"/>
      <c r="C88" s="16"/>
      <c r="D88" s="74"/>
      <c r="E88" s="74"/>
      <c r="F88" s="74"/>
      <c r="G88" s="74"/>
      <c r="H88" s="74"/>
      <c r="I88" s="74"/>
      <c r="J88" s="74"/>
      <c r="K88" s="74"/>
      <c r="L88" s="74"/>
      <c r="M88" s="74"/>
      <c r="N88" s="74"/>
      <c r="O88" s="74"/>
      <c r="P88" s="22"/>
      <c r="Q88" s="22"/>
      <c r="R88" s="22"/>
      <c r="S88" s="22"/>
      <c r="T88" s="22"/>
      <c r="U88" s="22"/>
      <c r="V88" s="194"/>
      <c r="W88" s="195"/>
      <c r="X88" s="195"/>
      <c r="Y88" s="195"/>
      <c r="Z88" s="195"/>
      <c r="AA88" s="195"/>
      <c r="AB88" s="195"/>
      <c r="AC88" s="195"/>
      <c r="AD88" s="195"/>
      <c r="AE88" s="195"/>
      <c r="AF88" s="195"/>
      <c r="AG88" s="195"/>
      <c r="AH88" s="195"/>
      <c r="AI88" s="195"/>
      <c r="AJ88" s="195"/>
      <c r="AK88" s="195"/>
      <c r="AL88" s="195"/>
      <c r="AM88" s="195"/>
      <c r="AN88" s="195"/>
      <c r="AO88" s="195"/>
      <c r="AP88" s="195"/>
      <c r="AQ88" s="195"/>
      <c r="AR88" s="195"/>
      <c r="AS88" s="195"/>
      <c r="AT88" s="195"/>
      <c r="AU88" s="195"/>
      <c r="AV88" s="195"/>
      <c r="AW88" s="195"/>
      <c r="AX88" s="195"/>
      <c r="AY88" s="195"/>
      <c r="AZ88" s="196"/>
      <c r="BA88" s="22"/>
      <c r="BB88" s="22"/>
      <c r="BC88" s="22"/>
      <c r="BD88" s="22"/>
      <c r="BE88" s="22"/>
      <c r="BF88" s="22"/>
      <c r="BG88" s="22"/>
      <c r="BH88" s="22"/>
      <c r="BI88" s="22"/>
      <c r="BJ88" s="22"/>
      <c r="BK88" s="22"/>
      <c r="BL88" s="22"/>
      <c r="BM88" s="22"/>
      <c r="BN88" s="22"/>
      <c r="BO88" s="23"/>
      <c r="BP88" s="23"/>
      <c r="BQ88" s="23"/>
      <c r="BR88" s="23"/>
      <c r="BS88" s="1"/>
      <c r="BT88" s="1"/>
      <c r="BU88" s="1"/>
      <c r="BV88" s="1"/>
      <c r="BW88" s="1"/>
      <c r="BX88" s="1"/>
      <c r="BY88" s="1"/>
      <c r="BZ88" s="1"/>
    </row>
    <row r="89" spans="1:78" s="24" customFormat="1" ht="14.25" customHeight="1" x14ac:dyDescent="0.35">
      <c r="A89" s="21"/>
      <c r="B89" s="16"/>
      <c r="C89" s="16"/>
      <c r="D89" s="74"/>
      <c r="E89" s="74"/>
      <c r="F89" s="74"/>
      <c r="G89" s="74"/>
      <c r="H89" s="74"/>
      <c r="I89" s="74"/>
      <c r="J89" s="74"/>
      <c r="K89" s="74"/>
      <c r="L89" s="74"/>
      <c r="M89" s="74"/>
      <c r="N89" s="74"/>
      <c r="O89" s="74"/>
      <c r="P89" s="22"/>
      <c r="Q89" s="22"/>
      <c r="R89" s="22"/>
      <c r="S89" s="22"/>
      <c r="T89" s="22"/>
      <c r="U89" s="22"/>
      <c r="V89" s="197" t="s">
        <v>141</v>
      </c>
      <c r="W89" s="198"/>
      <c r="X89" s="198"/>
      <c r="Y89" s="198"/>
      <c r="Z89" s="198"/>
      <c r="AA89" s="198"/>
      <c r="AB89" s="198"/>
      <c r="AC89" s="198"/>
      <c r="AD89" s="198"/>
      <c r="AE89" s="198"/>
      <c r="AF89" s="198"/>
      <c r="AG89" s="198"/>
      <c r="AH89" s="198"/>
      <c r="AI89" s="198"/>
      <c r="AJ89" s="198"/>
      <c r="AK89" s="198"/>
      <c r="AL89" s="198"/>
      <c r="AM89" s="198"/>
      <c r="AN89" s="198"/>
      <c r="AO89" s="198"/>
      <c r="AP89" s="198"/>
      <c r="AQ89" s="198"/>
      <c r="AR89" s="198"/>
      <c r="AS89" s="198"/>
      <c r="AT89" s="198"/>
      <c r="AU89" s="198"/>
      <c r="AV89" s="198"/>
      <c r="AW89" s="198"/>
      <c r="AX89" s="198"/>
      <c r="AY89" s="198"/>
      <c r="AZ89" s="199"/>
      <c r="BA89" s="22"/>
      <c r="BB89" s="22"/>
      <c r="BC89" s="22"/>
      <c r="BD89" s="22"/>
      <c r="BE89" s="22"/>
      <c r="BF89" s="22"/>
      <c r="BG89" s="22"/>
      <c r="BH89" s="22"/>
      <c r="BI89" s="22"/>
      <c r="BJ89" s="22"/>
      <c r="BK89" s="22"/>
      <c r="BL89" s="22"/>
      <c r="BM89" s="22"/>
      <c r="BN89" s="22"/>
      <c r="BO89" s="23"/>
      <c r="BP89" s="23"/>
      <c r="BQ89" s="23"/>
      <c r="BR89" s="23"/>
      <c r="BS89" s="1"/>
      <c r="BT89" s="1"/>
      <c r="BU89" s="1"/>
      <c r="BV89" s="1"/>
      <c r="BW89" s="1"/>
      <c r="BX89" s="1"/>
      <c r="BY89" s="1"/>
      <c r="BZ89" s="1"/>
    </row>
    <row r="90" spans="1:78" ht="14.25" customHeight="1" thickBot="1" x14ac:dyDescent="0.3">
      <c r="A90" s="1"/>
      <c r="B90" s="16"/>
      <c r="C90" s="16"/>
      <c r="D90" s="18"/>
      <c r="E90" s="18"/>
      <c r="F90" s="18"/>
      <c r="G90" s="18"/>
      <c r="H90" s="18"/>
      <c r="I90" s="18"/>
      <c r="J90" s="18"/>
      <c r="K90" s="18"/>
      <c r="L90" s="18"/>
      <c r="M90" s="18"/>
      <c r="N90" s="18"/>
      <c r="O90" s="18"/>
      <c r="P90" s="25"/>
      <c r="Q90" s="25"/>
      <c r="R90" s="25"/>
      <c r="S90" s="25"/>
      <c r="T90" s="25"/>
      <c r="U90" s="25"/>
      <c r="V90" s="200"/>
      <c r="W90" s="201"/>
      <c r="X90" s="201"/>
      <c r="Y90" s="201"/>
      <c r="Z90" s="201"/>
      <c r="AA90" s="201"/>
      <c r="AB90" s="201"/>
      <c r="AC90" s="201"/>
      <c r="AD90" s="201"/>
      <c r="AE90" s="201"/>
      <c r="AF90" s="201"/>
      <c r="AG90" s="201"/>
      <c r="AH90" s="201"/>
      <c r="AI90" s="201"/>
      <c r="AJ90" s="201"/>
      <c r="AK90" s="201"/>
      <c r="AL90" s="201"/>
      <c r="AM90" s="201"/>
      <c r="AN90" s="201"/>
      <c r="AO90" s="201"/>
      <c r="AP90" s="201"/>
      <c r="AQ90" s="201"/>
      <c r="AR90" s="201"/>
      <c r="AS90" s="201"/>
      <c r="AT90" s="201"/>
      <c r="AU90" s="201"/>
      <c r="AV90" s="201"/>
      <c r="AW90" s="201"/>
      <c r="AX90" s="201"/>
      <c r="AY90" s="201"/>
      <c r="AZ90" s="202"/>
      <c r="BA90" s="25"/>
      <c r="BB90" s="25"/>
      <c r="BC90" s="25"/>
      <c r="BD90" s="25"/>
      <c r="BE90" s="25"/>
      <c r="BF90" s="25"/>
      <c r="BG90" s="25"/>
      <c r="BH90" s="25"/>
      <c r="BI90" s="25"/>
      <c r="BJ90" s="25"/>
      <c r="BK90" s="25"/>
      <c r="BL90" s="25"/>
      <c r="BM90" s="25"/>
      <c r="BN90" s="25"/>
      <c r="BO90" s="26"/>
      <c r="BP90" s="26"/>
      <c r="BQ90" s="26"/>
      <c r="BR90" s="26"/>
    </row>
    <row r="91" spans="1:78" ht="14.25" customHeight="1" x14ac:dyDescent="0.25">
      <c r="A91" s="1"/>
      <c r="B91" s="16"/>
      <c r="C91" s="16"/>
      <c r="D91" s="18"/>
      <c r="E91" s="18"/>
      <c r="F91" s="18"/>
      <c r="G91" s="18"/>
      <c r="H91" s="18"/>
      <c r="I91" s="18"/>
      <c r="J91" s="18"/>
      <c r="K91" s="18"/>
      <c r="L91" s="18"/>
      <c r="M91" s="18"/>
      <c r="N91" s="18"/>
      <c r="O91" s="18"/>
      <c r="P91" s="25"/>
      <c r="Q91" s="25"/>
      <c r="R91" s="25"/>
      <c r="S91" s="25"/>
      <c r="T91" s="25"/>
      <c r="U91" s="25"/>
      <c r="V91" s="80"/>
      <c r="W91" s="80"/>
      <c r="X91" s="80"/>
      <c r="Y91" s="80"/>
      <c r="Z91" s="80"/>
      <c r="AA91" s="80"/>
      <c r="AB91" s="80"/>
      <c r="AC91" s="80"/>
      <c r="AD91" s="80"/>
      <c r="AE91" s="80"/>
      <c r="AF91" s="80"/>
      <c r="AG91" s="80"/>
      <c r="AH91" s="80"/>
      <c r="AI91" s="80"/>
      <c r="AJ91" s="80"/>
      <c r="AK91" s="80"/>
      <c r="AL91" s="80"/>
      <c r="AM91" s="80"/>
      <c r="AN91" s="80"/>
      <c r="AO91" s="80"/>
      <c r="AP91" s="80"/>
      <c r="AQ91" s="80"/>
      <c r="AR91" s="80"/>
      <c r="AS91" s="80"/>
      <c r="AT91" s="80"/>
      <c r="AU91" s="80"/>
      <c r="AV91" s="80"/>
      <c r="AW91" s="80"/>
      <c r="AX91" s="80"/>
      <c r="AY91" s="80"/>
      <c r="AZ91" s="80"/>
      <c r="BA91" s="25"/>
      <c r="BB91" s="25"/>
      <c r="BC91" s="25"/>
      <c r="BD91" s="25"/>
      <c r="BE91" s="25"/>
      <c r="BF91" s="25"/>
      <c r="BG91" s="25"/>
      <c r="BH91" s="25"/>
      <c r="BI91" s="25"/>
      <c r="BJ91" s="25"/>
      <c r="BK91" s="25"/>
      <c r="BL91" s="25"/>
      <c r="BM91" s="25"/>
      <c r="BN91" s="25"/>
      <c r="BO91" s="26"/>
      <c r="BP91" s="26"/>
      <c r="BQ91" s="26"/>
      <c r="BR91" s="26"/>
    </row>
    <row r="92" spans="1:78" ht="14.25" customHeight="1" x14ac:dyDescent="0.25">
      <c r="A92" s="27" t="s">
        <v>149</v>
      </c>
      <c r="B92" s="59"/>
      <c r="C92" s="5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c r="AZ92" s="29"/>
      <c r="BA92" s="29"/>
      <c r="BB92" s="29"/>
      <c r="BC92" s="29"/>
      <c r="BD92" s="29"/>
      <c r="BE92" s="29"/>
      <c r="BF92" s="29"/>
      <c r="BG92" s="29"/>
      <c r="BH92" s="29"/>
      <c r="BI92" s="29"/>
      <c r="BJ92" s="29"/>
      <c r="BK92" s="29"/>
      <c r="BL92" s="29"/>
      <c r="BM92" s="29"/>
      <c r="BN92" s="29"/>
      <c r="BO92" s="30"/>
      <c r="BP92" s="30"/>
      <c r="BQ92" s="60"/>
      <c r="BR92" s="60"/>
    </row>
    <row r="93" spans="1:78" ht="14.25" customHeight="1" x14ac:dyDescent="0.25">
      <c r="A93" s="31" t="s">
        <v>13</v>
      </c>
      <c r="B93" s="207" t="s">
        <v>144</v>
      </c>
      <c r="C93" s="207"/>
      <c r="D93" s="207"/>
      <c r="E93" s="207"/>
      <c r="F93" s="207"/>
      <c r="G93" s="207"/>
      <c r="H93" s="207"/>
      <c r="I93" s="207"/>
      <c r="J93" s="207"/>
      <c r="K93" s="207"/>
      <c r="L93" s="207"/>
      <c r="M93" s="207"/>
      <c r="N93" s="207"/>
      <c r="O93" s="207"/>
      <c r="P93" s="207"/>
      <c r="Q93" s="207"/>
      <c r="R93" s="207"/>
      <c r="S93" s="207"/>
      <c r="T93" s="207"/>
      <c r="U93" s="207"/>
      <c r="V93" s="207"/>
      <c r="W93" s="207"/>
      <c r="X93" s="207"/>
      <c r="Y93" s="207"/>
      <c r="Z93" s="207"/>
      <c r="AA93" s="207"/>
      <c r="AB93" s="207"/>
      <c r="AC93" s="207"/>
      <c r="AD93" s="207"/>
      <c r="AE93" s="207"/>
      <c r="AF93" s="207"/>
      <c r="AG93" s="207"/>
      <c r="AH93" s="207"/>
      <c r="AI93" s="207"/>
      <c r="AJ93" s="207"/>
      <c r="AK93" s="207"/>
      <c r="AL93" s="207"/>
      <c r="AM93" s="207"/>
      <c r="AN93" s="207"/>
      <c r="AO93" s="207"/>
      <c r="AP93" s="207"/>
      <c r="AQ93" s="207"/>
      <c r="AR93" s="207"/>
      <c r="AS93" s="207"/>
      <c r="AT93" s="207"/>
      <c r="AU93" s="207"/>
      <c r="AV93" s="207"/>
      <c r="AW93" s="207"/>
      <c r="AX93" s="207"/>
      <c r="AY93" s="207"/>
      <c r="AZ93" s="207"/>
      <c r="BA93" s="207"/>
      <c r="BB93" s="207"/>
      <c r="BC93" s="207"/>
      <c r="BD93" s="207"/>
      <c r="BE93" s="207"/>
      <c r="BF93" s="207"/>
      <c r="BG93" s="207"/>
      <c r="BH93" s="207"/>
      <c r="BI93" s="207"/>
      <c r="BJ93" s="207"/>
      <c r="BK93" s="207"/>
      <c r="BL93" s="207"/>
      <c r="BM93" s="207"/>
      <c r="BN93" s="207"/>
      <c r="BO93" s="207"/>
      <c r="BP93" s="207"/>
      <c r="BQ93" s="207"/>
      <c r="BR93" s="207"/>
    </row>
    <row r="94" spans="1:78" ht="14.25" customHeight="1" x14ac:dyDescent="0.25">
      <c r="A94" s="31" t="s">
        <v>14</v>
      </c>
      <c r="B94" s="207" t="s">
        <v>145</v>
      </c>
      <c r="C94" s="207"/>
      <c r="D94" s="207"/>
      <c r="E94" s="207"/>
      <c r="F94" s="207"/>
      <c r="G94" s="207"/>
      <c r="H94" s="207"/>
      <c r="I94" s="207"/>
      <c r="J94" s="207"/>
      <c r="K94" s="207"/>
      <c r="L94" s="207"/>
      <c r="M94" s="207"/>
      <c r="N94" s="207"/>
      <c r="O94" s="207"/>
      <c r="P94" s="207"/>
      <c r="Q94" s="207"/>
      <c r="R94" s="207"/>
      <c r="S94" s="207"/>
      <c r="T94" s="207"/>
      <c r="U94" s="207"/>
      <c r="V94" s="207"/>
      <c r="W94" s="207"/>
      <c r="X94" s="207"/>
      <c r="Y94" s="207"/>
      <c r="Z94" s="207"/>
      <c r="AA94" s="207"/>
      <c r="AB94" s="207"/>
      <c r="AC94" s="207"/>
      <c r="AD94" s="207"/>
      <c r="AE94" s="207"/>
      <c r="AF94" s="207"/>
      <c r="AG94" s="207"/>
      <c r="AH94" s="207"/>
      <c r="AI94" s="207"/>
      <c r="AJ94" s="207"/>
      <c r="AK94" s="207"/>
      <c r="AL94" s="207"/>
      <c r="AM94" s="207"/>
      <c r="AN94" s="207"/>
      <c r="AO94" s="207"/>
      <c r="AP94" s="207"/>
      <c r="AQ94" s="207"/>
      <c r="AR94" s="207"/>
      <c r="AS94" s="207"/>
      <c r="AT94" s="207"/>
      <c r="AU94" s="207"/>
      <c r="AV94" s="207"/>
      <c r="AW94" s="207"/>
      <c r="AX94" s="207"/>
      <c r="AY94" s="207"/>
      <c r="AZ94" s="207"/>
      <c r="BA94" s="207"/>
      <c r="BB94" s="207"/>
      <c r="BC94" s="207"/>
      <c r="BD94" s="207"/>
      <c r="BE94" s="207"/>
      <c r="BF94" s="207"/>
      <c r="BG94" s="207"/>
      <c r="BH94" s="207"/>
      <c r="BI94" s="207"/>
      <c r="BJ94" s="207"/>
      <c r="BK94" s="207"/>
      <c r="BL94" s="207"/>
      <c r="BM94" s="207"/>
      <c r="BN94" s="207"/>
      <c r="BO94" s="207"/>
      <c r="BP94" s="207"/>
      <c r="BQ94" s="207"/>
      <c r="BR94" s="207"/>
    </row>
    <row r="95" spans="1:78" ht="14.25" customHeight="1" x14ac:dyDescent="0.25">
      <c r="A95" s="31" t="s">
        <v>15</v>
      </c>
      <c r="B95" s="207" t="s">
        <v>146</v>
      </c>
      <c r="C95" s="207"/>
      <c r="D95" s="207"/>
      <c r="E95" s="207"/>
      <c r="F95" s="207"/>
      <c r="G95" s="207"/>
      <c r="H95" s="207"/>
      <c r="I95" s="207"/>
      <c r="J95" s="207"/>
      <c r="K95" s="207"/>
      <c r="L95" s="207"/>
      <c r="M95" s="207"/>
      <c r="N95" s="207"/>
      <c r="O95" s="207"/>
      <c r="P95" s="207"/>
      <c r="Q95" s="207"/>
      <c r="R95" s="207"/>
      <c r="S95" s="207"/>
      <c r="T95" s="207"/>
      <c r="U95" s="207"/>
      <c r="V95" s="207"/>
      <c r="W95" s="207"/>
      <c r="X95" s="207"/>
      <c r="Y95" s="207"/>
      <c r="Z95" s="207"/>
      <c r="AA95" s="207"/>
      <c r="AB95" s="207"/>
      <c r="AC95" s="207"/>
      <c r="AD95" s="207"/>
      <c r="AE95" s="207"/>
      <c r="AF95" s="207"/>
      <c r="AG95" s="207"/>
      <c r="AH95" s="207"/>
      <c r="AI95" s="207"/>
      <c r="AJ95" s="207"/>
      <c r="AK95" s="207"/>
      <c r="AL95" s="207"/>
      <c r="AM95" s="207"/>
      <c r="AN95" s="207"/>
      <c r="AO95" s="207"/>
      <c r="AP95" s="207"/>
      <c r="AQ95" s="207"/>
      <c r="AR95" s="207"/>
      <c r="AS95" s="207"/>
      <c r="AT95" s="207"/>
      <c r="AU95" s="207"/>
      <c r="AV95" s="207"/>
      <c r="AW95" s="207"/>
      <c r="AX95" s="207"/>
      <c r="AY95" s="207"/>
      <c r="AZ95" s="207"/>
      <c r="BA95" s="207"/>
      <c r="BB95" s="207"/>
      <c r="BC95" s="207"/>
      <c r="BD95" s="207"/>
      <c r="BE95" s="207"/>
      <c r="BF95" s="207"/>
      <c r="BG95" s="207"/>
      <c r="BH95" s="207"/>
      <c r="BI95" s="207"/>
      <c r="BJ95" s="207"/>
      <c r="BK95" s="207"/>
      <c r="BL95" s="207"/>
      <c r="BM95" s="207"/>
      <c r="BN95" s="207"/>
      <c r="BO95" s="207"/>
      <c r="BP95" s="207"/>
      <c r="BQ95" s="207"/>
      <c r="BR95" s="207"/>
    </row>
    <row r="96" spans="1:78" ht="14.25" customHeight="1" x14ac:dyDescent="0.25">
      <c r="A96" s="31" t="s">
        <v>16</v>
      </c>
      <c r="B96" s="207" t="s">
        <v>188</v>
      </c>
      <c r="C96" s="207"/>
      <c r="D96" s="207"/>
      <c r="E96" s="207"/>
      <c r="F96" s="207"/>
      <c r="G96" s="207"/>
      <c r="H96" s="207"/>
      <c r="I96" s="207"/>
      <c r="J96" s="207"/>
      <c r="K96" s="207"/>
      <c r="L96" s="207"/>
      <c r="M96" s="207"/>
      <c r="N96" s="207"/>
      <c r="O96" s="207"/>
      <c r="P96" s="207"/>
      <c r="Q96" s="207"/>
      <c r="R96" s="207"/>
      <c r="S96" s="207"/>
      <c r="T96" s="207"/>
      <c r="U96" s="207"/>
      <c r="V96" s="207"/>
      <c r="W96" s="207"/>
      <c r="X96" s="207"/>
      <c r="Y96" s="207"/>
      <c r="Z96" s="207"/>
      <c r="AA96" s="207"/>
      <c r="AB96" s="207"/>
      <c r="AC96" s="207"/>
      <c r="AD96" s="207"/>
      <c r="AE96" s="207"/>
      <c r="AF96" s="207"/>
      <c r="AG96" s="207"/>
      <c r="AH96" s="207"/>
      <c r="AI96" s="207"/>
      <c r="AJ96" s="207"/>
      <c r="AK96" s="207"/>
      <c r="AL96" s="207"/>
      <c r="AM96" s="207"/>
      <c r="AN96" s="207"/>
      <c r="AO96" s="207"/>
      <c r="AP96" s="207"/>
      <c r="AQ96" s="207"/>
      <c r="AR96" s="207"/>
      <c r="AS96" s="207"/>
      <c r="AT96" s="207"/>
      <c r="AU96" s="207"/>
      <c r="AV96" s="207"/>
      <c r="AW96" s="207"/>
      <c r="AX96" s="207"/>
      <c r="AY96" s="207"/>
      <c r="AZ96" s="207"/>
      <c r="BA96" s="207"/>
      <c r="BB96" s="207"/>
      <c r="BC96" s="207"/>
      <c r="BD96" s="207"/>
      <c r="BE96" s="207"/>
      <c r="BF96" s="207"/>
      <c r="BG96" s="207"/>
      <c r="BH96" s="207"/>
      <c r="BI96" s="207"/>
      <c r="BJ96" s="207"/>
      <c r="BK96" s="207"/>
      <c r="BL96" s="207"/>
      <c r="BM96" s="207"/>
      <c r="BN96" s="207"/>
      <c r="BO96" s="207"/>
      <c r="BP96" s="207"/>
      <c r="BQ96" s="207"/>
      <c r="BR96" s="207"/>
    </row>
    <row r="97" spans="1:70" ht="14.25" customHeight="1" x14ac:dyDescent="0.25">
      <c r="A97" s="31" t="s">
        <v>17</v>
      </c>
      <c r="B97" s="207" t="s">
        <v>189</v>
      </c>
      <c r="C97" s="207"/>
      <c r="D97" s="207"/>
      <c r="E97" s="207"/>
      <c r="F97" s="207"/>
      <c r="G97" s="207"/>
      <c r="H97" s="207"/>
      <c r="I97" s="207"/>
      <c r="J97" s="207"/>
      <c r="K97" s="207"/>
      <c r="L97" s="207"/>
      <c r="M97" s="207"/>
      <c r="N97" s="207"/>
      <c r="O97" s="207"/>
      <c r="P97" s="207"/>
      <c r="Q97" s="207"/>
      <c r="R97" s="207"/>
      <c r="S97" s="207"/>
      <c r="T97" s="207"/>
      <c r="U97" s="207"/>
      <c r="V97" s="207"/>
      <c r="W97" s="207"/>
      <c r="X97" s="207"/>
      <c r="Y97" s="207"/>
      <c r="Z97" s="207"/>
      <c r="AA97" s="207"/>
      <c r="AB97" s="207"/>
      <c r="AC97" s="207"/>
      <c r="AD97" s="207"/>
      <c r="AE97" s="207"/>
      <c r="AF97" s="207"/>
      <c r="AG97" s="207"/>
      <c r="AH97" s="207"/>
      <c r="AI97" s="207"/>
      <c r="AJ97" s="207"/>
      <c r="AK97" s="207"/>
      <c r="AL97" s="207"/>
      <c r="AM97" s="207"/>
      <c r="AN97" s="207"/>
      <c r="AO97" s="207"/>
      <c r="AP97" s="207"/>
      <c r="AQ97" s="207"/>
      <c r="AR97" s="207"/>
      <c r="AS97" s="207"/>
      <c r="AT97" s="207"/>
      <c r="AU97" s="207"/>
      <c r="AV97" s="207"/>
      <c r="AW97" s="207"/>
      <c r="AX97" s="207"/>
      <c r="AY97" s="207"/>
      <c r="AZ97" s="207"/>
      <c r="BA97" s="207"/>
      <c r="BB97" s="207"/>
      <c r="BC97" s="207"/>
      <c r="BD97" s="207"/>
      <c r="BE97" s="207"/>
      <c r="BF97" s="207"/>
      <c r="BG97" s="207"/>
      <c r="BH97" s="207"/>
      <c r="BI97" s="207"/>
      <c r="BJ97" s="207"/>
      <c r="BK97" s="207"/>
      <c r="BL97" s="207"/>
      <c r="BM97" s="207"/>
      <c r="BN97" s="207"/>
      <c r="BO97" s="207"/>
      <c r="BP97" s="207"/>
      <c r="BQ97" s="207"/>
      <c r="BR97" s="207"/>
    </row>
    <row r="98" spans="1:70" ht="14.25" customHeight="1" x14ac:dyDescent="0.25">
      <c r="A98" s="31" t="s">
        <v>18</v>
      </c>
      <c r="B98" s="207" t="s">
        <v>158</v>
      </c>
      <c r="C98" s="207"/>
      <c r="D98" s="207"/>
      <c r="E98" s="207"/>
      <c r="F98" s="207"/>
      <c r="G98" s="207"/>
      <c r="H98" s="207"/>
      <c r="I98" s="207"/>
      <c r="J98" s="207"/>
      <c r="K98" s="207"/>
      <c r="L98" s="207"/>
      <c r="M98" s="207"/>
      <c r="N98" s="207"/>
      <c r="O98" s="207"/>
      <c r="P98" s="207"/>
      <c r="Q98" s="207"/>
      <c r="R98" s="207"/>
      <c r="S98" s="207"/>
      <c r="T98" s="207"/>
      <c r="U98" s="207"/>
      <c r="V98" s="207"/>
      <c r="W98" s="207"/>
      <c r="X98" s="207"/>
      <c r="Y98" s="207"/>
      <c r="Z98" s="207"/>
      <c r="AA98" s="207"/>
      <c r="AB98" s="207"/>
      <c r="AC98" s="207"/>
      <c r="AD98" s="207"/>
      <c r="AE98" s="207"/>
      <c r="AF98" s="207"/>
      <c r="AG98" s="207"/>
      <c r="AH98" s="207"/>
      <c r="AI98" s="207"/>
      <c r="AJ98" s="207"/>
      <c r="AK98" s="207"/>
      <c r="AL98" s="207"/>
      <c r="AM98" s="207"/>
      <c r="AN98" s="207"/>
      <c r="AO98" s="207"/>
      <c r="AP98" s="207"/>
      <c r="AQ98" s="207"/>
      <c r="AR98" s="207"/>
      <c r="AS98" s="207"/>
      <c r="AT98" s="207"/>
      <c r="AU98" s="207"/>
      <c r="AV98" s="207"/>
      <c r="AW98" s="207"/>
      <c r="AX98" s="207"/>
      <c r="AY98" s="207"/>
      <c r="AZ98" s="207"/>
      <c r="BA98" s="207"/>
      <c r="BB98" s="207"/>
      <c r="BC98" s="207"/>
      <c r="BD98" s="207"/>
      <c r="BE98" s="207"/>
      <c r="BF98" s="207"/>
      <c r="BG98" s="207"/>
      <c r="BH98" s="207"/>
      <c r="BI98" s="207"/>
      <c r="BJ98" s="207"/>
      <c r="BK98" s="207"/>
      <c r="BL98" s="207"/>
      <c r="BM98" s="207"/>
      <c r="BN98" s="207"/>
      <c r="BO98" s="207"/>
      <c r="BP98" s="207"/>
      <c r="BQ98" s="207"/>
      <c r="BR98" s="207"/>
    </row>
    <row r="99" spans="1:70" ht="14.25" customHeight="1" x14ac:dyDescent="0.25">
      <c r="A99" s="31" t="s">
        <v>19</v>
      </c>
      <c r="B99" s="207" t="s">
        <v>190</v>
      </c>
      <c r="C99" s="207"/>
      <c r="D99" s="207"/>
      <c r="E99" s="207"/>
      <c r="F99" s="207"/>
      <c r="G99" s="207"/>
      <c r="H99" s="207"/>
      <c r="I99" s="207"/>
      <c r="J99" s="207"/>
      <c r="K99" s="207"/>
      <c r="L99" s="207"/>
      <c r="M99" s="207"/>
      <c r="N99" s="207"/>
      <c r="O99" s="207"/>
      <c r="P99" s="207"/>
      <c r="Q99" s="207"/>
      <c r="R99" s="207"/>
      <c r="S99" s="207"/>
      <c r="T99" s="207"/>
      <c r="U99" s="207"/>
      <c r="V99" s="207"/>
      <c r="W99" s="207"/>
      <c r="X99" s="207"/>
      <c r="Y99" s="207"/>
      <c r="Z99" s="207"/>
      <c r="AA99" s="207"/>
      <c r="AB99" s="207"/>
      <c r="AC99" s="207"/>
      <c r="AD99" s="207"/>
      <c r="AE99" s="207"/>
      <c r="AF99" s="207"/>
      <c r="AG99" s="207"/>
      <c r="AH99" s="207"/>
      <c r="AI99" s="207"/>
      <c r="AJ99" s="207"/>
      <c r="AK99" s="207"/>
      <c r="AL99" s="207"/>
      <c r="AM99" s="207"/>
      <c r="AN99" s="207"/>
      <c r="AO99" s="207"/>
      <c r="AP99" s="207"/>
      <c r="AQ99" s="207"/>
      <c r="AR99" s="207"/>
      <c r="AS99" s="207"/>
      <c r="AT99" s="207"/>
      <c r="AU99" s="207"/>
      <c r="AV99" s="207"/>
      <c r="AW99" s="207"/>
      <c r="AX99" s="207"/>
      <c r="AY99" s="207"/>
      <c r="AZ99" s="207"/>
      <c r="BA99" s="207"/>
      <c r="BB99" s="207"/>
      <c r="BC99" s="207"/>
      <c r="BD99" s="207"/>
      <c r="BE99" s="207"/>
      <c r="BF99" s="207"/>
      <c r="BG99" s="207"/>
      <c r="BH99" s="207"/>
      <c r="BI99" s="207"/>
      <c r="BJ99" s="207"/>
      <c r="BK99" s="207"/>
      <c r="BL99" s="207"/>
      <c r="BM99" s="207"/>
      <c r="BN99" s="207"/>
      <c r="BO99" s="207"/>
      <c r="BP99" s="207"/>
      <c r="BQ99" s="207"/>
      <c r="BR99" s="207"/>
    </row>
    <row r="100" spans="1:70" ht="14.25" customHeight="1" x14ac:dyDescent="0.25">
      <c r="A100" s="31"/>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row>
    <row r="101" spans="1:70" ht="14.25" customHeight="1" x14ac:dyDescent="0.25">
      <c r="A101" s="31"/>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row>
    <row r="102" spans="1:70" ht="14.25" customHeight="1" x14ac:dyDescent="0.25">
      <c r="A102" s="143"/>
      <c r="B102" s="143"/>
      <c r="C102" s="143"/>
      <c r="D102" s="143"/>
      <c r="E102" s="143"/>
      <c r="F102" s="143"/>
      <c r="G102" s="143"/>
      <c r="H102" s="143"/>
      <c r="I102" s="143"/>
      <c r="J102" s="143"/>
      <c r="K102" s="143"/>
      <c r="L102" s="143"/>
      <c r="M102" s="143"/>
      <c r="N102" s="143"/>
      <c r="O102" s="143"/>
      <c r="P102" s="143"/>
      <c r="Q102" s="143"/>
      <c r="R102" s="143"/>
      <c r="S102" s="143"/>
      <c r="T102" s="143"/>
      <c r="U102" s="143"/>
      <c r="V102" s="143"/>
      <c r="W102" s="143"/>
      <c r="X102" s="143"/>
      <c r="Y102" s="32"/>
      <c r="Z102" s="32"/>
      <c r="AA102" s="32"/>
      <c r="AB102" s="32"/>
      <c r="AC102" s="32"/>
      <c r="AD102" s="32"/>
      <c r="AE102" s="32"/>
      <c r="AF102" s="32"/>
      <c r="AG102" s="32"/>
      <c r="AH102" s="32"/>
      <c r="AI102" s="32"/>
      <c r="AJ102" s="142" t="s">
        <v>71</v>
      </c>
      <c r="AK102" s="142"/>
      <c r="AL102" s="142"/>
      <c r="AM102" s="142"/>
      <c r="AN102" s="142"/>
      <c r="AO102" s="142"/>
      <c r="AP102" s="142"/>
      <c r="AQ102" s="142"/>
      <c r="AR102" s="142"/>
      <c r="AS102" s="142"/>
      <c r="AT102" s="142"/>
      <c r="AU102" s="142"/>
      <c r="AV102" s="142"/>
      <c r="AW102" s="142"/>
      <c r="AX102" s="142"/>
      <c r="AY102" s="142"/>
      <c r="AZ102" s="142"/>
      <c r="BA102" s="142"/>
      <c r="BB102" s="142"/>
      <c r="BC102" s="142"/>
      <c r="BD102" s="142"/>
      <c r="BE102" s="142"/>
      <c r="BF102" s="142"/>
      <c r="BG102" s="142"/>
      <c r="BH102" s="142"/>
      <c r="BI102" s="142"/>
      <c r="BJ102" s="142"/>
      <c r="BK102" s="142"/>
      <c r="BL102" s="142"/>
      <c r="BM102" s="142"/>
      <c r="BN102" s="142"/>
      <c r="BO102" s="142"/>
      <c r="BP102" s="142"/>
      <c r="BQ102" s="142"/>
      <c r="BR102" s="142"/>
    </row>
    <row r="103" spans="1:70" ht="14.25" customHeight="1" x14ac:dyDescent="0.25">
      <c r="A103" s="33"/>
      <c r="B103" s="34"/>
      <c r="C103" s="34"/>
      <c r="D103" s="33"/>
      <c r="E103" s="33"/>
      <c r="F103" s="33"/>
      <c r="G103" s="33"/>
      <c r="H103" s="33"/>
      <c r="I103" s="33"/>
      <c r="J103" s="33"/>
      <c r="K103" s="33"/>
      <c r="L103" s="33"/>
      <c r="M103" s="33"/>
      <c r="N103" s="33"/>
      <c r="O103" s="33"/>
      <c r="P103" s="33"/>
      <c r="Q103" s="33"/>
      <c r="R103" s="33"/>
      <c r="S103" s="33"/>
      <c r="T103" s="35"/>
      <c r="U103" s="35"/>
      <c r="V103" s="35"/>
      <c r="W103" s="35"/>
      <c r="X103" s="35"/>
      <c r="Y103" s="36"/>
      <c r="Z103" s="36"/>
      <c r="AA103" s="36"/>
      <c r="AB103" s="36"/>
      <c r="AC103" s="36"/>
      <c r="AD103" s="36"/>
      <c r="AE103" s="36"/>
      <c r="AF103" s="36"/>
      <c r="AG103" s="36"/>
      <c r="AH103" s="36"/>
      <c r="AI103" s="36"/>
      <c r="AJ103" s="142"/>
      <c r="AK103" s="142"/>
      <c r="AL103" s="142"/>
      <c r="AM103" s="142"/>
      <c r="AN103" s="142"/>
      <c r="AO103" s="142"/>
      <c r="AP103" s="142"/>
      <c r="AQ103" s="142"/>
      <c r="AR103" s="142"/>
      <c r="AS103" s="142"/>
      <c r="AT103" s="142"/>
      <c r="AU103" s="142"/>
      <c r="AV103" s="142"/>
      <c r="AW103" s="142"/>
      <c r="AX103" s="142"/>
      <c r="AY103" s="142"/>
      <c r="AZ103" s="142"/>
      <c r="BA103" s="142"/>
      <c r="BB103" s="142"/>
      <c r="BC103" s="142"/>
      <c r="BD103" s="142"/>
      <c r="BE103" s="142"/>
      <c r="BF103" s="142"/>
      <c r="BG103" s="142"/>
      <c r="BH103" s="142"/>
      <c r="BI103" s="142"/>
      <c r="BJ103" s="142"/>
      <c r="BK103" s="142"/>
      <c r="BL103" s="142"/>
      <c r="BM103" s="142"/>
      <c r="BN103" s="142"/>
      <c r="BO103" s="142"/>
      <c r="BP103" s="142"/>
      <c r="BQ103" s="142"/>
      <c r="BR103" s="142"/>
    </row>
    <row r="104" spans="1:70" ht="14.25" customHeight="1" x14ac:dyDescent="0.25">
      <c r="A104" s="33"/>
      <c r="B104" s="34"/>
      <c r="C104" s="34"/>
      <c r="D104" s="33"/>
      <c r="E104" s="33"/>
      <c r="F104" s="33"/>
      <c r="G104" s="33"/>
      <c r="H104" s="33"/>
      <c r="I104" s="33"/>
      <c r="J104" s="33"/>
      <c r="K104" s="33"/>
      <c r="L104" s="33"/>
      <c r="M104" s="33"/>
      <c r="N104" s="33"/>
      <c r="O104" s="33"/>
      <c r="P104" s="33"/>
      <c r="Q104" s="33"/>
      <c r="R104" s="33"/>
      <c r="S104" s="33"/>
      <c r="T104" s="35"/>
      <c r="U104" s="35"/>
      <c r="V104" s="35"/>
      <c r="W104" s="35"/>
      <c r="X104" s="35"/>
      <c r="Y104" s="36"/>
      <c r="Z104" s="36"/>
      <c r="AA104" s="36"/>
      <c r="AB104" s="36"/>
      <c r="AC104" s="36"/>
      <c r="AD104" s="36"/>
      <c r="AE104" s="36"/>
      <c r="AF104" s="36"/>
      <c r="AG104" s="36"/>
      <c r="AH104" s="36"/>
      <c r="AI104" s="36"/>
      <c r="AJ104" s="142"/>
      <c r="AK104" s="142"/>
      <c r="AL104" s="142"/>
      <c r="AM104" s="142"/>
      <c r="AN104" s="142"/>
      <c r="AO104" s="142"/>
      <c r="AP104" s="142"/>
      <c r="AQ104" s="142"/>
      <c r="AR104" s="142"/>
      <c r="AS104" s="142"/>
      <c r="AT104" s="142"/>
      <c r="AU104" s="142"/>
      <c r="AV104" s="142"/>
      <c r="AW104" s="142"/>
      <c r="AX104" s="142"/>
      <c r="AY104" s="142"/>
      <c r="AZ104" s="142"/>
      <c r="BA104" s="142"/>
      <c r="BB104" s="142"/>
      <c r="BC104" s="142"/>
      <c r="BD104" s="142"/>
      <c r="BE104" s="142"/>
      <c r="BF104" s="142"/>
      <c r="BG104" s="142"/>
      <c r="BH104" s="142"/>
      <c r="BI104" s="142"/>
      <c r="BJ104" s="142"/>
      <c r="BK104" s="142"/>
      <c r="BL104" s="142"/>
      <c r="BM104" s="142"/>
      <c r="BN104" s="142"/>
      <c r="BO104" s="142"/>
      <c r="BP104" s="142"/>
      <c r="BQ104" s="142"/>
      <c r="BR104" s="142"/>
    </row>
    <row r="105" spans="1:70" ht="14.25" customHeight="1" x14ac:dyDescent="0.2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6"/>
      <c r="AG105" s="36"/>
      <c r="AH105" s="36"/>
      <c r="AI105" s="36"/>
      <c r="AJ105" s="142"/>
      <c r="AK105" s="142"/>
      <c r="AL105" s="142"/>
      <c r="AM105" s="142"/>
      <c r="AN105" s="142"/>
      <c r="AO105" s="142"/>
      <c r="AP105" s="142"/>
      <c r="AQ105" s="142"/>
      <c r="AR105" s="142"/>
      <c r="AS105" s="142"/>
      <c r="AT105" s="142"/>
      <c r="AU105" s="142"/>
      <c r="AV105" s="142"/>
      <c r="AW105" s="142"/>
      <c r="AX105" s="142"/>
      <c r="AY105" s="142"/>
      <c r="AZ105" s="142"/>
      <c r="BA105" s="142"/>
      <c r="BB105" s="142"/>
      <c r="BC105" s="142"/>
      <c r="BD105" s="142"/>
      <c r="BE105" s="142"/>
      <c r="BF105" s="142"/>
      <c r="BG105" s="142"/>
      <c r="BH105" s="142"/>
      <c r="BI105" s="142"/>
      <c r="BJ105" s="142"/>
      <c r="BK105" s="142"/>
      <c r="BL105" s="142"/>
      <c r="BM105" s="142"/>
      <c r="BN105" s="142"/>
      <c r="BO105" s="142"/>
      <c r="BP105" s="142"/>
      <c r="BQ105" s="142"/>
      <c r="BR105" s="142"/>
    </row>
    <row r="106" spans="1:70" ht="14.25" customHeight="1" x14ac:dyDescent="0.25">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6"/>
      <c r="AG106" s="36"/>
      <c r="AH106" s="36"/>
      <c r="AI106" s="36"/>
      <c r="AJ106" s="142"/>
      <c r="AK106" s="142"/>
      <c r="AL106" s="142"/>
      <c r="AM106" s="142"/>
      <c r="AN106" s="142"/>
      <c r="AO106" s="142"/>
      <c r="AP106" s="142"/>
      <c r="AQ106" s="142"/>
      <c r="AR106" s="142"/>
      <c r="AS106" s="142"/>
      <c r="AT106" s="142"/>
      <c r="AU106" s="142"/>
      <c r="AV106" s="142"/>
      <c r="AW106" s="142"/>
      <c r="AX106" s="142"/>
      <c r="AY106" s="142"/>
      <c r="AZ106" s="142"/>
      <c r="BA106" s="142"/>
      <c r="BB106" s="142"/>
      <c r="BC106" s="142"/>
      <c r="BD106" s="142"/>
      <c r="BE106" s="142"/>
      <c r="BF106" s="142"/>
      <c r="BG106" s="142"/>
      <c r="BH106" s="142"/>
      <c r="BI106" s="142"/>
      <c r="BJ106" s="142"/>
      <c r="BK106" s="142"/>
      <c r="BL106" s="142"/>
      <c r="BM106" s="142"/>
      <c r="BN106" s="142"/>
      <c r="BO106" s="142"/>
      <c r="BP106" s="142"/>
      <c r="BQ106" s="142"/>
      <c r="BR106" s="142"/>
    </row>
    <row r="107" spans="1:70" ht="14.25" customHeight="1" x14ac:dyDescent="0.25">
      <c r="A107" s="38"/>
      <c r="B107" s="16"/>
      <c r="C107" s="16"/>
      <c r="D107" s="38"/>
      <c r="E107" s="38"/>
      <c r="F107" s="38"/>
      <c r="G107" s="38"/>
      <c r="H107" s="38"/>
      <c r="I107" s="38"/>
      <c r="J107" s="38"/>
      <c r="K107" s="38"/>
      <c r="L107" s="38"/>
      <c r="M107" s="38"/>
      <c r="N107" s="38"/>
      <c r="O107" s="38"/>
      <c r="P107" s="38"/>
      <c r="Q107" s="38"/>
      <c r="R107" s="38"/>
      <c r="S107" s="38"/>
      <c r="T107" s="39"/>
      <c r="U107" s="39"/>
      <c r="V107" s="39"/>
      <c r="W107" s="39"/>
      <c r="X107" s="39"/>
      <c r="Y107" s="38"/>
      <c r="Z107" s="38"/>
      <c r="AA107" s="38"/>
      <c r="AB107" s="38"/>
      <c r="AC107" s="38"/>
      <c r="AD107" s="38"/>
      <c r="AE107" s="38"/>
      <c r="AF107" s="36"/>
      <c r="AG107" s="36"/>
      <c r="AH107" s="36"/>
      <c r="AI107" s="36"/>
      <c r="AJ107" s="142"/>
      <c r="AK107" s="142"/>
      <c r="AL107" s="142"/>
      <c r="AM107" s="142"/>
      <c r="AN107" s="142"/>
      <c r="AO107" s="142"/>
      <c r="AP107" s="142"/>
      <c r="AQ107" s="142"/>
      <c r="AR107" s="142"/>
      <c r="AS107" s="142"/>
      <c r="AT107" s="142"/>
      <c r="AU107" s="142"/>
      <c r="AV107" s="142"/>
      <c r="AW107" s="142"/>
      <c r="AX107" s="142"/>
      <c r="AY107" s="142"/>
      <c r="AZ107" s="142"/>
      <c r="BA107" s="142"/>
      <c r="BB107" s="142"/>
      <c r="BC107" s="142"/>
      <c r="BD107" s="142"/>
      <c r="BE107" s="142"/>
      <c r="BF107" s="142"/>
      <c r="BG107" s="142"/>
      <c r="BH107" s="142"/>
      <c r="BI107" s="142"/>
      <c r="BJ107" s="142"/>
      <c r="BK107" s="142"/>
      <c r="BL107" s="142"/>
      <c r="BM107" s="142"/>
      <c r="BN107" s="142"/>
      <c r="BO107" s="142"/>
      <c r="BP107" s="142"/>
      <c r="BQ107" s="142"/>
      <c r="BR107" s="142"/>
    </row>
    <row r="108" spans="1:70" ht="14.25" customHeight="1" x14ac:dyDescent="0.25">
      <c r="A108" s="70"/>
      <c r="B108" s="16"/>
      <c r="C108" s="16"/>
      <c r="D108" s="70"/>
      <c r="E108" s="70"/>
      <c r="F108" s="70"/>
      <c r="G108" s="70"/>
      <c r="H108" s="70"/>
      <c r="I108" s="70"/>
      <c r="J108" s="70"/>
      <c r="K108" s="70"/>
      <c r="L108" s="70"/>
      <c r="M108" s="70"/>
      <c r="N108" s="70"/>
      <c r="O108" s="70"/>
      <c r="P108" s="70"/>
      <c r="Q108" s="70"/>
      <c r="R108" s="70"/>
      <c r="S108" s="70"/>
      <c r="T108" s="40"/>
      <c r="U108" s="40"/>
      <c r="V108" s="40"/>
      <c r="W108" s="40"/>
      <c r="X108" s="40"/>
      <c r="Y108" s="38"/>
      <c r="Z108" s="38"/>
      <c r="AA108" s="38"/>
      <c r="AB108" s="38"/>
      <c r="AC108" s="38"/>
      <c r="AD108" s="38"/>
      <c r="AE108" s="38"/>
      <c r="AF108" s="36"/>
      <c r="AG108" s="36"/>
      <c r="AH108" s="36"/>
      <c r="AI108" s="36"/>
      <c r="AJ108" s="142"/>
      <c r="AK108" s="142"/>
      <c r="AL108" s="142"/>
      <c r="AM108" s="142"/>
      <c r="AN108" s="142"/>
      <c r="AO108" s="142"/>
      <c r="AP108" s="142"/>
      <c r="AQ108" s="142"/>
      <c r="AR108" s="142"/>
      <c r="AS108" s="142"/>
      <c r="AT108" s="142"/>
      <c r="AU108" s="142"/>
      <c r="AV108" s="142"/>
      <c r="AW108" s="142"/>
      <c r="AX108" s="142"/>
      <c r="AY108" s="142"/>
      <c r="AZ108" s="142"/>
      <c r="BA108" s="142"/>
      <c r="BB108" s="142"/>
      <c r="BC108" s="142"/>
      <c r="BD108" s="142"/>
      <c r="BE108" s="142"/>
      <c r="BF108" s="142"/>
      <c r="BG108" s="142"/>
      <c r="BH108" s="142"/>
      <c r="BI108" s="142"/>
      <c r="BJ108" s="142"/>
      <c r="BK108" s="142"/>
      <c r="BL108" s="142"/>
      <c r="BM108" s="142"/>
      <c r="BN108" s="142"/>
      <c r="BO108" s="142"/>
      <c r="BP108" s="142"/>
      <c r="BQ108" s="142"/>
      <c r="BR108" s="142"/>
    </row>
    <row r="109" spans="1:70" ht="14.25" customHeight="1" x14ac:dyDescent="0.3">
      <c r="A109" s="70"/>
      <c r="B109" s="16"/>
      <c r="C109" s="16"/>
      <c r="D109" s="70"/>
      <c r="E109" s="70"/>
      <c r="F109" s="70"/>
      <c r="G109" s="70"/>
      <c r="H109" s="70"/>
      <c r="I109" s="70"/>
      <c r="J109" s="70"/>
      <c r="K109" s="70"/>
      <c r="L109" s="70"/>
      <c r="M109" s="70"/>
      <c r="N109" s="70"/>
      <c r="O109" s="70"/>
      <c r="P109" s="70"/>
      <c r="Q109" s="70"/>
      <c r="R109" s="70"/>
      <c r="S109" s="70"/>
      <c r="T109" s="40"/>
      <c r="U109" s="40"/>
      <c r="V109" s="40"/>
      <c r="W109" s="40"/>
      <c r="X109" s="40"/>
      <c r="Y109" s="38"/>
      <c r="Z109" s="38"/>
      <c r="AA109" s="38"/>
      <c r="AB109" s="38"/>
      <c r="AC109" s="38"/>
      <c r="AD109" s="38"/>
      <c r="AE109" s="38"/>
      <c r="AF109" s="36"/>
      <c r="AG109" s="36"/>
      <c r="AH109" s="36"/>
      <c r="AI109" s="36"/>
      <c r="AJ109" s="36"/>
      <c r="AK109" s="41"/>
      <c r="AL109" s="69"/>
      <c r="AM109" s="69"/>
      <c r="AN109" s="69"/>
      <c r="AO109" s="69"/>
      <c r="AP109" s="69"/>
      <c r="AQ109" s="69"/>
      <c r="AR109" s="69"/>
      <c r="AS109" s="69"/>
      <c r="AT109" s="69"/>
      <c r="AU109" s="69"/>
      <c r="AV109" s="69"/>
      <c r="AW109" s="69"/>
      <c r="AX109" s="69"/>
      <c r="AY109" s="69"/>
      <c r="AZ109" s="69"/>
      <c r="BA109" s="69"/>
      <c r="BB109" s="69"/>
      <c r="BC109" s="69"/>
      <c r="BD109" s="69"/>
      <c r="BE109" s="69"/>
      <c r="BF109" s="69"/>
      <c r="BG109" s="69"/>
      <c r="BH109" s="69"/>
      <c r="BI109" s="69"/>
      <c r="BJ109" s="69"/>
      <c r="BK109" s="69"/>
      <c r="BL109" s="69"/>
      <c r="BM109" s="69"/>
      <c r="BN109" s="69"/>
      <c r="BO109" s="69"/>
      <c r="BP109" s="69"/>
    </row>
    <row r="110" spans="1:70" ht="14.25" customHeight="1" x14ac:dyDescent="0.3">
      <c r="A110" s="70"/>
      <c r="B110" s="16"/>
      <c r="C110" s="16"/>
      <c r="D110" s="70"/>
      <c r="E110" s="70"/>
      <c r="F110" s="70"/>
      <c r="G110" s="70"/>
      <c r="H110" s="70"/>
      <c r="I110" s="70"/>
      <c r="J110" s="70"/>
      <c r="K110" s="70"/>
      <c r="L110" s="70"/>
      <c r="M110" s="70"/>
      <c r="N110" s="70"/>
      <c r="O110" s="70"/>
      <c r="P110" s="70"/>
      <c r="Q110" s="70"/>
      <c r="R110" s="70"/>
      <c r="S110" s="70"/>
      <c r="T110" s="40"/>
      <c r="U110" s="40"/>
      <c r="V110" s="40"/>
      <c r="W110" s="40"/>
      <c r="X110" s="40"/>
      <c r="Y110" s="38"/>
      <c r="Z110" s="38"/>
      <c r="AA110" s="38"/>
      <c r="AB110" s="38"/>
      <c r="AC110" s="38"/>
      <c r="AD110" s="38"/>
      <c r="AE110" s="38"/>
      <c r="AF110" s="36"/>
      <c r="AG110" s="36"/>
      <c r="AH110" s="36"/>
      <c r="AI110" s="36"/>
      <c r="AJ110" s="36"/>
      <c r="AK110" s="41"/>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c r="BI110" s="69"/>
      <c r="BJ110" s="69"/>
      <c r="BK110" s="69"/>
      <c r="BL110" s="69"/>
      <c r="BM110" s="69"/>
      <c r="BN110" s="69"/>
      <c r="BO110" s="69"/>
      <c r="BP110" s="69"/>
    </row>
    <row r="111" spans="1:70" ht="14.25" customHeight="1" x14ac:dyDescent="0.25">
      <c r="A111" s="141" t="s">
        <v>67</v>
      </c>
      <c r="B111" s="141"/>
      <c r="C111" s="141"/>
      <c r="D111" s="141"/>
      <c r="E111" s="141"/>
      <c r="F111" s="141"/>
      <c r="G111" s="141"/>
      <c r="H111" s="141"/>
      <c r="I111" s="141"/>
      <c r="J111" s="141"/>
      <c r="K111" s="141"/>
      <c r="L111" s="141"/>
      <c r="M111" s="141"/>
      <c r="N111" s="141"/>
      <c r="O111" s="141"/>
      <c r="P111" s="142" t="s">
        <v>21</v>
      </c>
      <c r="Q111" s="142"/>
      <c r="R111" s="142"/>
      <c r="S111" s="142"/>
      <c r="T111" s="142"/>
      <c r="U111" s="142"/>
      <c r="V111" s="142"/>
      <c r="W111" s="142"/>
      <c r="X111" s="142"/>
      <c r="Y111" s="141" t="s">
        <v>68</v>
      </c>
      <c r="Z111" s="141"/>
      <c r="AA111" s="141"/>
      <c r="AB111" s="141"/>
      <c r="AC111" s="141"/>
      <c r="AD111" s="141"/>
      <c r="AE111" s="141"/>
      <c r="AF111" s="42"/>
      <c r="AG111" s="42"/>
      <c r="AH111" s="43"/>
      <c r="AI111" s="43"/>
      <c r="AJ111" s="203" t="s">
        <v>238</v>
      </c>
      <c r="AK111" s="203"/>
      <c r="AL111" s="203"/>
      <c r="AM111" s="203"/>
      <c r="AN111" s="203"/>
      <c r="AO111" s="203"/>
      <c r="AP111" s="203"/>
      <c r="AQ111" s="203"/>
      <c r="AR111" s="203"/>
      <c r="AS111" s="203"/>
      <c r="AT111" s="203"/>
      <c r="AU111" s="203"/>
      <c r="AV111" s="203"/>
      <c r="AW111" s="203"/>
      <c r="AX111" s="203"/>
      <c r="AY111" s="142" t="s">
        <v>21</v>
      </c>
      <c r="AZ111" s="142"/>
      <c r="BA111" s="142"/>
      <c r="BB111" s="142"/>
      <c r="BC111" s="142"/>
      <c r="BD111" s="142"/>
      <c r="BE111" s="142"/>
      <c r="BF111" s="142"/>
      <c r="BG111" s="142"/>
      <c r="BH111" s="203" t="s">
        <v>241</v>
      </c>
      <c r="BI111" s="203"/>
      <c r="BJ111" s="203"/>
      <c r="BK111" s="203"/>
      <c r="BL111" s="203"/>
      <c r="BM111" s="203"/>
      <c r="BN111" s="203"/>
      <c r="BO111" s="203"/>
      <c r="BP111" s="203"/>
      <c r="BQ111" s="203"/>
      <c r="BR111" s="203"/>
    </row>
    <row r="112" spans="1:70" ht="14.25" customHeight="1" x14ac:dyDescent="0.25">
      <c r="A112" s="141"/>
      <c r="B112" s="141"/>
      <c r="C112" s="141"/>
      <c r="D112" s="141"/>
      <c r="E112" s="141"/>
      <c r="F112" s="141"/>
      <c r="G112" s="141"/>
      <c r="H112" s="141"/>
      <c r="I112" s="141"/>
      <c r="J112" s="141"/>
      <c r="K112" s="141"/>
      <c r="L112" s="141"/>
      <c r="M112" s="141"/>
      <c r="N112" s="141"/>
      <c r="O112" s="141"/>
      <c r="P112" s="142"/>
      <c r="Q112" s="142"/>
      <c r="R112" s="142"/>
      <c r="S112" s="142"/>
      <c r="T112" s="142"/>
      <c r="U112" s="142"/>
      <c r="V112" s="142"/>
      <c r="W112" s="142"/>
      <c r="X112" s="142"/>
      <c r="Y112" s="141"/>
      <c r="Z112" s="141"/>
      <c r="AA112" s="141"/>
      <c r="AB112" s="141"/>
      <c r="AC112" s="141"/>
      <c r="AD112" s="141"/>
      <c r="AE112" s="141"/>
      <c r="AF112" s="42"/>
      <c r="AG112" s="42"/>
      <c r="AH112" s="43"/>
      <c r="AI112" s="43"/>
      <c r="AJ112" s="203"/>
      <c r="AK112" s="203"/>
      <c r="AL112" s="203"/>
      <c r="AM112" s="203"/>
      <c r="AN112" s="203"/>
      <c r="AO112" s="203"/>
      <c r="AP112" s="203"/>
      <c r="AQ112" s="203"/>
      <c r="AR112" s="203"/>
      <c r="AS112" s="203"/>
      <c r="AT112" s="203"/>
      <c r="AU112" s="203"/>
      <c r="AV112" s="203"/>
      <c r="AW112" s="203"/>
      <c r="AX112" s="203"/>
      <c r="AY112" s="142"/>
      <c r="AZ112" s="142"/>
      <c r="BA112" s="142"/>
      <c r="BB112" s="142"/>
      <c r="BC112" s="142"/>
      <c r="BD112" s="142"/>
      <c r="BE112" s="142"/>
      <c r="BF112" s="142"/>
      <c r="BG112" s="142"/>
      <c r="BH112" s="203"/>
      <c r="BI112" s="203"/>
      <c r="BJ112" s="203"/>
      <c r="BK112" s="203"/>
      <c r="BL112" s="203"/>
      <c r="BM112" s="203"/>
      <c r="BN112" s="203"/>
      <c r="BO112" s="203"/>
      <c r="BP112" s="203"/>
      <c r="BQ112" s="203"/>
      <c r="BR112" s="203"/>
    </row>
    <row r="113" spans="1:70" ht="14.25" customHeight="1" x14ac:dyDescent="0.25">
      <c r="A113" s="141"/>
      <c r="B113" s="141"/>
      <c r="C113" s="141"/>
      <c r="D113" s="141"/>
      <c r="E113" s="141"/>
      <c r="F113" s="141"/>
      <c r="G113" s="141"/>
      <c r="H113" s="141"/>
      <c r="I113" s="141"/>
      <c r="J113" s="141"/>
      <c r="K113" s="141"/>
      <c r="L113" s="141"/>
      <c r="M113" s="141"/>
      <c r="N113" s="141"/>
      <c r="O113" s="141"/>
      <c r="P113" s="142"/>
      <c r="Q113" s="142"/>
      <c r="R113" s="142"/>
      <c r="S113" s="142"/>
      <c r="T113" s="142"/>
      <c r="U113" s="142"/>
      <c r="V113" s="142"/>
      <c r="W113" s="142"/>
      <c r="X113" s="142"/>
      <c r="Y113" s="141"/>
      <c r="Z113" s="141"/>
      <c r="AA113" s="141"/>
      <c r="AB113" s="141"/>
      <c r="AC113" s="141"/>
      <c r="AD113" s="141"/>
      <c r="AE113" s="141"/>
      <c r="AF113" s="42"/>
      <c r="AG113" s="42"/>
      <c r="AH113" s="43"/>
      <c r="AI113" s="43"/>
      <c r="AJ113" s="203"/>
      <c r="AK113" s="203"/>
      <c r="AL113" s="203"/>
      <c r="AM113" s="203"/>
      <c r="AN113" s="203"/>
      <c r="AO113" s="203"/>
      <c r="AP113" s="203"/>
      <c r="AQ113" s="203"/>
      <c r="AR113" s="203"/>
      <c r="AS113" s="203"/>
      <c r="AT113" s="203"/>
      <c r="AU113" s="203"/>
      <c r="AV113" s="203"/>
      <c r="AW113" s="203"/>
      <c r="AX113" s="203"/>
      <c r="AY113" s="142"/>
      <c r="AZ113" s="142"/>
      <c r="BA113" s="142"/>
      <c r="BB113" s="142"/>
      <c r="BC113" s="142"/>
      <c r="BD113" s="142"/>
      <c r="BE113" s="142"/>
      <c r="BF113" s="142"/>
      <c r="BG113" s="142"/>
      <c r="BH113" s="203"/>
      <c r="BI113" s="203"/>
      <c r="BJ113" s="203"/>
      <c r="BK113" s="203"/>
      <c r="BL113" s="203"/>
      <c r="BM113" s="203"/>
      <c r="BN113" s="203"/>
      <c r="BO113" s="203"/>
      <c r="BP113" s="203"/>
      <c r="BQ113" s="203"/>
      <c r="BR113" s="203"/>
    </row>
    <row r="114" spans="1:70" ht="14.25" customHeight="1" x14ac:dyDescent="0.25">
      <c r="A114" s="141"/>
      <c r="B114" s="141"/>
      <c r="C114" s="141"/>
      <c r="D114" s="141"/>
      <c r="E114" s="141"/>
      <c r="F114" s="141"/>
      <c r="G114" s="141"/>
      <c r="H114" s="141"/>
      <c r="I114" s="141"/>
      <c r="J114" s="141"/>
      <c r="K114" s="141"/>
      <c r="L114" s="141"/>
      <c r="M114" s="141"/>
      <c r="N114" s="141"/>
      <c r="O114" s="141"/>
      <c r="P114" s="142"/>
      <c r="Q114" s="142"/>
      <c r="R114" s="142"/>
      <c r="S114" s="142"/>
      <c r="T114" s="142"/>
      <c r="U114" s="142"/>
      <c r="V114" s="142"/>
      <c r="W114" s="142"/>
      <c r="X114" s="142"/>
      <c r="Y114" s="141"/>
      <c r="Z114" s="141"/>
      <c r="AA114" s="141"/>
      <c r="AB114" s="141"/>
      <c r="AC114" s="141"/>
      <c r="AD114" s="141"/>
      <c r="AE114" s="141"/>
      <c r="AF114" s="42"/>
      <c r="AG114" s="42"/>
      <c r="AH114" s="43"/>
      <c r="AI114" s="43"/>
      <c r="AJ114" s="203"/>
      <c r="AK114" s="203"/>
      <c r="AL114" s="203"/>
      <c r="AM114" s="203"/>
      <c r="AN114" s="203"/>
      <c r="AO114" s="203"/>
      <c r="AP114" s="203"/>
      <c r="AQ114" s="203"/>
      <c r="AR114" s="203"/>
      <c r="AS114" s="203"/>
      <c r="AT114" s="203"/>
      <c r="AU114" s="203"/>
      <c r="AV114" s="203"/>
      <c r="AW114" s="203"/>
      <c r="AX114" s="203"/>
      <c r="AY114" s="142"/>
      <c r="AZ114" s="142"/>
      <c r="BA114" s="142"/>
      <c r="BB114" s="142"/>
      <c r="BC114" s="142"/>
      <c r="BD114" s="142"/>
      <c r="BE114" s="142"/>
      <c r="BF114" s="142"/>
      <c r="BG114" s="142"/>
      <c r="BH114" s="203"/>
      <c r="BI114" s="203"/>
      <c r="BJ114" s="203"/>
      <c r="BK114" s="203"/>
      <c r="BL114" s="203"/>
      <c r="BM114" s="203"/>
      <c r="BN114" s="203"/>
      <c r="BO114" s="203"/>
      <c r="BP114" s="203"/>
      <c r="BQ114" s="203"/>
      <c r="BR114" s="203"/>
    </row>
    <row r="115" spans="1:70" ht="14.25" customHeight="1" x14ac:dyDescent="0.25">
      <c r="A115" s="68"/>
      <c r="B115" s="68"/>
      <c r="C115" s="68"/>
      <c r="D115" s="68"/>
      <c r="E115" s="68"/>
      <c r="F115" s="68"/>
      <c r="G115" s="68"/>
      <c r="H115" s="68"/>
      <c r="I115" s="68"/>
      <c r="J115" s="68"/>
      <c r="K115" s="68"/>
      <c r="L115" s="68"/>
      <c r="M115" s="68"/>
      <c r="N115" s="68"/>
      <c r="O115" s="68"/>
      <c r="P115" s="69"/>
      <c r="Q115" s="69"/>
      <c r="R115" s="69"/>
      <c r="S115" s="69"/>
      <c r="T115" s="69"/>
      <c r="U115" s="69"/>
      <c r="V115" s="69"/>
      <c r="W115" s="69"/>
      <c r="X115" s="69"/>
      <c r="Y115" s="68"/>
      <c r="Z115" s="68"/>
      <c r="AA115" s="68"/>
      <c r="AB115" s="68"/>
      <c r="AC115" s="68"/>
      <c r="AD115" s="68"/>
      <c r="AE115" s="68"/>
      <c r="AF115" s="42"/>
      <c r="AG115" s="42"/>
      <c r="AH115" s="43"/>
      <c r="AI115" s="43"/>
      <c r="AJ115" s="68"/>
      <c r="AK115" s="68"/>
      <c r="AL115" s="68"/>
      <c r="AM115" s="68"/>
      <c r="AN115" s="68"/>
      <c r="AO115" s="68"/>
      <c r="AP115" s="68"/>
      <c r="AQ115" s="68"/>
      <c r="AR115" s="68"/>
      <c r="AS115" s="68"/>
      <c r="AT115" s="68"/>
      <c r="AU115" s="68"/>
      <c r="AV115" s="68"/>
      <c r="AW115" s="68"/>
      <c r="AX115" s="68"/>
      <c r="AY115" s="69"/>
      <c r="AZ115" s="69"/>
      <c r="BA115" s="69"/>
      <c r="BB115" s="69"/>
      <c r="BC115" s="69"/>
      <c r="BD115" s="69"/>
      <c r="BE115" s="69"/>
      <c r="BF115" s="69"/>
      <c r="BG115" s="69"/>
      <c r="BH115" s="81"/>
      <c r="BI115" s="81"/>
      <c r="BJ115" s="81"/>
      <c r="BK115" s="81"/>
      <c r="BL115" s="81"/>
      <c r="BM115" s="81"/>
      <c r="BN115" s="81"/>
      <c r="BO115" s="81"/>
      <c r="BP115" s="81"/>
      <c r="BQ115" s="81"/>
      <c r="BR115" s="81"/>
    </row>
    <row r="116" spans="1:70" ht="14.25" customHeight="1" x14ac:dyDescent="0.3">
      <c r="A116" s="68"/>
      <c r="B116" s="68"/>
      <c r="C116" s="68"/>
      <c r="D116" s="68"/>
      <c r="E116" s="68"/>
      <c r="F116" s="68"/>
      <c r="G116" s="68"/>
      <c r="H116" s="68"/>
      <c r="I116" s="68"/>
      <c r="J116" s="68"/>
      <c r="K116" s="68"/>
      <c r="L116" s="68"/>
      <c r="M116" s="68"/>
      <c r="N116" s="68"/>
      <c r="O116" s="68"/>
      <c r="P116" s="68"/>
      <c r="Q116" s="42"/>
      <c r="R116" s="42"/>
      <c r="S116" s="42"/>
      <c r="T116" s="68"/>
      <c r="U116" s="68"/>
      <c r="V116" s="44"/>
      <c r="W116" s="44"/>
      <c r="X116" s="44"/>
      <c r="Y116" s="81"/>
      <c r="Z116" s="81"/>
      <c r="AA116" s="81"/>
      <c r="AB116" s="81"/>
      <c r="AC116" s="81"/>
      <c r="AD116" s="81"/>
      <c r="AE116" s="81"/>
      <c r="AF116" s="81"/>
      <c r="AG116" s="81"/>
      <c r="AH116" s="81"/>
      <c r="AI116" s="43"/>
      <c r="AJ116" s="68"/>
      <c r="AK116" s="68"/>
      <c r="AL116" s="68"/>
      <c r="AM116" s="68"/>
      <c r="AN116" s="68"/>
      <c r="AO116" s="68"/>
      <c r="AP116" s="68"/>
      <c r="AQ116" s="68"/>
      <c r="AR116" s="68"/>
      <c r="AS116" s="68"/>
      <c r="AT116" s="68"/>
      <c r="AU116" s="68"/>
      <c r="AV116" s="68"/>
      <c r="AW116" s="68"/>
      <c r="AX116" s="68"/>
      <c r="AY116" s="68"/>
      <c r="AZ116" s="42"/>
      <c r="BA116" s="42"/>
      <c r="BB116" s="42"/>
      <c r="BC116" s="68"/>
      <c r="BD116" s="68"/>
      <c r="BE116" s="44"/>
      <c r="BF116" s="44"/>
      <c r="BG116" s="44"/>
      <c r="BH116" s="81"/>
      <c r="BI116" s="81"/>
      <c r="BJ116" s="81"/>
      <c r="BK116" s="81"/>
      <c r="BL116" s="81"/>
      <c r="BM116" s="81"/>
      <c r="BN116" s="81"/>
      <c r="BO116" s="45"/>
      <c r="BP116" s="45"/>
    </row>
    <row r="117" spans="1:70" ht="14.25" customHeight="1" x14ac:dyDescent="0.25">
      <c r="A117" s="141" t="s">
        <v>254</v>
      </c>
      <c r="B117" s="141"/>
      <c r="C117" s="141"/>
      <c r="D117" s="141"/>
      <c r="E117" s="141"/>
      <c r="F117" s="141"/>
      <c r="G117" s="141"/>
      <c r="H117" s="141"/>
      <c r="I117" s="141"/>
      <c r="J117" s="141"/>
      <c r="K117" s="141"/>
      <c r="L117" s="141"/>
      <c r="M117" s="141"/>
      <c r="N117" s="141"/>
      <c r="O117" s="141"/>
      <c r="P117" s="142" t="s">
        <v>21</v>
      </c>
      <c r="Q117" s="142"/>
      <c r="R117" s="142"/>
      <c r="S117" s="142"/>
      <c r="T117" s="142"/>
      <c r="U117" s="142"/>
      <c r="V117" s="142"/>
      <c r="W117" s="142"/>
      <c r="X117" s="142"/>
      <c r="Y117" s="141" t="s">
        <v>69</v>
      </c>
      <c r="Z117" s="141"/>
      <c r="AA117" s="141"/>
      <c r="AB117" s="141"/>
      <c r="AC117" s="141"/>
      <c r="AD117" s="141"/>
      <c r="AE117" s="141"/>
      <c r="AF117" s="42"/>
      <c r="AG117" s="42"/>
      <c r="AH117" s="43"/>
      <c r="AI117" s="43"/>
      <c r="AJ117" s="141" t="s">
        <v>242</v>
      </c>
      <c r="AK117" s="141"/>
      <c r="AL117" s="141"/>
      <c r="AM117" s="141"/>
      <c r="AN117" s="141"/>
      <c r="AO117" s="141"/>
      <c r="AP117" s="141"/>
      <c r="AQ117" s="141"/>
      <c r="AR117" s="141"/>
      <c r="AS117" s="141"/>
      <c r="AT117" s="141"/>
      <c r="AU117" s="141"/>
      <c r="AV117" s="141"/>
      <c r="AW117" s="141"/>
      <c r="AX117" s="141"/>
      <c r="AY117" s="142" t="s">
        <v>21</v>
      </c>
      <c r="AZ117" s="142"/>
      <c r="BA117" s="142"/>
      <c r="BB117" s="142"/>
      <c r="BC117" s="142"/>
      <c r="BD117" s="142"/>
      <c r="BE117" s="142"/>
      <c r="BF117" s="142"/>
      <c r="BG117" s="142"/>
      <c r="BH117" s="203" t="s">
        <v>243</v>
      </c>
      <c r="BI117" s="203"/>
      <c r="BJ117" s="203"/>
      <c r="BK117" s="203"/>
      <c r="BL117" s="203"/>
      <c r="BM117" s="203"/>
      <c r="BN117" s="203"/>
      <c r="BO117" s="203"/>
      <c r="BP117" s="203"/>
      <c r="BQ117" s="203"/>
      <c r="BR117" s="203"/>
    </row>
    <row r="118" spans="1:70" ht="14.25" customHeight="1" x14ac:dyDescent="0.25">
      <c r="A118" s="141"/>
      <c r="B118" s="141"/>
      <c r="C118" s="141"/>
      <c r="D118" s="141"/>
      <c r="E118" s="141"/>
      <c r="F118" s="141"/>
      <c r="G118" s="141"/>
      <c r="H118" s="141"/>
      <c r="I118" s="141"/>
      <c r="J118" s="141"/>
      <c r="K118" s="141"/>
      <c r="L118" s="141"/>
      <c r="M118" s="141"/>
      <c r="N118" s="141"/>
      <c r="O118" s="141"/>
      <c r="P118" s="142"/>
      <c r="Q118" s="142"/>
      <c r="R118" s="142"/>
      <c r="S118" s="142"/>
      <c r="T118" s="142"/>
      <c r="U118" s="142"/>
      <c r="V118" s="142"/>
      <c r="W118" s="142"/>
      <c r="X118" s="142"/>
      <c r="Y118" s="141"/>
      <c r="Z118" s="141"/>
      <c r="AA118" s="141"/>
      <c r="AB118" s="141"/>
      <c r="AC118" s="141"/>
      <c r="AD118" s="141"/>
      <c r="AE118" s="141"/>
      <c r="AF118" s="42"/>
      <c r="AG118" s="42"/>
      <c r="AH118" s="43"/>
      <c r="AI118" s="43"/>
      <c r="AJ118" s="141"/>
      <c r="AK118" s="141"/>
      <c r="AL118" s="141"/>
      <c r="AM118" s="141"/>
      <c r="AN118" s="141"/>
      <c r="AO118" s="141"/>
      <c r="AP118" s="141"/>
      <c r="AQ118" s="141"/>
      <c r="AR118" s="141"/>
      <c r="AS118" s="141"/>
      <c r="AT118" s="141"/>
      <c r="AU118" s="141"/>
      <c r="AV118" s="141"/>
      <c r="AW118" s="141"/>
      <c r="AX118" s="141"/>
      <c r="AY118" s="142"/>
      <c r="AZ118" s="142"/>
      <c r="BA118" s="142"/>
      <c r="BB118" s="142"/>
      <c r="BC118" s="142"/>
      <c r="BD118" s="142"/>
      <c r="BE118" s="142"/>
      <c r="BF118" s="142"/>
      <c r="BG118" s="142"/>
      <c r="BH118" s="203"/>
      <c r="BI118" s="203"/>
      <c r="BJ118" s="203"/>
      <c r="BK118" s="203"/>
      <c r="BL118" s="203"/>
      <c r="BM118" s="203"/>
      <c r="BN118" s="203"/>
      <c r="BO118" s="203"/>
      <c r="BP118" s="203"/>
      <c r="BQ118" s="203"/>
      <c r="BR118" s="203"/>
    </row>
    <row r="119" spans="1:70" ht="14.25" customHeight="1" x14ac:dyDescent="0.25">
      <c r="A119" s="141"/>
      <c r="B119" s="141"/>
      <c r="C119" s="141"/>
      <c r="D119" s="141"/>
      <c r="E119" s="141"/>
      <c r="F119" s="141"/>
      <c r="G119" s="141"/>
      <c r="H119" s="141"/>
      <c r="I119" s="141"/>
      <c r="J119" s="141"/>
      <c r="K119" s="141"/>
      <c r="L119" s="141"/>
      <c r="M119" s="141"/>
      <c r="N119" s="141"/>
      <c r="O119" s="141"/>
      <c r="P119" s="142"/>
      <c r="Q119" s="142"/>
      <c r="R119" s="142"/>
      <c r="S119" s="142"/>
      <c r="T119" s="142"/>
      <c r="U119" s="142"/>
      <c r="V119" s="142"/>
      <c r="W119" s="142"/>
      <c r="X119" s="142"/>
      <c r="Y119" s="141"/>
      <c r="Z119" s="141"/>
      <c r="AA119" s="141"/>
      <c r="AB119" s="141"/>
      <c r="AC119" s="141"/>
      <c r="AD119" s="141"/>
      <c r="AE119" s="141"/>
      <c r="AF119" s="42"/>
      <c r="AG119" s="42"/>
      <c r="AH119" s="43"/>
      <c r="AI119" s="43"/>
      <c r="AJ119" s="141"/>
      <c r="AK119" s="141"/>
      <c r="AL119" s="141"/>
      <c r="AM119" s="141"/>
      <c r="AN119" s="141"/>
      <c r="AO119" s="141"/>
      <c r="AP119" s="141"/>
      <c r="AQ119" s="141"/>
      <c r="AR119" s="141"/>
      <c r="AS119" s="141"/>
      <c r="AT119" s="141"/>
      <c r="AU119" s="141"/>
      <c r="AV119" s="141"/>
      <c r="AW119" s="141"/>
      <c r="AX119" s="141"/>
      <c r="AY119" s="142"/>
      <c r="AZ119" s="142"/>
      <c r="BA119" s="142"/>
      <c r="BB119" s="142"/>
      <c r="BC119" s="142"/>
      <c r="BD119" s="142"/>
      <c r="BE119" s="142"/>
      <c r="BF119" s="142"/>
      <c r="BG119" s="142"/>
      <c r="BH119" s="203"/>
      <c r="BI119" s="203"/>
      <c r="BJ119" s="203"/>
      <c r="BK119" s="203"/>
      <c r="BL119" s="203"/>
      <c r="BM119" s="203"/>
      <c r="BN119" s="203"/>
      <c r="BO119" s="203"/>
      <c r="BP119" s="203"/>
      <c r="BQ119" s="203"/>
      <c r="BR119" s="203"/>
    </row>
    <row r="120" spans="1:70" ht="14.25" customHeight="1" x14ac:dyDescent="0.25">
      <c r="A120" s="141"/>
      <c r="B120" s="141"/>
      <c r="C120" s="141"/>
      <c r="D120" s="141"/>
      <c r="E120" s="141"/>
      <c r="F120" s="141"/>
      <c r="G120" s="141"/>
      <c r="H120" s="141"/>
      <c r="I120" s="141"/>
      <c r="J120" s="141"/>
      <c r="K120" s="141"/>
      <c r="L120" s="141"/>
      <c r="M120" s="141"/>
      <c r="N120" s="141"/>
      <c r="O120" s="141"/>
      <c r="P120" s="142"/>
      <c r="Q120" s="142"/>
      <c r="R120" s="142"/>
      <c r="S120" s="142"/>
      <c r="T120" s="142"/>
      <c r="U120" s="142"/>
      <c r="V120" s="142"/>
      <c r="W120" s="142"/>
      <c r="X120" s="142"/>
      <c r="Y120" s="141"/>
      <c r="Z120" s="141"/>
      <c r="AA120" s="141"/>
      <c r="AB120" s="141"/>
      <c r="AC120" s="141"/>
      <c r="AD120" s="141"/>
      <c r="AE120" s="141"/>
      <c r="AF120" s="42"/>
      <c r="AG120" s="42"/>
      <c r="AH120" s="43"/>
      <c r="AI120" s="81"/>
      <c r="AJ120" s="141"/>
      <c r="AK120" s="141"/>
      <c r="AL120" s="141"/>
      <c r="AM120" s="141"/>
      <c r="AN120" s="141"/>
      <c r="AO120" s="141"/>
      <c r="AP120" s="141"/>
      <c r="AQ120" s="141"/>
      <c r="AR120" s="141"/>
      <c r="AS120" s="141"/>
      <c r="AT120" s="141"/>
      <c r="AU120" s="141"/>
      <c r="AV120" s="141"/>
      <c r="AW120" s="141"/>
      <c r="AX120" s="141"/>
      <c r="AY120" s="142"/>
      <c r="AZ120" s="142"/>
      <c r="BA120" s="142"/>
      <c r="BB120" s="142"/>
      <c r="BC120" s="142"/>
      <c r="BD120" s="142"/>
      <c r="BE120" s="142"/>
      <c r="BF120" s="142"/>
      <c r="BG120" s="142"/>
      <c r="BH120" s="203"/>
      <c r="BI120" s="203"/>
      <c r="BJ120" s="203"/>
      <c r="BK120" s="203"/>
      <c r="BL120" s="203"/>
      <c r="BM120" s="203"/>
      <c r="BN120" s="203"/>
      <c r="BO120" s="203"/>
      <c r="BP120" s="203"/>
      <c r="BQ120" s="203"/>
      <c r="BR120" s="203"/>
    </row>
    <row r="121" spans="1:70" ht="14.25" customHeight="1" x14ac:dyDescent="0.25">
      <c r="A121" s="68"/>
      <c r="B121" s="68"/>
      <c r="C121" s="68"/>
      <c r="D121" s="68"/>
      <c r="E121" s="68"/>
      <c r="F121" s="68"/>
      <c r="G121" s="68"/>
      <c r="H121" s="68"/>
      <c r="I121" s="68"/>
      <c r="J121" s="68"/>
      <c r="K121" s="68"/>
      <c r="L121" s="68"/>
      <c r="M121" s="68"/>
      <c r="N121" s="68"/>
      <c r="O121" s="68"/>
      <c r="P121" s="43"/>
      <c r="Q121" s="43"/>
      <c r="R121" s="43"/>
      <c r="S121" s="43"/>
      <c r="T121" s="43"/>
      <c r="U121" s="43"/>
      <c r="V121" s="43"/>
      <c r="W121" s="43"/>
      <c r="X121" s="43"/>
      <c r="Y121" s="81"/>
      <c r="Z121" s="81"/>
      <c r="AA121" s="81"/>
      <c r="AB121" s="81"/>
      <c r="AC121" s="81"/>
      <c r="AD121" s="81"/>
      <c r="AE121" s="81"/>
      <c r="AF121" s="81"/>
      <c r="AG121" s="81"/>
      <c r="AH121" s="43"/>
      <c r="AI121" s="81"/>
      <c r="AJ121" s="68"/>
      <c r="AK121" s="68"/>
      <c r="AL121" s="68"/>
      <c r="AM121" s="68"/>
      <c r="AN121" s="68"/>
      <c r="AO121" s="68"/>
      <c r="AP121" s="68"/>
      <c r="AQ121" s="68"/>
      <c r="AR121" s="68"/>
      <c r="AS121" s="68"/>
      <c r="AT121" s="68"/>
      <c r="AU121" s="68"/>
      <c r="AV121" s="68"/>
      <c r="AW121" s="68"/>
      <c r="AX121" s="68"/>
      <c r="AY121" s="43"/>
      <c r="AZ121" s="43"/>
      <c r="BA121" s="43"/>
      <c r="BB121" s="43"/>
      <c r="BC121" s="43"/>
      <c r="BD121" s="43"/>
      <c r="BE121" s="43"/>
      <c r="BF121" s="43"/>
      <c r="BG121" s="43"/>
      <c r="BH121" s="81"/>
      <c r="BI121" s="81"/>
      <c r="BJ121" s="81"/>
      <c r="BK121" s="81"/>
      <c r="BL121" s="81"/>
      <c r="BM121" s="81"/>
      <c r="BN121" s="81"/>
      <c r="BO121" s="61"/>
      <c r="BP121" s="61"/>
    </row>
    <row r="122" spans="1:70" ht="14.25" customHeight="1" x14ac:dyDescent="0.25">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3"/>
      <c r="Z122" s="43"/>
      <c r="AA122" s="43"/>
      <c r="AB122" s="43"/>
      <c r="AC122" s="43"/>
      <c r="AD122" s="43"/>
      <c r="AE122" s="43"/>
      <c r="AF122" s="42"/>
      <c r="AG122" s="42"/>
      <c r="AH122" s="43"/>
      <c r="AI122" s="43"/>
      <c r="AJ122" s="42"/>
      <c r="AK122" s="42"/>
      <c r="AL122" s="42"/>
      <c r="AM122" s="42"/>
      <c r="AN122" s="42"/>
      <c r="AO122" s="42"/>
      <c r="AP122" s="42"/>
      <c r="AQ122" s="42"/>
      <c r="AR122" s="42"/>
      <c r="AS122" s="42"/>
      <c r="AT122" s="42"/>
      <c r="AU122" s="42"/>
      <c r="AV122" s="42"/>
      <c r="AW122" s="42"/>
      <c r="AX122" s="42"/>
      <c r="AY122" s="42"/>
      <c r="AZ122" s="42"/>
      <c r="BA122" s="42"/>
      <c r="BB122" s="42"/>
      <c r="BC122" s="42"/>
      <c r="BD122" s="42"/>
      <c r="BE122" s="42"/>
      <c r="BF122" s="42"/>
      <c r="BG122" s="42"/>
      <c r="BH122" s="42"/>
      <c r="BI122" s="42"/>
      <c r="BJ122" s="42"/>
      <c r="BK122" s="42"/>
      <c r="BL122" s="42"/>
      <c r="BM122" s="42"/>
      <c r="BN122" s="42"/>
      <c r="BO122" s="61"/>
      <c r="BP122" s="61"/>
    </row>
    <row r="123" spans="1:70" ht="14.25" customHeight="1" x14ac:dyDescent="0.25">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3"/>
      <c r="Z123" s="43"/>
      <c r="AA123" s="43"/>
      <c r="AB123" s="43"/>
      <c r="AC123" s="43"/>
      <c r="AD123" s="43"/>
      <c r="AE123" s="43"/>
      <c r="AF123" s="42"/>
      <c r="AG123" s="42"/>
      <c r="AH123" s="43"/>
      <c r="AI123" s="43"/>
      <c r="AJ123" s="42"/>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2"/>
      <c r="BH123" s="42"/>
      <c r="BI123" s="42"/>
      <c r="BJ123" s="42"/>
      <c r="BK123" s="42"/>
      <c r="BL123" s="42"/>
      <c r="BM123" s="42"/>
      <c r="BN123" s="42"/>
      <c r="BO123" s="61"/>
      <c r="BP123" s="61"/>
    </row>
    <row r="124" spans="1:70" ht="14.25" customHeight="1" x14ac:dyDescent="0.25">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3"/>
      <c r="Z124" s="43"/>
      <c r="AA124" s="43"/>
      <c r="AB124" s="43"/>
      <c r="AC124" s="43"/>
      <c r="AD124" s="43"/>
      <c r="AE124" s="43"/>
      <c r="AF124" s="42"/>
      <c r="AG124" s="42"/>
      <c r="AH124" s="43"/>
      <c r="AI124" s="43"/>
      <c r="AJ124" s="42"/>
      <c r="AK124" s="42"/>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42"/>
      <c r="BH124" s="42"/>
      <c r="BI124" s="42"/>
      <c r="BJ124" s="42"/>
      <c r="BK124" s="42"/>
      <c r="BL124" s="42"/>
      <c r="BM124" s="42"/>
      <c r="BN124" s="42"/>
      <c r="BO124" s="61"/>
      <c r="BP124" s="61"/>
    </row>
    <row r="125" spans="1:70" ht="14.25" customHeight="1" x14ac:dyDescent="0.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3"/>
      <c r="Z125" s="43"/>
      <c r="AA125" s="43"/>
      <c r="AB125" s="43"/>
      <c r="AC125" s="43"/>
      <c r="AD125" s="43"/>
      <c r="AE125" s="43"/>
      <c r="AF125" s="42"/>
      <c r="AG125" s="42"/>
      <c r="AH125" s="43"/>
      <c r="AI125" s="37"/>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row>
    <row r="126" spans="1:70" ht="14.25" customHeight="1" x14ac:dyDescent="0.3">
      <c r="A126" s="68"/>
      <c r="B126" s="46"/>
      <c r="C126" s="46"/>
      <c r="D126" s="68"/>
      <c r="E126" s="68"/>
      <c r="F126" s="68"/>
      <c r="G126" s="68"/>
      <c r="H126" s="68"/>
      <c r="I126" s="68"/>
      <c r="J126" s="68"/>
      <c r="K126" s="68"/>
      <c r="L126" s="68"/>
      <c r="M126" s="68"/>
      <c r="N126" s="68"/>
      <c r="O126" s="68"/>
      <c r="P126" s="42"/>
      <c r="Q126" s="42"/>
      <c r="R126" s="42"/>
      <c r="S126" s="42"/>
      <c r="T126" s="42"/>
      <c r="U126" s="42"/>
      <c r="V126" s="42"/>
      <c r="W126" s="42"/>
      <c r="X126" s="42"/>
      <c r="Y126" s="43"/>
      <c r="Z126" s="43"/>
      <c r="AA126" s="43"/>
      <c r="AB126" s="43"/>
      <c r="AC126" s="43"/>
      <c r="AD126" s="43"/>
      <c r="AE126" s="43"/>
      <c r="AF126" s="47"/>
      <c r="AG126" s="47"/>
      <c r="AH126" s="48"/>
      <c r="AI126" s="47"/>
      <c r="AJ126" s="68"/>
      <c r="AK126" s="68"/>
      <c r="AL126" s="68"/>
      <c r="AM126" s="68"/>
      <c r="AN126" s="68"/>
      <c r="AO126" s="68"/>
      <c r="AP126" s="68"/>
      <c r="AQ126" s="68"/>
      <c r="AR126" s="68"/>
      <c r="AS126" s="68"/>
      <c r="AT126" s="68"/>
      <c r="AU126" s="68"/>
      <c r="AV126" s="68"/>
      <c r="AW126" s="68"/>
      <c r="AX126" s="68"/>
      <c r="AY126" s="187"/>
      <c r="AZ126" s="187"/>
      <c r="BA126" s="187"/>
      <c r="BB126" s="187"/>
      <c r="BC126" s="187"/>
      <c r="BD126" s="187"/>
      <c r="BE126" s="187"/>
      <c r="BF126" s="187"/>
      <c r="BG126" s="187"/>
      <c r="BH126" s="187"/>
      <c r="BI126" s="187"/>
      <c r="BJ126" s="187"/>
      <c r="BK126" s="187"/>
      <c r="BL126" s="187"/>
      <c r="BM126" s="187"/>
      <c r="BN126" s="187"/>
      <c r="BO126" s="187"/>
      <c r="BP126" s="187"/>
    </row>
    <row r="127" spans="1:70" ht="14.25" customHeight="1" x14ac:dyDescent="0.3">
      <c r="A127" s="68"/>
      <c r="B127" s="46"/>
      <c r="C127" s="46"/>
      <c r="D127" s="68"/>
      <c r="E127" s="68"/>
      <c r="F127" s="68"/>
      <c r="G127" s="68"/>
      <c r="H127" s="68"/>
      <c r="I127" s="68"/>
      <c r="J127" s="68"/>
      <c r="K127" s="68"/>
      <c r="L127" s="68"/>
      <c r="M127" s="68"/>
      <c r="N127" s="68"/>
      <c r="O127" s="68"/>
      <c r="P127" s="42"/>
      <c r="Q127" s="42"/>
      <c r="R127" s="42"/>
      <c r="S127" s="42"/>
      <c r="T127" s="42"/>
      <c r="U127" s="42"/>
      <c r="V127" s="42"/>
      <c r="W127" s="42"/>
      <c r="X127" s="42"/>
      <c r="Y127" s="43"/>
      <c r="Z127" s="43"/>
      <c r="AA127" s="43"/>
      <c r="AB127" s="43"/>
      <c r="AC127" s="43"/>
      <c r="AD127" s="43"/>
      <c r="AE127" s="43"/>
      <c r="AF127" s="47"/>
      <c r="AG127" s="47"/>
      <c r="AH127" s="48"/>
      <c r="AI127" s="47"/>
      <c r="AJ127" s="68"/>
      <c r="AK127" s="68"/>
      <c r="AL127" s="68"/>
      <c r="AM127" s="68"/>
      <c r="AN127" s="68"/>
      <c r="AO127" s="68"/>
      <c r="AP127" s="68"/>
      <c r="AQ127" s="68"/>
      <c r="AR127" s="68"/>
      <c r="AS127" s="68"/>
      <c r="AT127" s="68"/>
      <c r="AU127" s="68"/>
      <c r="AV127" s="68"/>
      <c r="AW127" s="68"/>
      <c r="AX127" s="68"/>
      <c r="AY127" s="78"/>
      <c r="AZ127" s="78"/>
      <c r="BA127" s="78"/>
      <c r="BB127" s="78"/>
      <c r="BC127" s="78"/>
      <c r="BD127" s="78"/>
      <c r="BE127" s="78"/>
      <c r="BF127" s="78"/>
      <c r="BG127" s="78"/>
      <c r="BH127" s="78"/>
      <c r="BI127" s="78"/>
      <c r="BJ127" s="78"/>
      <c r="BK127" s="78"/>
      <c r="BL127" s="78"/>
      <c r="BM127" s="78"/>
      <c r="BN127" s="78"/>
      <c r="BO127" s="78"/>
      <c r="BP127" s="78"/>
    </row>
    <row r="128" spans="1:70" ht="14.25" customHeight="1" x14ac:dyDescent="0.3">
      <c r="A128" s="68"/>
      <c r="B128" s="46"/>
      <c r="C128" s="46"/>
      <c r="D128" s="68"/>
      <c r="E128" s="68"/>
      <c r="F128" s="68"/>
      <c r="G128" s="68"/>
      <c r="H128" s="68"/>
      <c r="I128" s="68"/>
      <c r="J128" s="68"/>
      <c r="K128" s="68"/>
      <c r="L128" s="68"/>
      <c r="M128" s="68"/>
      <c r="N128" s="68"/>
      <c r="O128" s="68"/>
      <c r="P128" s="42"/>
      <c r="Q128" s="42"/>
      <c r="R128" s="42"/>
      <c r="S128" s="42"/>
      <c r="T128" s="42"/>
      <c r="U128" s="42"/>
      <c r="V128" s="42"/>
      <c r="W128" s="42"/>
      <c r="X128" s="42"/>
      <c r="Y128" s="43"/>
      <c r="Z128" s="43"/>
      <c r="AA128" s="43"/>
      <c r="AB128" s="43"/>
      <c r="AC128" s="43"/>
      <c r="AD128" s="43"/>
      <c r="AE128" s="43"/>
      <c r="AF128" s="47"/>
      <c r="AG128" s="47"/>
      <c r="AH128" s="48"/>
      <c r="AI128" s="47"/>
      <c r="AJ128" s="68"/>
      <c r="AK128" s="68"/>
      <c r="AL128" s="68"/>
      <c r="AM128" s="68"/>
      <c r="AN128" s="68"/>
      <c r="AO128" s="68"/>
      <c r="AP128" s="68"/>
      <c r="AQ128" s="68"/>
      <c r="AR128" s="68"/>
      <c r="AS128" s="68"/>
      <c r="AT128" s="68"/>
      <c r="AU128" s="68"/>
      <c r="AV128" s="68"/>
      <c r="AW128" s="68"/>
      <c r="AX128" s="68"/>
      <c r="AY128" s="78"/>
      <c r="AZ128" s="78"/>
      <c r="BA128" s="78"/>
      <c r="BB128" s="78"/>
      <c r="BC128" s="78"/>
      <c r="BD128" s="78"/>
      <c r="BE128" s="78"/>
      <c r="BF128" s="78"/>
      <c r="BG128" s="78"/>
      <c r="BH128" s="78"/>
      <c r="BI128" s="78"/>
      <c r="BJ128" s="78"/>
      <c r="BK128" s="78"/>
      <c r="BL128" s="78"/>
      <c r="BM128" s="78"/>
      <c r="BN128" s="78"/>
      <c r="BO128" s="78"/>
      <c r="BP128" s="78"/>
    </row>
    <row r="129" spans="1:68" ht="14.25" customHeight="1" x14ac:dyDescent="0.3">
      <c r="A129" s="45"/>
      <c r="B129" s="45"/>
      <c r="C129" s="45"/>
      <c r="D129" s="45"/>
      <c r="E129" s="45"/>
      <c r="F129" s="45"/>
      <c r="G129" s="45"/>
      <c r="H129" s="45"/>
      <c r="I129" s="45"/>
      <c r="J129" s="45"/>
      <c r="K129" s="45"/>
      <c r="L129" s="45"/>
      <c r="M129" s="45"/>
      <c r="N129" s="45"/>
      <c r="O129" s="45"/>
      <c r="P129" s="42"/>
      <c r="Q129" s="42"/>
      <c r="R129" s="42"/>
      <c r="S129" s="42"/>
      <c r="T129" s="42"/>
      <c r="U129" s="42"/>
      <c r="V129" s="42"/>
      <c r="W129" s="42"/>
      <c r="X129" s="42"/>
      <c r="Y129" s="43"/>
      <c r="Z129" s="43"/>
      <c r="AA129" s="43"/>
      <c r="AB129" s="43"/>
      <c r="AC129" s="43"/>
      <c r="AD129" s="43"/>
      <c r="AE129" s="43"/>
      <c r="AF129" s="45"/>
      <c r="AG129" s="45"/>
      <c r="AH129" s="48"/>
      <c r="AI129" s="48"/>
      <c r="AJ129" s="206"/>
      <c r="AK129" s="206"/>
      <c r="AL129" s="206"/>
      <c r="AM129" s="206"/>
      <c r="AN129" s="206"/>
      <c r="AO129" s="206"/>
      <c r="AP129" s="206"/>
      <c r="AQ129" s="206"/>
      <c r="AR129" s="206"/>
      <c r="AS129" s="206"/>
      <c r="AT129" s="206"/>
      <c r="AU129" s="206"/>
      <c r="AV129" s="206"/>
      <c r="AW129" s="206"/>
      <c r="AX129" s="206"/>
      <c r="AY129" s="187"/>
      <c r="AZ129" s="187"/>
      <c r="BA129" s="187"/>
      <c r="BB129" s="187"/>
      <c r="BC129" s="187"/>
      <c r="BD129" s="187"/>
      <c r="BE129" s="187"/>
      <c r="BF129" s="187"/>
      <c r="BG129" s="187"/>
      <c r="BH129" s="187"/>
      <c r="BI129" s="187"/>
      <c r="BJ129" s="187"/>
      <c r="BK129" s="187"/>
      <c r="BL129" s="187"/>
      <c r="BM129" s="187"/>
      <c r="BN129" s="187"/>
      <c r="BO129" s="187"/>
      <c r="BP129" s="187"/>
    </row>
    <row r="130" spans="1:68" ht="14.25" customHeight="1" x14ac:dyDescent="0.3">
      <c r="A130" s="45"/>
      <c r="B130" s="45"/>
      <c r="C130" s="45"/>
      <c r="D130" s="45"/>
      <c r="E130" s="45"/>
      <c r="F130" s="45"/>
      <c r="G130" s="45"/>
      <c r="H130" s="45"/>
      <c r="I130" s="45"/>
      <c r="J130" s="45"/>
      <c r="K130" s="45"/>
      <c r="L130" s="45"/>
      <c r="M130" s="45"/>
      <c r="N130" s="45"/>
      <c r="O130" s="45"/>
      <c r="P130" s="42"/>
      <c r="Q130" s="42"/>
      <c r="R130" s="42"/>
      <c r="S130" s="42"/>
      <c r="T130" s="42"/>
      <c r="U130" s="42"/>
      <c r="V130" s="42"/>
      <c r="W130" s="42"/>
      <c r="X130" s="42"/>
      <c r="Y130" s="43"/>
      <c r="Z130" s="43"/>
      <c r="AA130" s="43"/>
      <c r="AB130" s="43"/>
      <c r="AC130" s="43"/>
      <c r="AD130" s="43"/>
      <c r="AE130" s="43"/>
      <c r="AF130" s="45"/>
      <c r="AG130" s="45"/>
      <c r="AH130" s="48"/>
      <c r="AI130" s="37"/>
      <c r="AJ130" s="206"/>
      <c r="AK130" s="206"/>
      <c r="AL130" s="206"/>
      <c r="AM130" s="206"/>
      <c r="AN130" s="206"/>
      <c r="AO130" s="206"/>
      <c r="AP130" s="206"/>
      <c r="AQ130" s="206"/>
      <c r="AR130" s="206"/>
      <c r="AS130" s="206"/>
      <c r="AT130" s="206"/>
      <c r="AU130" s="206"/>
      <c r="AV130" s="206"/>
      <c r="AW130" s="206"/>
      <c r="AX130" s="206"/>
      <c r="AY130" s="45"/>
      <c r="AZ130" s="45"/>
      <c r="BA130" s="45"/>
      <c r="BB130" s="45"/>
      <c r="BC130" s="45"/>
      <c r="BD130" s="45"/>
      <c r="BE130" s="45"/>
      <c r="BF130" s="45"/>
      <c r="BG130" s="45"/>
    </row>
    <row r="131" spans="1:68" ht="14.25" customHeight="1" x14ac:dyDescent="0.25">
      <c r="A131" s="82"/>
      <c r="B131" s="51"/>
      <c r="C131" s="51"/>
      <c r="D131" s="82"/>
      <c r="E131" s="82"/>
      <c r="F131" s="82"/>
      <c r="G131" s="82"/>
      <c r="H131" s="82"/>
      <c r="I131" s="82"/>
      <c r="J131" s="82"/>
      <c r="K131" s="82"/>
      <c r="L131" s="82"/>
      <c r="M131" s="82"/>
      <c r="N131" s="82"/>
      <c r="O131" s="82"/>
      <c r="P131" s="82"/>
      <c r="Q131" s="82"/>
      <c r="R131" s="82"/>
      <c r="S131" s="82"/>
      <c r="T131" s="82"/>
      <c r="U131" s="82"/>
      <c r="V131" s="82"/>
      <c r="W131" s="82"/>
      <c r="X131" s="82"/>
      <c r="Y131" s="52"/>
      <c r="Z131" s="52"/>
      <c r="AA131" s="52"/>
      <c r="AB131" s="52"/>
      <c r="AC131" s="52"/>
      <c r="AD131" s="52"/>
      <c r="AE131" s="52"/>
      <c r="AF131" s="52"/>
      <c r="AG131" s="52"/>
      <c r="AH131" s="52"/>
      <c r="AI131" s="52"/>
      <c r="AJ131" s="52"/>
      <c r="AK131" s="52"/>
      <c r="AL131" s="52"/>
      <c r="AM131" s="52"/>
      <c r="AN131" s="52"/>
      <c r="AO131" s="52"/>
      <c r="AP131" s="52"/>
    </row>
    <row r="132" spans="1:68" ht="14.25" customHeight="1" x14ac:dyDescent="0.3">
      <c r="A132" s="49"/>
      <c r="B132" s="49"/>
      <c r="C132" s="49"/>
      <c r="D132" s="49"/>
      <c r="E132" s="49"/>
      <c r="F132" s="49"/>
      <c r="G132" s="49"/>
      <c r="H132" s="49"/>
      <c r="I132" s="49"/>
      <c r="J132" s="49"/>
      <c r="K132" s="49"/>
      <c r="L132" s="49"/>
      <c r="M132" s="49"/>
      <c r="N132" s="49"/>
      <c r="O132" s="49"/>
      <c r="P132" s="49"/>
      <c r="Q132" s="49"/>
      <c r="R132" s="49"/>
      <c r="S132" s="49"/>
      <c r="T132" s="53"/>
      <c r="U132" s="53"/>
      <c r="V132" s="54"/>
      <c r="W132" s="49"/>
      <c r="X132" s="49"/>
      <c r="Y132" s="49"/>
      <c r="Z132" s="49"/>
      <c r="AA132" s="49"/>
      <c r="AB132" s="49"/>
      <c r="AC132" s="49"/>
      <c r="AD132" s="49"/>
      <c r="AE132" s="49"/>
      <c r="AF132" s="49"/>
      <c r="AG132" s="49"/>
      <c r="AH132" s="55"/>
      <c r="AI132" s="55"/>
      <c r="AJ132" s="62"/>
      <c r="AK132" s="62"/>
      <c r="AL132" s="62"/>
      <c r="AM132" s="62"/>
      <c r="AN132" s="62"/>
      <c r="AO132" s="62"/>
      <c r="AP132" s="62"/>
    </row>
    <row r="133" spans="1:68" ht="14.25" customHeight="1" x14ac:dyDescent="0.25">
      <c r="A133" s="82"/>
      <c r="B133" s="51"/>
      <c r="C133" s="51"/>
      <c r="D133" s="82"/>
      <c r="E133" s="82"/>
      <c r="F133" s="82"/>
      <c r="G133" s="82"/>
      <c r="H133" s="82"/>
      <c r="I133" s="82"/>
      <c r="J133" s="82"/>
      <c r="K133" s="82"/>
      <c r="L133" s="82"/>
      <c r="M133" s="82"/>
      <c r="N133" s="82"/>
      <c r="O133" s="82"/>
      <c r="P133" s="82"/>
      <c r="Q133" s="49"/>
      <c r="R133" s="49"/>
      <c r="S133" s="49"/>
      <c r="T133" s="53"/>
      <c r="U133" s="53"/>
      <c r="V133" s="54"/>
      <c r="W133" s="54"/>
      <c r="X133" s="54"/>
      <c r="Y133" s="56"/>
      <c r="Z133" s="56"/>
      <c r="AA133" s="56"/>
      <c r="AB133" s="56"/>
      <c r="AC133" s="56"/>
      <c r="AD133" s="56"/>
      <c r="AE133" s="56"/>
      <c r="AF133" s="56"/>
      <c r="AG133" s="56"/>
      <c r="AH133" s="56"/>
      <c r="AI133" s="55"/>
      <c r="AJ133" s="56"/>
      <c r="AK133" s="56"/>
      <c r="AL133" s="56"/>
      <c r="AM133" s="56"/>
      <c r="AN133" s="56"/>
      <c r="AO133" s="56"/>
      <c r="AP133" s="56"/>
    </row>
    <row r="134" spans="1:68" ht="14.25" customHeight="1" x14ac:dyDescent="0.3">
      <c r="A134" s="49"/>
      <c r="B134" s="49"/>
      <c r="C134" s="49"/>
      <c r="D134" s="49"/>
      <c r="E134" s="49"/>
      <c r="F134" s="49"/>
      <c r="G134" s="49"/>
      <c r="H134" s="49"/>
      <c r="I134" s="49"/>
      <c r="J134" s="49"/>
      <c r="K134" s="49"/>
      <c r="L134" s="49"/>
      <c r="M134" s="49"/>
      <c r="N134" s="49"/>
      <c r="O134" s="49"/>
      <c r="P134" s="49"/>
      <c r="Q134" s="49"/>
      <c r="R134" s="49"/>
      <c r="S134" s="49"/>
      <c r="T134" s="52"/>
      <c r="U134" s="52"/>
      <c r="V134" s="54"/>
      <c r="W134" s="49"/>
      <c r="X134" s="49"/>
      <c r="Y134" s="49"/>
      <c r="Z134" s="49"/>
      <c r="AA134" s="49"/>
      <c r="AB134" s="49"/>
      <c r="AC134" s="49"/>
      <c r="AD134" s="49"/>
      <c r="AE134" s="49"/>
      <c r="AF134" s="49"/>
      <c r="AG134" s="49"/>
      <c r="AH134" s="55"/>
      <c r="AI134" s="55"/>
      <c r="AJ134" s="62"/>
      <c r="AK134" s="62"/>
      <c r="AL134" s="62"/>
      <c r="AM134" s="62"/>
      <c r="AN134" s="62"/>
      <c r="AO134" s="62"/>
      <c r="AP134" s="62"/>
    </row>
    <row r="135" spans="1:68" ht="14.25" customHeight="1" x14ac:dyDescent="0.25">
      <c r="A135" s="82"/>
      <c r="B135" s="51"/>
      <c r="C135" s="51"/>
      <c r="D135" s="82"/>
      <c r="E135" s="82"/>
      <c r="F135" s="82"/>
      <c r="G135" s="82"/>
      <c r="H135" s="82"/>
      <c r="I135" s="82"/>
      <c r="J135" s="82"/>
      <c r="K135" s="82"/>
      <c r="L135" s="82"/>
      <c r="M135" s="82"/>
      <c r="N135" s="82"/>
      <c r="O135" s="82"/>
      <c r="P135" s="82"/>
      <c r="Q135" s="82"/>
      <c r="R135" s="82"/>
      <c r="S135" s="82"/>
      <c r="T135" s="52"/>
      <c r="U135" s="52"/>
      <c r="V135" s="54"/>
      <c r="W135" s="54"/>
      <c r="X135" s="57"/>
      <c r="Y135" s="56"/>
      <c r="Z135" s="56"/>
      <c r="AA135" s="56"/>
      <c r="AB135" s="56"/>
      <c r="AC135" s="56"/>
      <c r="AD135" s="56"/>
      <c r="AE135" s="56"/>
      <c r="AF135" s="56"/>
      <c r="AG135" s="56"/>
      <c r="AH135" s="56"/>
      <c r="AI135" s="56"/>
      <c r="AJ135" s="56"/>
      <c r="AK135" s="56"/>
      <c r="AL135" s="56"/>
      <c r="AM135" s="56"/>
      <c r="AN135" s="56"/>
      <c r="AO135" s="56"/>
      <c r="AP135" s="56"/>
    </row>
    <row r="136" spans="1:68" ht="14.25" customHeight="1" x14ac:dyDescent="0.3">
      <c r="A136" s="49"/>
      <c r="B136" s="55"/>
      <c r="C136" s="55"/>
      <c r="D136" s="55"/>
      <c r="E136" s="55"/>
      <c r="F136" s="55"/>
      <c r="G136" s="55"/>
      <c r="H136" s="55"/>
      <c r="I136" s="55"/>
      <c r="J136" s="55"/>
      <c r="K136" s="55"/>
      <c r="L136" s="55"/>
      <c r="M136" s="55"/>
      <c r="N136" s="55"/>
      <c r="O136" s="55"/>
      <c r="P136" s="55"/>
      <c r="Q136" s="55"/>
      <c r="R136" s="55"/>
      <c r="S136" s="55"/>
      <c r="T136" s="55"/>
      <c r="U136" s="52"/>
      <c r="V136" s="54"/>
      <c r="W136" s="49"/>
      <c r="X136" s="49"/>
      <c r="Y136" s="49"/>
      <c r="Z136" s="49"/>
      <c r="AA136" s="49"/>
      <c r="AB136" s="49"/>
      <c r="AC136" s="49"/>
      <c r="AD136" s="49"/>
      <c r="AE136" s="49"/>
      <c r="AF136" s="49"/>
      <c r="AG136" s="49"/>
      <c r="AH136" s="56"/>
      <c r="AI136" s="56"/>
      <c r="AJ136" s="62"/>
      <c r="AK136" s="62"/>
      <c r="AL136" s="62"/>
      <c r="AM136" s="62"/>
      <c r="AN136" s="62"/>
      <c r="AO136" s="62"/>
      <c r="AP136" s="62"/>
    </row>
    <row r="137" spans="1:68" ht="14.25" customHeight="1" x14ac:dyDescent="0.25">
      <c r="A137" s="55"/>
      <c r="B137" s="55"/>
      <c r="C137" s="55"/>
      <c r="D137" s="55"/>
      <c r="E137" s="55"/>
      <c r="F137" s="55"/>
      <c r="G137" s="55"/>
      <c r="H137" s="55"/>
      <c r="I137" s="55"/>
      <c r="J137" s="55"/>
      <c r="K137" s="55"/>
      <c r="L137" s="55"/>
      <c r="M137" s="55"/>
      <c r="N137" s="55"/>
      <c r="O137" s="55"/>
      <c r="P137" s="55"/>
      <c r="Q137" s="55"/>
      <c r="R137" s="55"/>
      <c r="S137" s="56"/>
      <c r="T137" s="52"/>
      <c r="U137" s="52"/>
      <c r="V137" s="54"/>
      <c r="W137" s="54"/>
      <c r="X137" s="57"/>
      <c r="Y137" s="56"/>
      <c r="Z137" s="55"/>
      <c r="AA137" s="55"/>
      <c r="AB137" s="55"/>
      <c r="AC137" s="55"/>
      <c r="AD137" s="55"/>
      <c r="AE137" s="55"/>
      <c r="AF137" s="55"/>
      <c r="AG137" s="55"/>
      <c r="AH137" s="56"/>
      <c r="AI137" s="56"/>
      <c r="AJ137" s="55"/>
      <c r="AK137" s="55"/>
      <c r="AL137" s="55"/>
      <c r="AM137" s="55"/>
      <c r="AN137" s="55"/>
      <c r="AO137" s="55"/>
      <c r="AP137" s="55"/>
    </row>
    <row r="138" spans="1:68" ht="14.25" customHeight="1" x14ac:dyDescent="0.25">
      <c r="A138" s="55"/>
      <c r="B138" s="55"/>
      <c r="C138" s="55"/>
      <c r="D138" s="55"/>
      <c r="E138" s="55"/>
      <c r="F138" s="55"/>
      <c r="G138" s="55"/>
      <c r="H138" s="55"/>
      <c r="I138" s="55"/>
      <c r="J138" s="55"/>
      <c r="K138" s="55"/>
      <c r="L138" s="55"/>
      <c r="M138" s="55"/>
      <c r="N138" s="55"/>
      <c r="O138" s="55"/>
      <c r="P138" s="55"/>
      <c r="Q138" s="55"/>
      <c r="R138" s="55"/>
      <c r="S138" s="55"/>
      <c r="T138" s="56"/>
      <c r="U138" s="52"/>
      <c r="V138" s="54"/>
      <c r="W138" s="54"/>
      <c r="X138" s="52"/>
      <c r="Y138" s="55"/>
      <c r="Z138" s="55"/>
      <c r="AA138" s="55"/>
      <c r="AB138" s="55"/>
      <c r="AC138" s="55"/>
      <c r="AD138" s="55"/>
      <c r="AE138" s="55"/>
      <c r="AF138" s="55"/>
      <c r="AG138" s="55"/>
      <c r="AH138" s="55"/>
      <c r="AI138" s="55"/>
      <c r="AJ138" s="55"/>
      <c r="AK138" s="55"/>
      <c r="AL138" s="55"/>
      <c r="AM138" s="55"/>
      <c r="AN138" s="55"/>
      <c r="AO138" s="55"/>
      <c r="AP138" s="55"/>
    </row>
    <row r="139" spans="1:68" ht="14.25" customHeight="1" x14ac:dyDescent="0.3">
      <c r="A139" s="49"/>
      <c r="B139" s="49"/>
      <c r="C139" s="49"/>
      <c r="D139" s="49"/>
      <c r="E139" s="49"/>
      <c r="F139" s="49"/>
      <c r="G139" s="49"/>
      <c r="H139" s="49"/>
      <c r="I139" s="49"/>
      <c r="J139" s="49"/>
      <c r="K139" s="49"/>
      <c r="L139" s="49"/>
      <c r="M139" s="49"/>
      <c r="N139" s="49"/>
      <c r="O139" s="49"/>
      <c r="P139" s="49"/>
      <c r="Q139" s="49"/>
      <c r="R139" s="49"/>
      <c r="S139" s="49"/>
      <c r="T139" s="49"/>
      <c r="U139" s="49"/>
      <c r="V139" s="54"/>
      <c r="W139" s="49"/>
      <c r="X139" s="49"/>
      <c r="Y139" s="49"/>
      <c r="Z139" s="49"/>
      <c r="AA139" s="49"/>
      <c r="AB139" s="49"/>
      <c r="AC139" s="49"/>
      <c r="AD139" s="49"/>
      <c r="AE139" s="49"/>
      <c r="AF139" s="49"/>
      <c r="AG139" s="49"/>
      <c r="AH139" s="50"/>
      <c r="AI139" s="50"/>
      <c r="AJ139" s="62"/>
      <c r="AK139" s="62"/>
      <c r="AL139" s="62"/>
      <c r="AM139" s="62"/>
      <c r="AN139" s="62"/>
      <c r="AO139" s="62"/>
      <c r="AP139" s="62"/>
    </row>
    <row r="140" spans="1:68" ht="14.25" customHeight="1" x14ac:dyDescent="0.25">
      <c r="A140" s="82"/>
      <c r="B140" s="51"/>
      <c r="C140" s="51"/>
      <c r="D140" s="82"/>
      <c r="E140" s="82"/>
      <c r="F140" s="82"/>
      <c r="G140" s="82"/>
      <c r="H140" s="82"/>
      <c r="I140" s="82"/>
      <c r="J140" s="82"/>
      <c r="K140" s="82"/>
      <c r="L140" s="82"/>
      <c r="M140" s="82"/>
      <c r="N140" s="82"/>
      <c r="O140" s="82"/>
      <c r="P140" s="82"/>
      <c r="Q140" s="82"/>
      <c r="R140" s="82"/>
      <c r="S140" s="82"/>
      <c r="T140" s="82"/>
      <c r="U140" s="82"/>
      <c r="V140" s="54"/>
      <c r="W140" s="54"/>
      <c r="X140" s="52"/>
      <c r="Y140" s="50"/>
      <c r="Z140" s="50"/>
      <c r="AA140" s="50"/>
      <c r="AB140" s="77"/>
      <c r="AC140" s="77"/>
      <c r="AD140" s="77"/>
      <c r="AE140" s="77"/>
      <c r="AF140" s="77"/>
      <c r="AG140" s="77"/>
      <c r="AH140" s="77"/>
      <c r="AI140" s="77"/>
      <c r="AJ140" s="50"/>
      <c r="AK140" s="77"/>
      <c r="AL140" s="77"/>
      <c r="AM140" s="77"/>
      <c r="AN140" s="77"/>
      <c r="AO140" s="77"/>
      <c r="AP140" s="77"/>
    </row>
    <row r="141" spans="1:68" ht="14.25" customHeight="1" x14ac:dyDescent="0.3">
      <c r="A141" s="49"/>
      <c r="B141" s="49"/>
      <c r="C141" s="49"/>
      <c r="D141" s="49"/>
      <c r="E141" s="49"/>
      <c r="F141" s="49"/>
      <c r="G141" s="49"/>
      <c r="H141" s="49"/>
      <c r="I141" s="49"/>
      <c r="J141" s="49"/>
      <c r="K141" s="49"/>
      <c r="L141" s="49"/>
      <c r="M141" s="49"/>
      <c r="N141" s="49"/>
      <c r="O141" s="49"/>
      <c r="P141" s="49"/>
      <c r="Q141" s="49"/>
      <c r="R141" s="49"/>
      <c r="S141" s="49"/>
      <c r="T141" s="49"/>
      <c r="U141" s="49"/>
      <c r="V141" s="54"/>
      <c r="W141" s="49"/>
      <c r="X141" s="49"/>
      <c r="Y141" s="49"/>
      <c r="Z141" s="49"/>
      <c r="AA141" s="49"/>
      <c r="AB141" s="49"/>
      <c r="AC141" s="49"/>
      <c r="AD141" s="49"/>
      <c r="AE141" s="49"/>
      <c r="AF141" s="49"/>
      <c r="AG141" s="49"/>
      <c r="AH141" s="50"/>
      <c r="AI141" s="50"/>
      <c r="AJ141" s="62"/>
      <c r="AK141" s="62"/>
      <c r="AL141" s="62"/>
      <c r="AM141" s="62"/>
      <c r="AN141" s="62"/>
      <c r="AO141" s="62"/>
      <c r="AP141" s="62"/>
    </row>
    <row r="142" spans="1:68" ht="14.25" customHeight="1" x14ac:dyDescent="0.25"/>
  </sheetData>
  <mergeCells count="740">
    <mergeCell ref="A19:Q22"/>
    <mergeCell ref="R19:AY22"/>
    <mergeCell ref="AZ19:BR22"/>
    <mergeCell ref="A23:Q26"/>
    <mergeCell ref="R23:AY26"/>
    <mergeCell ref="AZ23:BR26"/>
    <mergeCell ref="BL67:BN67"/>
    <mergeCell ref="BO67:BR67"/>
    <mergeCell ref="B93:BR93"/>
    <mergeCell ref="AZ84:BB84"/>
    <mergeCell ref="BC84:BE84"/>
    <mergeCell ref="BF84:BH84"/>
    <mergeCell ref="BI84:BK84"/>
    <mergeCell ref="BL84:BN84"/>
    <mergeCell ref="BO84:BR84"/>
    <mergeCell ref="AH84:AJ84"/>
    <mergeCell ref="AK84:AM84"/>
    <mergeCell ref="AN84:AP84"/>
    <mergeCell ref="AQ84:AS84"/>
    <mergeCell ref="AT84:AV84"/>
    <mergeCell ref="AW84:AY84"/>
    <mergeCell ref="B84:C84"/>
    <mergeCell ref="D84:O84"/>
    <mergeCell ref="P84:R84"/>
    <mergeCell ref="B95:BR95"/>
    <mergeCell ref="B96:BR96"/>
    <mergeCell ref="B97:BR97"/>
    <mergeCell ref="B98:BR98"/>
    <mergeCell ref="B99:BR99"/>
    <mergeCell ref="AK67:AM67"/>
    <mergeCell ref="AN67:AP67"/>
    <mergeCell ref="AQ67:AS67"/>
    <mergeCell ref="AT67:AV67"/>
    <mergeCell ref="AW67:AY67"/>
    <mergeCell ref="AZ67:BB67"/>
    <mergeCell ref="BC67:BE67"/>
    <mergeCell ref="BF67:BH67"/>
    <mergeCell ref="BI67:BK67"/>
    <mergeCell ref="B67:C67"/>
    <mergeCell ref="D67:O67"/>
    <mergeCell ref="P67:R67"/>
    <mergeCell ref="S67:U67"/>
    <mergeCell ref="V67:X67"/>
    <mergeCell ref="Y67:AA67"/>
    <mergeCell ref="AB67:AD67"/>
    <mergeCell ref="AE67:AG67"/>
    <mergeCell ref="AH67:AJ67"/>
    <mergeCell ref="BO83:BR83"/>
    <mergeCell ref="S84:U84"/>
    <mergeCell ref="V84:X84"/>
    <mergeCell ref="Y84:AA84"/>
    <mergeCell ref="AB84:AD84"/>
    <mergeCell ref="AE84:AG84"/>
    <mergeCell ref="AT83:AV83"/>
    <mergeCell ref="AW83:AY83"/>
    <mergeCell ref="AZ83:BB83"/>
    <mergeCell ref="BC83:BE83"/>
    <mergeCell ref="AB83:AD83"/>
    <mergeCell ref="AE83:AG83"/>
    <mergeCell ref="AH83:AJ83"/>
    <mergeCell ref="AK83:AM83"/>
    <mergeCell ref="AN83:AP83"/>
    <mergeCell ref="AQ83:AS83"/>
    <mergeCell ref="B83:C83"/>
    <mergeCell ref="D83:O83"/>
    <mergeCell ref="P83:R83"/>
    <mergeCell ref="S83:U83"/>
    <mergeCell ref="V83:X83"/>
    <mergeCell ref="Y83:AA83"/>
    <mergeCell ref="AZ82:BB82"/>
    <mergeCell ref="BC82:BE82"/>
    <mergeCell ref="BF82:BH82"/>
    <mergeCell ref="B82:C82"/>
    <mergeCell ref="D82:O82"/>
    <mergeCell ref="P82:R82"/>
    <mergeCell ref="S82:U82"/>
    <mergeCell ref="V82:X82"/>
    <mergeCell ref="Y82:AA82"/>
    <mergeCell ref="AB82:AD82"/>
    <mergeCell ref="AE82:AG82"/>
    <mergeCell ref="BI82:BK82"/>
    <mergeCell ref="BL82:BN82"/>
    <mergeCell ref="BL83:BN83"/>
    <mergeCell ref="BO82:BR82"/>
    <mergeCell ref="AH82:AJ82"/>
    <mergeCell ref="AK82:AM82"/>
    <mergeCell ref="AN82:AP82"/>
    <mergeCell ref="AQ82:AS82"/>
    <mergeCell ref="AT82:AV82"/>
    <mergeCell ref="AW82:AY82"/>
    <mergeCell ref="BF83:BH83"/>
    <mergeCell ref="BI83:BK83"/>
    <mergeCell ref="AT81:AV81"/>
    <mergeCell ref="AB81:AD81"/>
    <mergeCell ref="AE81:AG81"/>
    <mergeCell ref="AH81:AJ81"/>
    <mergeCell ref="AK81:AM81"/>
    <mergeCell ref="AN81:AP81"/>
    <mergeCell ref="AQ81:AS81"/>
    <mergeCell ref="B81:C81"/>
    <mergeCell ref="D81:O81"/>
    <mergeCell ref="P81:R81"/>
    <mergeCell ref="S81:U81"/>
    <mergeCell ref="V81:X81"/>
    <mergeCell ref="Y81:AA81"/>
    <mergeCell ref="AB79:AD79"/>
    <mergeCell ref="AE79:AG79"/>
    <mergeCell ref="BC80:BE80"/>
    <mergeCell ref="BF80:BH80"/>
    <mergeCell ref="BI80:BK80"/>
    <mergeCell ref="BL80:BN80"/>
    <mergeCell ref="BO80:BR80"/>
    <mergeCell ref="AH80:AJ80"/>
    <mergeCell ref="AK80:AM80"/>
    <mergeCell ref="AN80:AP80"/>
    <mergeCell ref="AQ80:AS80"/>
    <mergeCell ref="AT80:AV80"/>
    <mergeCell ref="AW80:AY80"/>
    <mergeCell ref="B79:C79"/>
    <mergeCell ref="D79:O79"/>
    <mergeCell ref="AZ80:BB80"/>
    <mergeCell ref="P79:R79"/>
    <mergeCell ref="S79:U79"/>
    <mergeCell ref="V79:X79"/>
    <mergeCell ref="Y79:AA79"/>
    <mergeCell ref="BL81:BN81"/>
    <mergeCell ref="BO81:BR81"/>
    <mergeCell ref="AW81:AY81"/>
    <mergeCell ref="AZ81:BB81"/>
    <mergeCell ref="BC81:BE81"/>
    <mergeCell ref="BF81:BH81"/>
    <mergeCell ref="BI81:BK81"/>
    <mergeCell ref="BO79:BR79"/>
    <mergeCell ref="B80:C80"/>
    <mergeCell ref="D80:O80"/>
    <mergeCell ref="P80:R80"/>
    <mergeCell ref="S80:U80"/>
    <mergeCell ref="V80:X80"/>
    <mergeCell ref="Y80:AA80"/>
    <mergeCell ref="AB80:AD80"/>
    <mergeCell ref="AE80:AG80"/>
    <mergeCell ref="AT79:AV79"/>
    <mergeCell ref="AZ78:BB78"/>
    <mergeCell ref="BC78:BE78"/>
    <mergeCell ref="BF78:BH78"/>
    <mergeCell ref="BI78:BK78"/>
    <mergeCell ref="BL78:BN78"/>
    <mergeCell ref="BL79:BN79"/>
    <mergeCell ref="BO78:BR78"/>
    <mergeCell ref="AH78:AJ78"/>
    <mergeCell ref="AK78:AM78"/>
    <mergeCell ref="AN78:AP78"/>
    <mergeCell ref="AQ78:AS78"/>
    <mergeCell ref="AT78:AV78"/>
    <mergeCell ref="AW78:AY78"/>
    <mergeCell ref="AH79:AJ79"/>
    <mergeCell ref="AK79:AM79"/>
    <mergeCell ref="AN79:AP79"/>
    <mergeCell ref="AQ79:AS79"/>
    <mergeCell ref="AW79:AY79"/>
    <mergeCell ref="AZ79:BB79"/>
    <mergeCell ref="BC79:BE79"/>
    <mergeCell ref="BF79:BH79"/>
    <mergeCell ref="BI79:BK79"/>
    <mergeCell ref="B78:C78"/>
    <mergeCell ref="D78:O78"/>
    <mergeCell ref="P78:R78"/>
    <mergeCell ref="S78:U78"/>
    <mergeCell ref="V78:X78"/>
    <mergeCell ref="Y78:AA78"/>
    <mergeCell ref="AB78:AD78"/>
    <mergeCell ref="AE78:AG78"/>
    <mergeCell ref="AT77:AV77"/>
    <mergeCell ref="AB77:AD77"/>
    <mergeCell ref="AE77:AG77"/>
    <mergeCell ref="AH77:AJ77"/>
    <mergeCell ref="AK77:AM77"/>
    <mergeCell ref="AN77:AP77"/>
    <mergeCell ref="AQ77:AS77"/>
    <mergeCell ref="B77:C77"/>
    <mergeCell ref="D77:O77"/>
    <mergeCell ref="P77:R77"/>
    <mergeCell ref="S77:U77"/>
    <mergeCell ref="V77:X77"/>
    <mergeCell ref="Y77:AA77"/>
    <mergeCell ref="AB75:AD75"/>
    <mergeCell ref="AE75:AG75"/>
    <mergeCell ref="BC76:BE76"/>
    <mergeCell ref="BF76:BH76"/>
    <mergeCell ref="BI76:BK76"/>
    <mergeCell ref="BL76:BN76"/>
    <mergeCell ref="BO76:BR76"/>
    <mergeCell ref="AH76:AJ76"/>
    <mergeCell ref="AK76:AM76"/>
    <mergeCell ref="AN76:AP76"/>
    <mergeCell ref="AQ76:AS76"/>
    <mergeCell ref="AT76:AV76"/>
    <mergeCell ref="AW76:AY76"/>
    <mergeCell ref="B75:C75"/>
    <mergeCell ref="D75:O75"/>
    <mergeCell ref="AZ76:BB76"/>
    <mergeCell ref="P75:R75"/>
    <mergeCell ref="S75:U75"/>
    <mergeCell ref="V75:X75"/>
    <mergeCell ref="Y75:AA75"/>
    <mergeCell ref="BL77:BN77"/>
    <mergeCell ref="BO77:BR77"/>
    <mergeCell ref="AW77:AY77"/>
    <mergeCell ref="AZ77:BB77"/>
    <mergeCell ref="BC77:BE77"/>
    <mergeCell ref="BF77:BH77"/>
    <mergeCell ref="BI77:BK77"/>
    <mergeCell ref="BO75:BR75"/>
    <mergeCell ref="B76:C76"/>
    <mergeCell ref="D76:O76"/>
    <mergeCell ref="P76:R76"/>
    <mergeCell ref="S76:U76"/>
    <mergeCell ref="V76:X76"/>
    <mergeCell ref="Y76:AA76"/>
    <mergeCell ref="AB76:AD76"/>
    <mergeCell ref="AE76:AG76"/>
    <mergeCell ref="AT75:AV75"/>
    <mergeCell ref="AZ74:BB74"/>
    <mergeCell ref="BC74:BE74"/>
    <mergeCell ref="BF74:BH74"/>
    <mergeCell ref="BI74:BK74"/>
    <mergeCell ref="BL74:BN74"/>
    <mergeCell ref="BL75:BN75"/>
    <mergeCell ref="BO74:BR74"/>
    <mergeCell ref="AH74:AJ74"/>
    <mergeCell ref="AK74:AM74"/>
    <mergeCell ref="AN74:AP74"/>
    <mergeCell ref="AQ74:AS74"/>
    <mergeCell ref="AT74:AV74"/>
    <mergeCell ref="AW74:AY74"/>
    <mergeCell ref="AH75:AJ75"/>
    <mergeCell ref="AK75:AM75"/>
    <mergeCell ref="AN75:AP75"/>
    <mergeCell ref="AQ75:AS75"/>
    <mergeCell ref="AW75:AY75"/>
    <mergeCell ref="AZ75:BB75"/>
    <mergeCell ref="BC75:BE75"/>
    <mergeCell ref="BF75:BH75"/>
    <mergeCell ref="BI75:BK75"/>
    <mergeCell ref="B74:C74"/>
    <mergeCell ref="D74:O74"/>
    <mergeCell ref="P74:R74"/>
    <mergeCell ref="S74:U74"/>
    <mergeCell ref="V74:X74"/>
    <mergeCell ref="Y74:AA74"/>
    <mergeCell ref="AB74:AD74"/>
    <mergeCell ref="AE74:AG74"/>
    <mergeCell ref="AT73:AV73"/>
    <mergeCell ref="AB73:AD73"/>
    <mergeCell ref="AE73:AG73"/>
    <mergeCell ref="AH73:AJ73"/>
    <mergeCell ref="AK73:AM73"/>
    <mergeCell ref="AN73:AP73"/>
    <mergeCell ref="AQ73:AS73"/>
    <mergeCell ref="B73:C73"/>
    <mergeCell ref="D73:O73"/>
    <mergeCell ref="P73:R73"/>
    <mergeCell ref="S73:U73"/>
    <mergeCell ref="V73:X73"/>
    <mergeCell ref="Y73:AA73"/>
    <mergeCell ref="AB71:AD71"/>
    <mergeCell ref="AE71:AG71"/>
    <mergeCell ref="BC72:BE72"/>
    <mergeCell ref="BF72:BH72"/>
    <mergeCell ref="BI72:BK72"/>
    <mergeCell ref="BL72:BN72"/>
    <mergeCell ref="BO72:BR72"/>
    <mergeCell ref="AH72:AJ72"/>
    <mergeCell ref="AK72:AM72"/>
    <mergeCell ref="AN72:AP72"/>
    <mergeCell ref="AQ72:AS72"/>
    <mergeCell ref="AT72:AV72"/>
    <mergeCell ref="AW72:AY72"/>
    <mergeCell ref="B71:C71"/>
    <mergeCell ref="D71:O71"/>
    <mergeCell ref="AZ72:BB72"/>
    <mergeCell ref="P71:R71"/>
    <mergeCell ref="S71:U71"/>
    <mergeCell ref="V71:X71"/>
    <mergeCell ref="Y71:AA71"/>
    <mergeCell ref="BL73:BN73"/>
    <mergeCell ref="BO73:BR73"/>
    <mergeCell ref="AW73:AY73"/>
    <mergeCell ref="AZ73:BB73"/>
    <mergeCell ref="BC73:BE73"/>
    <mergeCell ref="BF73:BH73"/>
    <mergeCell ref="BI73:BK73"/>
    <mergeCell ref="BO71:BR71"/>
    <mergeCell ref="B72:C72"/>
    <mergeCell ref="D72:O72"/>
    <mergeCell ref="P72:R72"/>
    <mergeCell ref="S72:U72"/>
    <mergeCell ref="V72:X72"/>
    <mergeCell ref="Y72:AA72"/>
    <mergeCell ref="AB72:AD72"/>
    <mergeCell ref="AE72:AG72"/>
    <mergeCell ref="AT71:AV71"/>
    <mergeCell ref="AZ70:BB70"/>
    <mergeCell ref="BC70:BE70"/>
    <mergeCell ref="BF70:BH70"/>
    <mergeCell ref="BI70:BK70"/>
    <mergeCell ref="BL70:BN70"/>
    <mergeCell ref="BL71:BN71"/>
    <mergeCell ref="BO70:BR70"/>
    <mergeCell ref="AH70:AJ70"/>
    <mergeCell ref="AK70:AM70"/>
    <mergeCell ref="AN70:AP70"/>
    <mergeCell ref="AQ70:AS70"/>
    <mergeCell ref="AT70:AV70"/>
    <mergeCell ref="AW70:AY70"/>
    <mergeCell ref="AH71:AJ71"/>
    <mergeCell ref="AK71:AM71"/>
    <mergeCell ref="AN71:AP71"/>
    <mergeCell ref="AQ71:AS71"/>
    <mergeCell ref="AW71:AY71"/>
    <mergeCell ref="AZ71:BB71"/>
    <mergeCell ref="BC71:BE71"/>
    <mergeCell ref="BF71:BH71"/>
    <mergeCell ref="BI71:BK71"/>
    <mergeCell ref="B70:C70"/>
    <mergeCell ref="D70:O70"/>
    <mergeCell ref="P70:R70"/>
    <mergeCell ref="S70:U70"/>
    <mergeCell ref="V70:X70"/>
    <mergeCell ref="Y70:AA70"/>
    <mergeCell ref="AB70:AD70"/>
    <mergeCell ref="AE70:AG70"/>
    <mergeCell ref="AT69:AV69"/>
    <mergeCell ref="AB69:AD69"/>
    <mergeCell ref="AE69:AG69"/>
    <mergeCell ref="AH69:AJ69"/>
    <mergeCell ref="AK69:AM69"/>
    <mergeCell ref="AN69:AP69"/>
    <mergeCell ref="AQ69:AS69"/>
    <mergeCell ref="B69:C69"/>
    <mergeCell ref="D69:O69"/>
    <mergeCell ref="P69:R69"/>
    <mergeCell ref="S69:U69"/>
    <mergeCell ref="V69:X69"/>
    <mergeCell ref="Y69:AA69"/>
    <mergeCell ref="AB66:AD66"/>
    <mergeCell ref="AE66:AG66"/>
    <mergeCell ref="BC68:BE68"/>
    <mergeCell ref="BF68:BH68"/>
    <mergeCell ref="BI68:BK68"/>
    <mergeCell ref="BL68:BN68"/>
    <mergeCell ref="BO68:BR68"/>
    <mergeCell ref="AH68:AJ68"/>
    <mergeCell ref="AK68:AM68"/>
    <mergeCell ref="AN68:AP68"/>
    <mergeCell ref="AQ68:AS68"/>
    <mergeCell ref="AT68:AV68"/>
    <mergeCell ref="AW68:AY68"/>
    <mergeCell ref="B66:C66"/>
    <mergeCell ref="D66:O66"/>
    <mergeCell ref="AZ68:BB68"/>
    <mergeCell ref="P66:R66"/>
    <mergeCell ref="S66:U66"/>
    <mergeCell ref="V66:X66"/>
    <mergeCell ref="Y66:AA66"/>
    <mergeCell ref="BL69:BN69"/>
    <mergeCell ref="BO69:BR69"/>
    <mergeCell ref="AW69:AY69"/>
    <mergeCell ref="AZ69:BB69"/>
    <mergeCell ref="BC69:BE69"/>
    <mergeCell ref="BF69:BH69"/>
    <mergeCell ref="BI69:BK69"/>
    <mergeCell ref="BO66:BR66"/>
    <mergeCell ref="B68:C68"/>
    <mergeCell ref="D68:O68"/>
    <mergeCell ref="P68:R68"/>
    <mergeCell ref="S68:U68"/>
    <mergeCell ref="V68:X68"/>
    <mergeCell ref="Y68:AA68"/>
    <mergeCell ref="AB68:AD68"/>
    <mergeCell ref="AE68:AG68"/>
    <mergeCell ref="AT66:AV66"/>
    <mergeCell ref="AZ65:BB65"/>
    <mergeCell ref="BC65:BE65"/>
    <mergeCell ref="BF65:BH65"/>
    <mergeCell ref="BI65:BK65"/>
    <mergeCell ref="BL65:BN65"/>
    <mergeCell ref="BL66:BN66"/>
    <mergeCell ref="BO65:BR65"/>
    <mergeCell ref="AH65:AJ65"/>
    <mergeCell ref="AK65:AM65"/>
    <mergeCell ref="AN65:AP65"/>
    <mergeCell ref="AQ65:AS65"/>
    <mergeCell ref="AT65:AV65"/>
    <mergeCell ref="AW65:AY65"/>
    <mergeCell ref="AH66:AJ66"/>
    <mergeCell ref="AK66:AM66"/>
    <mergeCell ref="AN66:AP66"/>
    <mergeCell ref="AQ66:AS66"/>
    <mergeCell ref="AW66:AY66"/>
    <mergeCell ref="AZ66:BB66"/>
    <mergeCell ref="BC66:BE66"/>
    <mergeCell ref="BF66:BH66"/>
    <mergeCell ref="BI66:BK66"/>
    <mergeCell ref="B65:C65"/>
    <mergeCell ref="D65:O65"/>
    <mergeCell ref="P65:R65"/>
    <mergeCell ref="S65:U65"/>
    <mergeCell ref="V65:X65"/>
    <mergeCell ref="Y65:AA65"/>
    <mergeCell ref="AB65:AD65"/>
    <mergeCell ref="AE65:AG65"/>
    <mergeCell ref="AT64:AV64"/>
    <mergeCell ref="AB64:AD64"/>
    <mergeCell ref="AE64:AG64"/>
    <mergeCell ref="AH64:AJ64"/>
    <mergeCell ref="AK64:AM64"/>
    <mergeCell ref="AN64:AP64"/>
    <mergeCell ref="AQ64:AS64"/>
    <mergeCell ref="B64:C64"/>
    <mergeCell ref="D64:O64"/>
    <mergeCell ref="P64:R64"/>
    <mergeCell ref="S64:U64"/>
    <mergeCell ref="V64:X64"/>
    <mergeCell ref="Y64:AA64"/>
    <mergeCell ref="AB62:AD62"/>
    <mergeCell ref="AE62:AG62"/>
    <mergeCell ref="BC63:BE63"/>
    <mergeCell ref="BF63:BH63"/>
    <mergeCell ref="BI63:BK63"/>
    <mergeCell ref="BL63:BN63"/>
    <mergeCell ref="BO63:BR63"/>
    <mergeCell ref="AH63:AJ63"/>
    <mergeCell ref="AK63:AM63"/>
    <mergeCell ref="AN63:AP63"/>
    <mergeCell ref="AQ63:AS63"/>
    <mergeCell ref="AT63:AV63"/>
    <mergeCell ref="AW63:AY63"/>
    <mergeCell ref="B62:C62"/>
    <mergeCell ref="D62:O62"/>
    <mergeCell ref="AZ63:BB63"/>
    <mergeCell ref="P62:R62"/>
    <mergeCell ref="S62:U62"/>
    <mergeCell ref="V62:X62"/>
    <mergeCell ref="Y62:AA62"/>
    <mergeCell ref="BL64:BN64"/>
    <mergeCell ref="BO64:BR64"/>
    <mergeCell ref="AW64:AY64"/>
    <mergeCell ref="AZ64:BB64"/>
    <mergeCell ref="BC64:BE64"/>
    <mergeCell ref="BF64:BH64"/>
    <mergeCell ref="BI64:BK64"/>
    <mergeCell ref="BO62:BR62"/>
    <mergeCell ref="B63:C63"/>
    <mergeCell ref="D63:O63"/>
    <mergeCell ref="P63:R63"/>
    <mergeCell ref="S63:U63"/>
    <mergeCell ref="V63:X63"/>
    <mergeCell ref="Y63:AA63"/>
    <mergeCell ref="AB63:AD63"/>
    <mergeCell ref="AE63:AG63"/>
    <mergeCell ref="AT62:AV62"/>
    <mergeCell ref="AZ61:BB61"/>
    <mergeCell ref="BC61:BE61"/>
    <mergeCell ref="BF61:BH61"/>
    <mergeCell ref="BI61:BK61"/>
    <mergeCell ref="BL61:BN61"/>
    <mergeCell ref="BL62:BN62"/>
    <mergeCell ref="BO61:BR61"/>
    <mergeCell ref="AH61:AJ61"/>
    <mergeCell ref="AK61:AM61"/>
    <mergeCell ref="AN61:AP61"/>
    <mergeCell ref="AQ61:AS61"/>
    <mergeCell ref="AT61:AV61"/>
    <mergeCell ref="AW61:AY61"/>
    <mergeCell ref="AH62:AJ62"/>
    <mergeCell ref="AK62:AM62"/>
    <mergeCell ref="AN62:AP62"/>
    <mergeCell ref="AQ62:AS62"/>
    <mergeCell ref="AW62:AY62"/>
    <mergeCell ref="AZ62:BB62"/>
    <mergeCell ref="BC62:BE62"/>
    <mergeCell ref="BF62:BH62"/>
    <mergeCell ref="BI62:BK62"/>
    <mergeCell ref="B61:C61"/>
    <mergeCell ref="D61:O61"/>
    <mergeCell ref="P61:R61"/>
    <mergeCell ref="S61:U61"/>
    <mergeCell ref="V61:X61"/>
    <mergeCell ref="Y61:AA61"/>
    <mergeCell ref="AB61:AD61"/>
    <mergeCell ref="AE61:AG61"/>
    <mergeCell ref="AT60:AV60"/>
    <mergeCell ref="AB60:AD60"/>
    <mergeCell ref="AE60:AG60"/>
    <mergeCell ref="AH60:AJ60"/>
    <mergeCell ref="AK60:AM60"/>
    <mergeCell ref="AN60:AP60"/>
    <mergeCell ref="AQ60:AS60"/>
    <mergeCell ref="B60:C60"/>
    <mergeCell ref="D60:O60"/>
    <mergeCell ref="P60:R60"/>
    <mergeCell ref="S60:U60"/>
    <mergeCell ref="V60:X60"/>
    <mergeCell ref="Y60:AA60"/>
    <mergeCell ref="AB58:AD58"/>
    <mergeCell ref="AE58:AG58"/>
    <mergeCell ref="BC59:BE59"/>
    <mergeCell ref="BF59:BH59"/>
    <mergeCell ref="BI59:BK59"/>
    <mergeCell ref="BL59:BN59"/>
    <mergeCell ref="BO59:BR59"/>
    <mergeCell ref="AH59:AJ59"/>
    <mergeCell ref="AK59:AM59"/>
    <mergeCell ref="AN59:AP59"/>
    <mergeCell ref="AQ59:AS59"/>
    <mergeCell ref="AT59:AV59"/>
    <mergeCell ref="AW59:AY59"/>
    <mergeCell ref="B58:C58"/>
    <mergeCell ref="D58:O58"/>
    <mergeCell ref="AZ59:BB59"/>
    <mergeCell ref="P58:R58"/>
    <mergeCell ref="S58:U58"/>
    <mergeCell ref="V58:X58"/>
    <mergeCell ref="Y58:AA58"/>
    <mergeCell ref="BL60:BN60"/>
    <mergeCell ref="BO60:BR60"/>
    <mergeCell ref="AW60:AY60"/>
    <mergeCell ref="AZ60:BB60"/>
    <mergeCell ref="BC60:BE60"/>
    <mergeCell ref="BF60:BH60"/>
    <mergeCell ref="BI60:BK60"/>
    <mergeCell ref="BO58:BR58"/>
    <mergeCell ref="B59:C59"/>
    <mergeCell ref="D59:O59"/>
    <mergeCell ref="P59:R59"/>
    <mergeCell ref="S59:U59"/>
    <mergeCell ref="V59:X59"/>
    <mergeCell ref="Y59:AA59"/>
    <mergeCell ref="AB59:AD59"/>
    <mergeCell ref="AE59:AG59"/>
    <mergeCell ref="AT58:AV58"/>
    <mergeCell ref="BC57:BE57"/>
    <mergeCell ref="BF57:BH57"/>
    <mergeCell ref="BI57:BK57"/>
    <mergeCell ref="BL57:BN57"/>
    <mergeCell ref="BL58:BN58"/>
    <mergeCell ref="BO57:BR57"/>
    <mergeCell ref="AH57:AJ57"/>
    <mergeCell ref="AK57:AM57"/>
    <mergeCell ref="AN57:AP57"/>
    <mergeCell ref="AQ57:AS57"/>
    <mergeCell ref="AT57:AV57"/>
    <mergeCell ref="AW57:AY57"/>
    <mergeCell ref="AH58:AJ58"/>
    <mergeCell ref="AK58:AM58"/>
    <mergeCell ref="AN58:AP58"/>
    <mergeCell ref="AQ58:AS58"/>
    <mergeCell ref="AW58:AY58"/>
    <mergeCell ref="AZ58:BB58"/>
    <mergeCell ref="BC58:BE58"/>
    <mergeCell ref="BF58:BH58"/>
    <mergeCell ref="BI58:BK58"/>
    <mergeCell ref="BO56:BR56"/>
    <mergeCell ref="AW56:AY56"/>
    <mergeCell ref="AZ56:BB56"/>
    <mergeCell ref="BC56:BE56"/>
    <mergeCell ref="BF56:BH56"/>
    <mergeCell ref="BI56:BK56"/>
    <mergeCell ref="B57:C57"/>
    <mergeCell ref="D57:O57"/>
    <mergeCell ref="P57:R57"/>
    <mergeCell ref="S57:U57"/>
    <mergeCell ref="V57:X57"/>
    <mergeCell ref="Y57:AA57"/>
    <mergeCell ref="AB57:AD57"/>
    <mergeCell ref="AE57:AG57"/>
    <mergeCell ref="AT56:AV56"/>
    <mergeCell ref="AB56:AD56"/>
    <mergeCell ref="AE56:AG56"/>
    <mergeCell ref="AH56:AJ56"/>
    <mergeCell ref="AK56:AM56"/>
    <mergeCell ref="AN56:AP56"/>
    <mergeCell ref="AQ56:AS56"/>
    <mergeCell ref="B56:C56"/>
    <mergeCell ref="D56:O56"/>
    <mergeCell ref="AZ57:BB57"/>
    <mergeCell ref="P56:R56"/>
    <mergeCell ref="S56:U56"/>
    <mergeCell ref="V56:X56"/>
    <mergeCell ref="Y56:AA56"/>
    <mergeCell ref="S55:U55"/>
    <mergeCell ref="BC50:BE51"/>
    <mergeCell ref="BF50:BH51"/>
    <mergeCell ref="BI50:BK51"/>
    <mergeCell ref="BL50:BN51"/>
    <mergeCell ref="AQ52:BB53"/>
    <mergeCell ref="BC52:BN53"/>
    <mergeCell ref="AH50:AJ55"/>
    <mergeCell ref="AK50:AM55"/>
    <mergeCell ref="AQ50:AS51"/>
    <mergeCell ref="AT50:AV51"/>
    <mergeCell ref="AW50:AY51"/>
    <mergeCell ref="AZ50:BB51"/>
    <mergeCell ref="AQ54:AS55"/>
    <mergeCell ref="AT54:AV55"/>
    <mergeCell ref="AW54:AY55"/>
    <mergeCell ref="AZ54:BB55"/>
    <mergeCell ref="BL56:BN56"/>
    <mergeCell ref="A44:BR45"/>
    <mergeCell ref="A46:A55"/>
    <mergeCell ref="B46:C55"/>
    <mergeCell ref="D46:O55"/>
    <mergeCell ref="P46:AP47"/>
    <mergeCell ref="AQ46:BB47"/>
    <mergeCell ref="BC46:BN47"/>
    <mergeCell ref="BO46:BR55"/>
    <mergeCell ref="P48:U54"/>
    <mergeCell ref="V48:AM49"/>
    <mergeCell ref="AN48:AP55"/>
    <mergeCell ref="AQ48:AV49"/>
    <mergeCell ref="AW48:BB49"/>
    <mergeCell ref="BC48:BH49"/>
    <mergeCell ref="BI48:BN49"/>
    <mergeCell ref="V50:X55"/>
    <mergeCell ref="Y50:AA55"/>
    <mergeCell ref="AB50:AD55"/>
    <mergeCell ref="AE50:AG55"/>
    <mergeCell ref="BC54:BE55"/>
    <mergeCell ref="BF54:BH55"/>
    <mergeCell ref="BI54:BK55"/>
    <mergeCell ref="BL54:BN55"/>
    <mergeCell ref="P55:R55"/>
    <mergeCell ref="BM37:BN37"/>
    <mergeCell ref="BO37:BP37"/>
    <mergeCell ref="BQ37:BR37"/>
    <mergeCell ref="B39:C41"/>
    <mergeCell ref="D39:J41"/>
    <mergeCell ref="K39:N41"/>
    <mergeCell ref="O39:R41"/>
    <mergeCell ref="S39:U41"/>
    <mergeCell ref="V39:AA41"/>
    <mergeCell ref="AB39:AD41"/>
    <mergeCell ref="A37:BB37"/>
    <mergeCell ref="BC37:BD37"/>
    <mergeCell ref="BE37:BF37"/>
    <mergeCell ref="BG37:BH37"/>
    <mergeCell ref="BI37:BJ37"/>
    <mergeCell ref="BK37:BL37"/>
    <mergeCell ref="BH39:BN41"/>
    <mergeCell ref="AF39:AM41"/>
    <mergeCell ref="AN39:AP41"/>
    <mergeCell ref="AR39:AU41"/>
    <mergeCell ref="AW39:AY41"/>
    <mergeCell ref="AZ39:BC41"/>
    <mergeCell ref="BD39:BG41"/>
    <mergeCell ref="A36:B36"/>
    <mergeCell ref="BC36:BD36"/>
    <mergeCell ref="BE36:BF36"/>
    <mergeCell ref="BG36:BH36"/>
    <mergeCell ref="BI36:BJ36"/>
    <mergeCell ref="BK36:BL36"/>
    <mergeCell ref="BM36:BN36"/>
    <mergeCell ref="BO36:BP36"/>
    <mergeCell ref="BQ36:BR36"/>
    <mergeCell ref="A35:B35"/>
    <mergeCell ref="BC35:BD35"/>
    <mergeCell ref="BW32:BX34"/>
    <mergeCell ref="BY32:CA34"/>
    <mergeCell ref="C33:F33"/>
    <mergeCell ref="G33:J33"/>
    <mergeCell ref="K33:O33"/>
    <mergeCell ref="P33:S33"/>
    <mergeCell ref="T33:X33"/>
    <mergeCell ref="Y33:AB33"/>
    <mergeCell ref="AC33:AF33"/>
    <mergeCell ref="AG33:AJ33"/>
    <mergeCell ref="BQ31:BR34"/>
    <mergeCell ref="BT31:CA31"/>
    <mergeCell ref="BQ35:BR35"/>
    <mergeCell ref="BE35:BF35"/>
    <mergeCell ref="BG35:BH35"/>
    <mergeCell ref="BI35:BJ35"/>
    <mergeCell ref="BK35:BL35"/>
    <mergeCell ref="BM35:BN35"/>
    <mergeCell ref="BO35:BP35"/>
    <mergeCell ref="CB31:CC34"/>
    <mergeCell ref="CD31:CE34"/>
    <mergeCell ref="CF31:CG34"/>
    <mergeCell ref="BE32:BF34"/>
    <mergeCell ref="BG32:BH34"/>
    <mergeCell ref="BI32:BJ34"/>
    <mergeCell ref="BK32:BL34"/>
    <mergeCell ref="BT32:BV34"/>
    <mergeCell ref="A29:BR30"/>
    <mergeCell ref="A31:B34"/>
    <mergeCell ref="C31:BB32"/>
    <mergeCell ref="BC31:BD34"/>
    <mergeCell ref="BE31:BL31"/>
    <mergeCell ref="BM31:BN34"/>
    <mergeCell ref="BO31:BP34"/>
    <mergeCell ref="AK33:AO33"/>
    <mergeCell ref="AP33:AS33"/>
    <mergeCell ref="AT33:AX33"/>
    <mergeCell ref="AY33:BB33"/>
    <mergeCell ref="A15:Q18"/>
    <mergeCell ref="R15:AY18"/>
    <mergeCell ref="A1:BR2"/>
    <mergeCell ref="A3:BR4"/>
    <mergeCell ref="A7:Q10"/>
    <mergeCell ref="R7:AY10"/>
    <mergeCell ref="AZ7:BR10"/>
    <mergeCell ref="A11:Q14"/>
    <mergeCell ref="R11:AY14"/>
    <mergeCell ref="AZ11:BR14"/>
    <mergeCell ref="AZ15:BR18"/>
    <mergeCell ref="AY126:BG126"/>
    <mergeCell ref="BH126:BP126"/>
    <mergeCell ref="AJ129:AX130"/>
    <mergeCell ref="AY129:BG129"/>
    <mergeCell ref="BH129:BP129"/>
    <mergeCell ref="V87:AZ88"/>
    <mergeCell ref="V89:AZ90"/>
    <mergeCell ref="A102:O102"/>
    <mergeCell ref="P102:S102"/>
    <mergeCell ref="T102:X102"/>
    <mergeCell ref="AJ102:BR108"/>
    <mergeCell ref="A111:O114"/>
    <mergeCell ref="P111:X114"/>
    <mergeCell ref="Y111:AE114"/>
    <mergeCell ref="AJ111:AX114"/>
    <mergeCell ref="AY111:BG114"/>
    <mergeCell ref="BH111:BR114"/>
    <mergeCell ref="A117:O120"/>
    <mergeCell ref="P117:X120"/>
    <mergeCell ref="Y117:AE120"/>
    <mergeCell ref="AJ117:AX120"/>
    <mergeCell ref="AY117:BG120"/>
    <mergeCell ref="BH117:BR120"/>
    <mergeCell ref="B94:BR94"/>
  </mergeCells>
  <conditionalFormatting sqref="BW58:BW84">
    <cfRule type="expression" dxfId="19" priority="2">
      <formula>BV58=0</formula>
    </cfRule>
  </conditionalFormatting>
  <conditionalFormatting sqref="BZ58:BZ84">
    <cfRule type="expression" dxfId="18" priority="1">
      <formula>BY58=0</formula>
    </cfRule>
  </conditionalFormatting>
  <pageMargins left="0.19685039370078741" right="0.19685039370078741" top="0.19685039370078741" bottom="0.19685039370078741" header="0.31496062992125984" footer="0.31496062992125984"/>
  <pageSetup paperSize="9" scale="5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143"/>
  <sheetViews>
    <sheetView view="pageBreakPreview" topLeftCell="A35" zoomScale="70" zoomScaleNormal="25" zoomScaleSheetLayoutView="70" workbookViewId="0">
      <selection activeCell="D62" sqref="D62:O62"/>
    </sheetView>
  </sheetViews>
  <sheetFormatPr defaultColWidth="9.140625" defaultRowHeight="15.75" x14ac:dyDescent="0.25"/>
  <cols>
    <col min="1" max="1" width="12.28515625" style="2" customWidth="1"/>
    <col min="2" max="2" width="12.28515625" style="58" customWidth="1"/>
    <col min="3" max="3" width="3.85546875" style="58" customWidth="1"/>
    <col min="4" max="70" width="3.85546875" style="2" customWidth="1"/>
    <col min="71" max="74" width="6.5703125" style="1" customWidth="1"/>
    <col min="75" max="75" width="15.42578125" style="1" customWidth="1"/>
    <col min="76" max="77" width="6.5703125" style="1" customWidth="1"/>
    <col min="78" max="78" width="15.42578125" style="1" customWidth="1"/>
    <col min="79" max="16384" width="9.140625" style="2"/>
  </cols>
  <sheetData>
    <row r="1" spans="1:70" ht="14.25" customHeight="1" x14ac:dyDescent="0.25">
      <c r="A1" s="140" t="s">
        <v>252</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c r="BD1" s="140"/>
      <c r="BE1" s="140"/>
      <c r="BF1" s="140"/>
      <c r="BG1" s="140"/>
      <c r="BH1" s="140"/>
      <c r="BI1" s="140"/>
      <c r="BJ1" s="140"/>
      <c r="BK1" s="140"/>
      <c r="BL1" s="140"/>
      <c r="BM1" s="140"/>
      <c r="BN1" s="140"/>
      <c r="BO1" s="140"/>
      <c r="BP1" s="140"/>
      <c r="BQ1" s="140"/>
      <c r="BR1" s="140"/>
    </row>
    <row r="2" spans="1:70" ht="14.25" customHeight="1" x14ac:dyDescent="0.25">
      <c r="A2" s="140"/>
      <c r="B2" s="140"/>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c r="AH2" s="140"/>
      <c r="AI2" s="140"/>
      <c r="AJ2" s="140"/>
      <c r="AK2" s="140"/>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row>
    <row r="3" spans="1:70" ht="14.25" customHeight="1" x14ac:dyDescent="0.25">
      <c r="A3" s="140" t="s">
        <v>56</v>
      </c>
      <c r="B3" s="140"/>
      <c r="C3" s="140"/>
      <c r="D3" s="140"/>
      <c r="E3" s="140"/>
      <c r="F3" s="140"/>
      <c r="G3" s="140"/>
      <c r="H3" s="140"/>
      <c r="I3" s="140"/>
      <c r="J3" s="140"/>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row>
    <row r="4" spans="1:70" ht="14.25" customHeight="1" x14ac:dyDescent="0.25">
      <c r="A4" s="140"/>
      <c r="B4" s="140"/>
      <c r="C4" s="140"/>
      <c r="D4" s="140"/>
      <c r="E4" s="140"/>
      <c r="F4" s="140"/>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row>
    <row r="5" spans="1:70" ht="14.25" customHeight="1" x14ac:dyDescent="0.25">
      <c r="A5" s="67"/>
      <c r="B5" s="67"/>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row>
    <row r="6" spans="1:70" ht="14.25" customHeight="1" x14ac:dyDescent="0.25">
      <c r="A6" s="67"/>
      <c r="B6" s="67"/>
      <c r="C6" s="67"/>
      <c r="D6" s="67"/>
      <c r="E6" s="67"/>
      <c r="F6" s="67"/>
      <c r="G6" s="67"/>
      <c r="H6" s="67"/>
      <c r="I6" s="67"/>
      <c r="J6" s="67"/>
      <c r="K6" s="67"/>
      <c r="L6" s="67"/>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row>
    <row r="7" spans="1:70" ht="14.25" customHeight="1" x14ac:dyDescent="0.25">
      <c r="A7" s="170" t="s">
        <v>57</v>
      </c>
      <c r="B7" s="170"/>
      <c r="C7" s="170"/>
      <c r="D7" s="170"/>
      <c r="E7" s="170"/>
      <c r="F7" s="170"/>
      <c r="G7" s="170"/>
      <c r="H7" s="170"/>
      <c r="I7" s="170"/>
      <c r="J7" s="170"/>
      <c r="K7" s="170"/>
      <c r="L7" s="170"/>
      <c r="M7" s="170"/>
      <c r="N7" s="170"/>
      <c r="O7" s="170"/>
      <c r="P7" s="170"/>
      <c r="Q7" s="170"/>
      <c r="R7" s="170" t="s">
        <v>239</v>
      </c>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t="s">
        <v>64</v>
      </c>
      <c r="BA7" s="170"/>
      <c r="BB7" s="170"/>
      <c r="BC7" s="170"/>
      <c r="BD7" s="170"/>
      <c r="BE7" s="170"/>
      <c r="BF7" s="170"/>
      <c r="BG7" s="170"/>
      <c r="BH7" s="170"/>
      <c r="BI7" s="170"/>
      <c r="BJ7" s="170"/>
      <c r="BK7" s="170"/>
      <c r="BL7" s="170"/>
      <c r="BM7" s="170"/>
      <c r="BN7" s="170"/>
      <c r="BO7" s="170"/>
      <c r="BP7" s="170"/>
      <c r="BQ7" s="170"/>
      <c r="BR7" s="170"/>
    </row>
    <row r="8" spans="1:70" ht="14.25" customHeight="1" x14ac:dyDescent="0.25">
      <c r="A8" s="170"/>
      <c r="B8" s="170"/>
      <c r="C8" s="170"/>
      <c r="D8" s="170"/>
      <c r="E8" s="170"/>
      <c r="F8" s="170"/>
      <c r="G8" s="170"/>
      <c r="H8" s="170"/>
      <c r="I8" s="170"/>
      <c r="J8" s="170"/>
      <c r="K8" s="170"/>
      <c r="L8" s="170"/>
      <c r="M8" s="170"/>
      <c r="N8" s="170"/>
      <c r="O8" s="170"/>
      <c r="P8" s="170"/>
      <c r="Q8" s="170"/>
      <c r="R8" s="170"/>
      <c r="S8" s="170"/>
      <c r="T8" s="170"/>
      <c r="U8" s="170"/>
      <c r="V8" s="170"/>
      <c r="W8" s="170"/>
      <c r="X8" s="170"/>
      <c r="Y8" s="170"/>
      <c r="Z8" s="170"/>
      <c r="AA8" s="170"/>
      <c r="AB8" s="170"/>
      <c r="AC8" s="170"/>
      <c r="AD8" s="170"/>
      <c r="AE8" s="170"/>
      <c r="AF8" s="170"/>
      <c r="AG8" s="170"/>
      <c r="AH8" s="170"/>
      <c r="AI8" s="170"/>
      <c r="AJ8" s="170"/>
      <c r="AK8" s="170"/>
      <c r="AL8" s="170"/>
      <c r="AM8" s="170"/>
      <c r="AN8" s="170"/>
      <c r="AO8" s="170"/>
      <c r="AP8" s="170"/>
      <c r="AQ8" s="170"/>
      <c r="AR8" s="170"/>
      <c r="AS8" s="170"/>
      <c r="AT8" s="170"/>
      <c r="AU8" s="170"/>
      <c r="AV8" s="170"/>
      <c r="AW8" s="170"/>
      <c r="AX8" s="170"/>
      <c r="AY8" s="170"/>
      <c r="AZ8" s="170"/>
      <c r="BA8" s="170"/>
      <c r="BB8" s="170"/>
      <c r="BC8" s="170"/>
      <c r="BD8" s="170"/>
      <c r="BE8" s="170"/>
      <c r="BF8" s="170"/>
      <c r="BG8" s="170"/>
      <c r="BH8" s="170"/>
      <c r="BI8" s="170"/>
      <c r="BJ8" s="170"/>
      <c r="BK8" s="170"/>
      <c r="BL8" s="170"/>
      <c r="BM8" s="170"/>
      <c r="BN8" s="170"/>
      <c r="BO8" s="170"/>
      <c r="BP8" s="170"/>
      <c r="BQ8" s="170"/>
      <c r="BR8" s="170"/>
    </row>
    <row r="9" spans="1:70" ht="14.25" customHeight="1" x14ac:dyDescent="0.25">
      <c r="A9" s="170"/>
      <c r="B9" s="170"/>
      <c r="C9" s="170"/>
      <c r="D9" s="170"/>
      <c r="E9" s="170"/>
      <c r="F9" s="170"/>
      <c r="G9" s="170"/>
      <c r="H9" s="170"/>
      <c r="I9" s="170"/>
      <c r="J9" s="170"/>
      <c r="K9" s="170"/>
      <c r="L9" s="170"/>
      <c r="M9" s="170"/>
      <c r="N9" s="170"/>
      <c r="O9" s="170"/>
      <c r="P9" s="170"/>
      <c r="Q9" s="170"/>
      <c r="R9" s="170"/>
      <c r="S9" s="170"/>
      <c r="T9" s="170"/>
      <c r="U9" s="170"/>
      <c r="V9" s="170"/>
      <c r="W9" s="170"/>
      <c r="X9" s="170"/>
      <c r="Y9" s="170"/>
      <c r="Z9" s="170"/>
      <c r="AA9" s="170"/>
      <c r="AB9" s="170"/>
      <c r="AC9" s="170"/>
      <c r="AD9" s="170"/>
      <c r="AE9" s="170"/>
      <c r="AF9" s="170"/>
      <c r="AG9" s="170"/>
      <c r="AH9" s="170"/>
      <c r="AI9" s="170"/>
      <c r="AJ9" s="170"/>
      <c r="AK9" s="170"/>
      <c r="AL9" s="170"/>
      <c r="AM9" s="170"/>
      <c r="AN9" s="170"/>
      <c r="AO9" s="170"/>
      <c r="AP9" s="170"/>
      <c r="AQ9" s="170"/>
      <c r="AR9" s="170"/>
      <c r="AS9" s="170"/>
      <c r="AT9" s="170"/>
      <c r="AU9" s="170"/>
      <c r="AV9" s="170"/>
      <c r="AW9" s="170"/>
      <c r="AX9" s="170"/>
      <c r="AY9" s="170"/>
      <c r="AZ9" s="170"/>
      <c r="BA9" s="170"/>
      <c r="BB9" s="170"/>
      <c r="BC9" s="170"/>
      <c r="BD9" s="170"/>
      <c r="BE9" s="170"/>
      <c r="BF9" s="170"/>
      <c r="BG9" s="170"/>
      <c r="BH9" s="170"/>
      <c r="BI9" s="170"/>
      <c r="BJ9" s="170"/>
      <c r="BK9" s="170"/>
      <c r="BL9" s="170"/>
      <c r="BM9" s="170"/>
      <c r="BN9" s="170"/>
      <c r="BO9" s="170"/>
      <c r="BP9" s="170"/>
      <c r="BQ9" s="170"/>
      <c r="BR9" s="170"/>
    </row>
    <row r="10" spans="1:70" ht="14.25" customHeight="1" x14ac:dyDescent="0.25">
      <c r="A10" s="170"/>
      <c r="B10" s="170"/>
      <c r="C10" s="170"/>
      <c r="D10" s="170"/>
      <c r="E10" s="170"/>
      <c r="F10" s="170"/>
      <c r="G10" s="170"/>
      <c r="H10" s="170"/>
      <c r="I10" s="170"/>
      <c r="J10" s="170"/>
      <c r="K10" s="170"/>
      <c r="L10" s="170"/>
      <c r="M10" s="170"/>
      <c r="N10" s="170"/>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0"/>
      <c r="AM10" s="170"/>
      <c r="AN10" s="170"/>
      <c r="AO10" s="170"/>
      <c r="AP10" s="170"/>
      <c r="AQ10" s="170"/>
      <c r="AR10" s="170"/>
      <c r="AS10" s="170"/>
      <c r="AT10" s="170"/>
      <c r="AU10" s="170"/>
      <c r="AV10" s="170"/>
      <c r="AW10" s="170"/>
      <c r="AX10" s="170"/>
      <c r="AY10" s="170"/>
      <c r="AZ10" s="170"/>
      <c r="BA10" s="170"/>
      <c r="BB10" s="170"/>
      <c r="BC10" s="170"/>
      <c r="BD10" s="170"/>
      <c r="BE10" s="170"/>
      <c r="BF10" s="170"/>
      <c r="BG10" s="170"/>
      <c r="BH10" s="170"/>
      <c r="BI10" s="170"/>
      <c r="BJ10" s="170"/>
      <c r="BK10" s="170"/>
      <c r="BL10" s="170"/>
      <c r="BM10" s="170"/>
      <c r="BN10" s="170"/>
      <c r="BO10" s="170"/>
      <c r="BP10" s="170"/>
      <c r="BQ10" s="170"/>
      <c r="BR10" s="170"/>
    </row>
    <row r="11" spans="1:70" ht="14.25" customHeight="1" x14ac:dyDescent="0.25">
      <c r="A11" s="171" t="s">
        <v>58</v>
      </c>
      <c r="B11" s="171"/>
      <c r="C11" s="171"/>
      <c r="D11" s="171"/>
      <c r="E11" s="171"/>
      <c r="F11" s="171"/>
      <c r="G11" s="171"/>
      <c r="H11" s="171"/>
      <c r="I11" s="171"/>
      <c r="J11" s="171"/>
      <c r="K11" s="171"/>
      <c r="L11" s="171"/>
      <c r="M11" s="171"/>
      <c r="N11" s="171"/>
      <c r="O11" s="171"/>
      <c r="P11" s="171"/>
      <c r="Q11" s="171"/>
      <c r="R11" s="174" t="s">
        <v>72</v>
      </c>
      <c r="S11" s="174"/>
      <c r="T11" s="174"/>
      <c r="U11" s="174"/>
      <c r="V11" s="174"/>
      <c r="W11" s="174"/>
      <c r="X11" s="174"/>
      <c r="Y11" s="174"/>
      <c r="Z11" s="174"/>
      <c r="AA11" s="174"/>
      <c r="AB11" s="174"/>
      <c r="AC11" s="174"/>
      <c r="AD11" s="174"/>
      <c r="AE11" s="174"/>
      <c r="AF11" s="174"/>
      <c r="AG11" s="174"/>
      <c r="AH11" s="174"/>
      <c r="AI11" s="174"/>
      <c r="AJ11" s="174"/>
      <c r="AK11" s="174"/>
      <c r="AL11" s="174"/>
      <c r="AM11" s="174"/>
      <c r="AN11" s="174"/>
      <c r="AO11" s="174"/>
      <c r="AP11" s="174"/>
      <c r="AQ11" s="174"/>
      <c r="AR11" s="174"/>
      <c r="AS11" s="174"/>
      <c r="AT11" s="174"/>
      <c r="AU11" s="174"/>
      <c r="AV11" s="174"/>
      <c r="AW11" s="174"/>
      <c r="AX11" s="174"/>
      <c r="AY11" s="174"/>
      <c r="AZ11" s="171" t="s">
        <v>63</v>
      </c>
      <c r="BA11" s="170"/>
      <c r="BB11" s="170"/>
      <c r="BC11" s="170"/>
      <c r="BD11" s="170"/>
      <c r="BE11" s="170"/>
      <c r="BF11" s="170"/>
      <c r="BG11" s="170"/>
      <c r="BH11" s="170"/>
      <c r="BI11" s="170"/>
      <c r="BJ11" s="170"/>
      <c r="BK11" s="170"/>
      <c r="BL11" s="170"/>
      <c r="BM11" s="170"/>
      <c r="BN11" s="170"/>
      <c r="BO11" s="170"/>
      <c r="BP11" s="170"/>
      <c r="BQ11" s="170"/>
      <c r="BR11" s="170"/>
    </row>
    <row r="12" spans="1:70" ht="14.25" customHeight="1" x14ac:dyDescent="0.25">
      <c r="A12" s="171"/>
      <c r="B12" s="171"/>
      <c r="C12" s="171"/>
      <c r="D12" s="171"/>
      <c r="E12" s="171"/>
      <c r="F12" s="171"/>
      <c r="G12" s="171"/>
      <c r="H12" s="171"/>
      <c r="I12" s="171"/>
      <c r="J12" s="171"/>
      <c r="K12" s="171"/>
      <c r="L12" s="171"/>
      <c r="M12" s="171"/>
      <c r="N12" s="171"/>
      <c r="O12" s="171"/>
      <c r="P12" s="171"/>
      <c r="Q12" s="171"/>
      <c r="R12" s="174"/>
      <c r="S12" s="174"/>
      <c r="T12" s="174"/>
      <c r="U12" s="174"/>
      <c r="V12" s="174"/>
      <c r="W12" s="174"/>
      <c r="X12" s="174"/>
      <c r="Y12" s="174"/>
      <c r="Z12" s="174"/>
      <c r="AA12" s="174"/>
      <c r="AB12" s="174"/>
      <c r="AC12" s="174"/>
      <c r="AD12" s="174"/>
      <c r="AE12" s="174"/>
      <c r="AF12" s="174"/>
      <c r="AG12" s="174"/>
      <c r="AH12" s="174"/>
      <c r="AI12" s="174"/>
      <c r="AJ12" s="174"/>
      <c r="AK12" s="174"/>
      <c r="AL12" s="174"/>
      <c r="AM12" s="174"/>
      <c r="AN12" s="174"/>
      <c r="AO12" s="174"/>
      <c r="AP12" s="174"/>
      <c r="AQ12" s="174"/>
      <c r="AR12" s="174"/>
      <c r="AS12" s="174"/>
      <c r="AT12" s="174"/>
      <c r="AU12" s="174"/>
      <c r="AV12" s="174"/>
      <c r="AW12" s="174"/>
      <c r="AX12" s="174"/>
      <c r="AY12" s="174"/>
      <c r="AZ12" s="171"/>
      <c r="BA12" s="170"/>
      <c r="BB12" s="170"/>
      <c r="BC12" s="170"/>
      <c r="BD12" s="170"/>
      <c r="BE12" s="170"/>
      <c r="BF12" s="170"/>
      <c r="BG12" s="170"/>
      <c r="BH12" s="170"/>
      <c r="BI12" s="170"/>
      <c r="BJ12" s="170"/>
      <c r="BK12" s="170"/>
      <c r="BL12" s="170"/>
      <c r="BM12" s="170"/>
      <c r="BN12" s="170"/>
      <c r="BO12" s="170"/>
      <c r="BP12" s="170"/>
      <c r="BQ12" s="170"/>
      <c r="BR12" s="170"/>
    </row>
    <row r="13" spans="1:70" ht="14.25" customHeight="1" x14ac:dyDescent="0.25">
      <c r="A13" s="171"/>
      <c r="B13" s="171"/>
      <c r="C13" s="171"/>
      <c r="D13" s="171"/>
      <c r="E13" s="171"/>
      <c r="F13" s="171"/>
      <c r="G13" s="171"/>
      <c r="H13" s="171"/>
      <c r="I13" s="171"/>
      <c r="J13" s="171"/>
      <c r="K13" s="171"/>
      <c r="L13" s="171"/>
      <c r="M13" s="171"/>
      <c r="N13" s="171"/>
      <c r="O13" s="171"/>
      <c r="P13" s="171"/>
      <c r="Q13" s="171"/>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1"/>
      <c r="BA13" s="170"/>
      <c r="BB13" s="170"/>
      <c r="BC13" s="170"/>
      <c r="BD13" s="170"/>
      <c r="BE13" s="170"/>
      <c r="BF13" s="170"/>
      <c r="BG13" s="170"/>
      <c r="BH13" s="170"/>
      <c r="BI13" s="170"/>
      <c r="BJ13" s="170"/>
      <c r="BK13" s="170"/>
      <c r="BL13" s="170"/>
      <c r="BM13" s="170"/>
      <c r="BN13" s="170"/>
      <c r="BO13" s="170"/>
      <c r="BP13" s="170"/>
      <c r="BQ13" s="170"/>
      <c r="BR13" s="170"/>
    </row>
    <row r="14" spans="1:70" ht="14.25" customHeight="1" x14ac:dyDescent="0.25">
      <c r="A14" s="171"/>
      <c r="B14" s="171"/>
      <c r="C14" s="171"/>
      <c r="D14" s="171"/>
      <c r="E14" s="171"/>
      <c r="F14" s="171"/>
      <c r="G14" s="171"/>
      <c r="H14" s="171"/>
      <c r="I14" s="171"/>
      <c r="J14" s="171"/>
      <c r="K14" s="171"/>
      <c r="L14" s="171"/>
      <c r="M14" s="171"/>
      <c r="N14" s="171"/>
      <c r="O14" s="171"/>
      <c r="P14" s="171"/>
      <c r="Q14" s="171"/>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0"/>
      <c r="BA14" s="170"/>
      <c r="BB14" s="170"/>
      <c r="BC14" s="170"/>
      <c r="BD14" s="170"/>
      <c r="BE14" s="170"/>
      <c r="BF14" s="170"/>
      <c r="BG14" s="170"/>
      <c r="BH14" s="170"/>
      <c r="BI14" s="170"/>
      <c r="BJ14" s="170"/>
      <c r="BK14" s="170"/>
      <c r="BL14" s="170"/>
      <c r="BM14" s="170"/>
      <c r="BN14" s="170"/>
      <c r="BO14" s="170"/>
      <c r="BP14" s="170"/>
      <c r="BQ14" s="170"/>
      <c r="BR14" s="170"/>
    </row>
    <row r="15" spans="1:70" ht="14.25" customHeight="1" x14ac:dyDescent="0.25">
      <c r="A15" s="170" t="s">
        <v>59</v>
      </c>
      <c r="B15" s="170"/>
      <c r="C15" s="170"/>
      <c r="D15" s="170"/>
      <c r="E15" s="170"/>
      <c r="F15" s="170"/>
      <c r="G15" s="170"/>
      <c r="H15" s="170"/>
      <c r="I15" s="170"/>
      <c r="J15" s="170"/>
      <c r="K15" s="170"/>
      <c r="L15" s="170"/>
      <c r="M15" s="170"/>
      <c r="N15" s="170"/>
      <c r="O15" s="170"/>
      <c r="P15" s="170"/>
      <c r="Q15" s="170"/>
      <c r="R15" s="175" t="s">
        <v>224</v>
      </c>
      <c r="S15" s="175"/>
      <c r="T15" s="175"/>
      <c r="U15" s="175"/>
      <c r="V15" s="175"/>
      <c r="W15" s="175"/>
      <c r="X15" s="175"/>
      <c r="Y15" s="175"/>
      <c r="Z15" s="175"/>
      <c r="AA15" s="175"/>
      <c r="AB15" s="175"/>
      <c r="AC15" s="175"/>
      <c r="AD15" s="175"/>
      <c r="AE15" s="175"/>
      <c r="AF15" s="175"/>
      <c r="AG15" s="175"/>
      <c r="AH15" s="175"/>
      <c r="AI15" s="175"/>
      <c r="AJ15" s="175"/>
      <c r="AK15" s="175"/>
      <c r="AL15" s="175"/>
      <c r="AM15" s="175"/>
      <c r="AN15" s="175"/>
      <c r="AO15" s="175"/>
      <c r="AP15" s="175"/>
      <c r="AQ15" s="175"/>
      <c r="AR15" s="175"/>
      <c r="AS15" s="175"/>
      <c r="AT15" s="175"/>
      <c r="AU15" s="175"/>
      <c r="AV15" s="175"/>
      <c r="AW15" s="175"/>
      <c r="AX15" s="175"/>
      <c r="AY15" s="175"/>
      <c r="AZ15" s="170" t="s">
        <v>62</v>
      </c>
      <c r="BA15" s="170"/>
      <c r="BB15" s="170"/>
      <c r="BC15" s="170"/>
      <c r="BD15" s="170"/>
      <c r="BE15" s="170"/>
      <c r="BF15" s="170"/>
      <c r="BG15" s="170"/>
      <c r="BH15" s="170"/>
      <c r="BI15" s="170"/>
      <c r="BJ15" s="170"/>
      <c r="BK15" s="170"/>
      <c r="BL15" s="170"/>
      <c r="BM15" s="170"/>
      <c r="BN15" s="170"/>
      <c r="BO15" s="170"/>
      <c r="BP15" s="170"/>
      <c r="BQ15" s="170"/>
      <c r="BR15" s="170"/>
    </row>
    <row r="16" spans="1:70" ht="14.25" customHeight="1" x14ac:dyDescent="0.25">
      <c r="A16" s="170"/>
      <c r="B16" s="170"/>
      <c r="C16" s="170"/>
      <c r="D16" s="170"/>
      <c r="E16" s="170"/>
      <c r="F16" s="170"/>
      <c r="G16" s="170"/>
      <c r="H16" s="170"/>
      <c r="I16" s="170"/>
      <c r="J16" s="170"/>
      <c r="K16" s="170"/>
      <c r="L16" s="170"/>
      <c r="M16" s="170"/>
      <c r="N16" s="170"/>
      <c r="O16" s="170"/>
      <c r="P16" s="170"/>
      <c r="Q16" s="170"/>
      <c r="R16" s="175"/>
      <c r="S16" s="175"/>
      <c r="T16" s="175"/>
      <c r="U16" s="175"/>
      <c r="V16" s="175"/>
      <c r="W16" s="175"/>
      <c r="X16" s="175"/>
      <c r="Y16" s="175"/>
      <c r="Z16" s="175"/>
      <c r="AA16" s="175"/>
      <c r="AB16" s="175"/>
      <c r="AC16" s="175"/>
      <c r="AD16" s="175"/>
      <c r="AE16" s="175"/>
      <c r="AF16" s="175"/>
      <c r="AG16" s="175"/>
      <c r="AH16" s="175"/>
      <c r="AI16" s="175"/>
      <c r="AJ16" s="175"/>
      <c r="AK16" s="175"/>
      <c r="AL16" s="175"/>
      <c r="AM16" s="175"/>
      <c r="AN16" s="175"/>
      <c r="AO16" s="175"/>
      <c r="AP16" s="175"/>
      <c r="AQ16" s="175"/>
      <c r="AR16" s="175"/>
      <c r="AS16" s="175"/>
      <c r="AT16" s="175"/>
      <c r="AU16" s="175"/>
      <c r="AV16" s="175"/>
      <c r="AW16" s="175"/>
      <c r="AX16" s="175"/>
      <c r="AY16" s="175"/>
      <c r="AZ16" s="170"/>
      <c r="BA16" s="170"/>
      <c r="BB16" s="170"/>
      <c r="BC16" s="170"/>
      <c r="BD16" s="170"/>
      <c r="BE16" s="170"/>
      <c r="BF16" s="170"/>
      <c r="BG16" s="170"/>
      <c r="BH16" s="170"/>
      <c r="BI16" s="170"/>
      <c r="BJ16" s="170"/>
      <c r="BK16" s="170"/>
      <c r="BL16" s="170"/>
      <c r="BM16" s="170"/>
      <c r="BN16" s="170"/>
      <c r="BO16" s="170"/>
      <c r="BP16" s="170"/>
      <c r="BQ16" s="170"/>
      <c r="BR16" s="170"/>
    </row>
    <row r="17" spans="1:85" ht="14.25" customHeight="1" x14ac:dyDescent="0.25">
      <c r="A17" s="170"/>
      <c r="B17" s="170"/>
      <c r="C17" s="170"/>
      <c r="D17" s="170"/>
      <c r="E17" s="170"/>
      <c r="F17" s="170"/>
      <c r="G17" s="170"/>
      <c r="H17" s="170"/>
      <c r="I17" s="170"/>
      <c r="J17" s="170"/>
      <c r="K17" s="170"/>
      <c r="L17" s="170"/>
      <c r="M17" s="170"/>
      <c r="N17" s="170"/>
      <c r="O17" s="170"/>
      <c r="P17" s="170"/>
      <c r="Q17" s="170"/>
      <c r="R17" s="175"/>
      <c r="S17" s="175"/>
      <c r="T17" s="175"/>
      <c r="U17" s="175"/>
      <c r="V17" s="175"/>
      <c r="W17" s="175"/>
      <c r="X17" s="175"/>
      <c r="Y17" s="175"/>
      <c r="Z17" s="175"/>
      <c r="AA17" s="175"/>
      <c r="AB17" s="175"/>
      <c r="AC17" s="175"/>
      <c r="AD17" s="175"/>
      <c r="AE17" s="175"/>
      <c r="AF17" s="175"/>
      <c r="AG17" s="175"/>
      <c r="AH17" s="175"/>
      <c r="AI17" s="175"/>
      <c r="AJ17" s="175"/>
      <c r="AK17" s="175"/>
      <c r="AL17" s="175"/>
      <c r="AM17" s="175"/>
      <c r="AN17" s="175"/>
      <c r="AO17" s="175"/>
      <c r="AP17" s="175"/>
      <c r="AQ17" s="175"/>
      <c r="AR17" s="175"/>
      <c r="AS17" s="175"/>
      <c r="AT17" s="175"/>
      <c r="AU17" s="175"/>
      <c r="AV17" s="175"/>
      <c r="AW17" s="175"/>
      <c r="AX17" s="175"/>
      <c r="AY17" s="175"/>
      <c r="AZ17" s="170"/>
      <c r="BA17" s="170"/>
      <c r="BB17" s="170"/>
      <c r="BC17" s="170"/>
      <c r="BD17" s="170"/>
      <c r="BE17" s="170"/>
      <c r="BF17" s="170"/>
      <c r="BG17" s="170"/>
      <c r="BH17" s="170"/>
      <c r="BI17" s="170"/>
      <c r="BJ17" s="170"/>
      <c r="BK17" s="170"/>
      <c r="BL17" s="170"/>
      <c r="BM17" s="170"/>
      <c r="BN17" s="170"/>
      <c r="BO17" s="170"/>
      <c r="BP17" s="170"/>
      <c r="BQ17" s="170"/>
      <c r="BR17" s="170"/>
    </row>
    <row r="18" spans="1:85" ht="14.25" customHeight="1" x14ac:dyDescent="0.25">
      <c r="A18" s="170"/>
      <c r="B18" s="170"/>
      <c r="C18" s="170"/>
      <c r="D18" s="170"/>
      <c r="E18" s="170"/>
      <c r="F18" s="170"/>
      <c r="G18" s="170"/>
      <c r="H18" s="170"/>
      <c r="I18" s="170"/>
      <c r="J18" s="170"/>
      <c r="K18" s="170"/>
      <c r="L18" s="170"/>
      <c r="M18" s="170"/>
      <c r="N18" s="170"/>
      <c r="O18" s="170"/>
      <c r="P18" s="170"/>
      <c r="Q18" s="170"/>
      <c r="R18" s="175"/>
      <c r="S18" s="175"/>
      <c r="T18" s="175"/>
      <c r="U18" s="175"/>
      <c r="V18" s="175"/>
      <c r="W18" s="175"/>
      <c r="X18" s="175"/>
      <c r="Y18" s="175"/>
      <c r="Z18" s="175"/>
      <c r="AA18" s="175"/>
      <c r="AB18" s="175"/>
      <c r="AC18" s="175"/>
      <c r="AD18" s="175"/>
      <c r="AE18" s="175"/>
      <c r="AF18" s="175"/>
      <c r="AG18" s="175"/>
      <c r="AH18" s="175"/>
      <c r="AI18" s="175"/>
      <c r="AJ18" s="175"/>
      <c r="AK18" s="175"/>
      <c r="AL18" s="175"/>
      <c r="AM18" s="175"/>
      <c r="AN18" s="175"/>
      <c r="AO18" s="175"/>
      <c r="AP18" s="175"/>
      <c r="AQ18" s="175"/>
      <c r="AR18" s="175"/>
      <c r="AS18" s="175"/>
      <c r="AT18" s="175"/>
      <c r="AU18" s="175"/>
      <c r="AV18" s="175"/>
      <c r="AW18" s="175"/>
      <c r="AX18" s="175"/>
      <c r="AY18" s="175"/>
      <c r="AZ18" s="170"/>
      <c r="BA18" s="170"/>
      <c r="BB18" s="170"/>
      <c r="BC18" s="170"/>
      <c r="BD18" s="170"/>
      <c r="BE18" s="170"/>
      <c r="BF18" s="170"/>
      <c r="BG18" s="170"/>
      <c r="BH18" s="170"/>
      <c r="BI18" s="170"/>
      <c r="BJ18" s="170"/>
      <c r="BK18" s="170"/>
      <c r="BL18" s="170"/>
      <c r="BM18" s="170"/>
      <c r="BN18" s="170"/>
      <c r="BO18" s="170"/>
      <c r="BP18" s="170"/>
      <c r="BQ18" s="170"/>
      <c r="BR18" s="170"/>
    </row>
    <row r="19" spans="1:85" ht="14.25" customHeight="1" x14ac:dyDescent="0.25">
      <c r="A19" s="170" t="s">
        <v>60</v>
      </c>
      <c r="B19" s="170"/>
      <c r="C19" s="170"/>
      <c r="D19" s="170"/>
      <c r="E19" s="170"/>
      <c r="F19" s="170"/>
      <c r="G19" s="170"/>
      <c r="H19" s="170"/>
      <c r="I19" s="170"/>
      <c r="J19" s="170"/>
      <c r="K19" s="170"/>
      <c r="L19" s="170"/>
      <c r="M19" s="170"/>
      <c r="N19" s="170"/>
      <c r="O19" s="170"/>
      <c r="P19" s="170"/>
      <c r="Q19" s="170"/>
      <c r="R19" s="170" t="s">
        <v>253</v>
      </c>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1" t="s">
        <v>234</v>
      </c>
      <c r="BA19" s="171"/>
      <c r="BB19" s="171"/>
      <c r="BC19" s="171"/>
      <c r="BD19" s="171"/>
      <c r="BE19" s="171"/>
      <c r="BF19" s="171"/>
      <c r="BG19" s="171"/>
      <c r="BH19" s="171"/>
      <c r="BI19" s="171"/>
      <c r="BJ19" s="171"/>
      <c r="BK19" s="171"/>
      <c r="BL19" s="171"/>
      <c r="BM19" s="171"/>
      <c r="BN19" s="171"/>
      <c r="BO19" s="171"/>
      <c r="BP19" s="171"/>
      <c r="BQ19" s="171"/>
      <c r="BR19" s="171"/>
    </row>
    <row r="20" spans="1:85" ht="14.25" customHeight="1" x14ac:dyDescent="0.25">
      <c r="A20" s="170"/>
      <c r="B20" s="170"/>
      <c r="C20" s="170"/>
      <c r="D20" s="170"/>
      <c r="E20" s="170"/>
      <c r="F20" s="170"/>
      <c r="G20" s="170"/>
      <c r="H20" s="170"/>
      <c r="I20" s="170"/>
      <c r="J20" s="170"/>
      <c r="K20" s="170"/>
      <c r="L20" s="170"/>
      <c r="M20" s="170"/>
      <c r="N20" s="170"/>
      <c r="O20" s="170"/>
      <c r="P20" s="170"/>
      <c r="Q20" s="170"/>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1"/>
      <c r="BA20" s="171"/>
      <c r="BB20" s="171"/>
      <c r="BC20" s="171"/>
      <c r="BD20" s="171"/>
      <c r="BE20" s="171"/>
      <c r="BF20" s="171"/>
      <c r="BG20" s="171"/>
      <c r="BH20" s="171"/>
      <c r="BI20" s="171"/>
      <c r="BJ20" s="171"/>
      <c r="BK20" s="171"/>
      <c r="BL20" s="171"/>
      <c r="BM20" s="171"/>
      <c r="BN20" s="171"/>
      <c r="BO20" s="171"/>
      <c r="BP20" s="171"/>
      <c r="BQ20" s="171"/>
      <c r="BR20" s="171"/>
    </row>
    <row r="21" spans="1:85" ht="14.25" customHeight="1" x14ac:dyDescent="0.25">
      <c r="A21" s="170"/>
      <c r="B21" s="170"/>
      <c r="C21" s="170"/>
      <c r="D21" s="170"/>
      <c r="E21" s="170"/>
      <c r="F21" s="170"/>
      <c r="G21" s="170"/>
      <c r="H21" s="170"/>
      <c r="I21" s="170"/>
      <c r="J21" s="170"/>
      <c r="K21" s="170"/>
      <c r="L21" s="170"/>
      <c r="M21" s="170"/>
      <c r="N21" s="170"/>
      <c r="O21" s="170"/>
      <c r="P21" s="170"/>
      <c r="Q21" s="170"/>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1"/>
      <c r="BA21" s="171"/>
      <c r="BB21" s="171"/>
      <c r="BC21" s="171"/>
      <c r="BD21" s="171"/>
      <c r="BE21" s="171"/>
      <c r="BF21" s="171"/>
      <c r="BG21" s="171"/>
      <c r="BH21" s="171"/>
      <c r="BI21" s="171"/>
      <c r="BJ21" s="171"/>
      <c r="BK21" s="171"/>
      <c r="BL21" s="171"/>
      <c r="BM21" s="171"/>
      <c r="BN21" s="171"/>
      <c r="BO21" s="171"/>
      <c r="BP21" s="171"/>
      <c r="BQ21" s="171"/>
      <c r="BR21" s="171"/>
    </row>
    <row r="22" spans="1:85" ht="14.25" customHeight="1" x14ac:dyDescent="0.25">
      <c r="A22" s="170"/>
      <c r="B22" s="170"/>
      <c r="C22" s="170"/>
      <c r="D22" s="170"/>
      <c r="E22" s="170"/>
      <c r="F22" s="170"/>
      <c r="G22" s="170"/>
      <c r="H22" s="170"/>
      <c r="I22" s="170"/>
      <c r="J22" s="170"/>
      <c r="K22" s="170"/>
      <c r="L22" s="170"/>
      <c r="M22" s="170"/>
      <c r="N22" s="170"/>
      <c r="O22" s="170"/>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1"/>
      <c r="BA22" s="171"/>
      <c r="BB22" s="171"/>
      <c r="BC22" s="171"/>
      <c r="BD22" s="171"/>
      <c r="BE22" s="171"/>
      <c r="BF22" s="171"/>
      <c r="BG22" s="171"/>
      <c r="BH22" s="171"/>
      <c r="BI22" s="171"/>
      <c r="BJ22" s="171"/>
      <c r="BK22" s="171"/>
      <c r="BL22" s="171"/>
      <c r="BM22" s="171"/>
      <c r="BN22" s="171"/>
      <c r="BO22" s="171"/>
      <c r="BP22" s="171"/>
      <c r="BQ22" s="171"/>
      <c r="BR22" s="171"/>
    </row>
    <row r="23" spans="1:85" ht="14.25" customHeight="1" x14ac:dyDescent="0.25">
      <c r="A23" s="173" t="s">
        <v>61</v>
      </c>
      <c r="B23" s="173"/>
      <c r="C23" s="173"/>
      <c r="D23" s="173"/>
      <c r="E23" s="173"/>
      <c r="F23" s="173"/>
      <c r="G23" s="173"/>
      <c r="H23" s="173"/>
      <c r="I23" s="173"/>
      <c r="J23" s="173"/>
      <c r="K23" s="173"/>
      <c r="L23" s="173"/>
      <c r="M23" s="173"/>
      <c r="N23" s="173"/>
      <c r="O23" s="173"/>
      <c r="P23" s="173"/>
      <c r="Q23" s="173"/>
      <c r="R23" s="170" t="s">
        <v>124</v>
      </c>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2"/>
      <c r="BA23" s="172"/>
      <c r="BB23" s="172"/>
      <c r="BC23" s="172"/>
      <c r="BD23" s="172"/>
      <c r="BE23" s="172"/>
      <c r="BF23" s="172"/>
      <c r="BG23" s="172"/>
      <c r="BH23" s="172"/>
      <c r="BI23" s="172"/>
      <c r="BJ23" s="172"/>
      <c r="BK23" s="172"/>
      <c r="BL23" s="172"/>
      <c r="BM23" s="172"/>
      <c r="BN23" s="172"/>
      <c r="BO23" s="172"/>
      <c r="BP23" s="172"/>
      <c r="BQ23" s="172"/>
      <c r="BR23" s="172"/>
    </row>
    <row r="24" spans="1:85" ht="14.25" customHeight="1" x14ac:dyDescent="0.25">
      <c r="A24" s="173"/>
      <c r="B24" s="173"/>
      <c r="C24" s="173"/>
      <c r="D24" s="173"/>
      <c r="E24" s="173"/>
      <c r="F24" s="173"/>
      <c r="G24" s="173"/>
      <c r="H24" s="173"/>
      <c r="I24" s="173"/>
      <c r="J24" s="173"/>
      <c r="K24" s="173"/>
      <c r="L24" s="173"/>
      <c r="M24" s="173"/>
      <c r="N24" s="173"/>
      <c r="O24" s="173"/>
      <c r="P24" s="173"/>
      <c r="Q24" s="173"/>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2"/>
      <c r="BA24" s="172"/>
      <c r="BB24" s="172"/>
      <c r="BC24" s="172"/>
      <c r="BD24" s="172"/>
      <c r="BE24" s="172"/>
      <c r="BF24" s="172"/>
      <c r="BG24" s="172"/>
      <c r="BH24" s="172"/>
      <c r="BI24" s="172"/>
      <c r="BJ24" s="172"/>
      <c r="BK24" s="172"/>
      <c r="BL24" s="172"/>
      <c r="BM24" s="172"/>
      <c r="BN24" s="172"/>
      <c r="BO24" s="172"/>
      <c r="BP24" s="172"/>
      <c r="BQ24" s="172"/>
      <c r="BR24" s="172"/>
    </row>
    <row r="25" spans="1:85" ht="14.25" customHeight="1" x14ac:dyDescent="0.25">
      <c r="A25" s="173"/>
      <c r="B25" s="173"/>
      <c r="C25" s="173"/>
      <c r="D25" s="173"/>
      <c r="E25" s="173"/>
      <c r="F25" s="173"/>
      <c r="G25" s="173"/>
      <c r="H25" s="173"/>
      <c r="I25" s="173"/>
      <c r="J25" s="173"/>
      <c r="K25" s="173"/>
      <c r="L25" s="173"/>
      <c r="M25" s="173"/>
      <c r="N25" s="173"/>
      <c r="O25" s="173"/>
      <c r="P25" s="173"/>
      <c r="Q25" s="173"/>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2"/>
      <c r="BA25" s="172"/>
      <c r="BB25" s="172"/>
      <c r="BC25" s="172"/>
      <c r="BD25" s="172"/>
      <c r="BE25" s="172"/>
      <c r="BF25" s="172"/>
      <c r="BG25" s="172"/>
      <c r="BH25" s="172"/>
      <c r="BI25" s="172"/>
      <c r="BJ25" s="172"/>
      <c r="BK25" s="172"/>
      <c r="BL25" s="172"/>
      <c r="BM25" s="172"/>
      <c r="BN25" s="172"/>
      <c r="BO25" s="172"/>
      <c r="BP25" s="172"/>
      <c r="BQ25" s="172"/>
      <c r="BR25" s="172"/>
    </row>
    <row r="26" spans="1:85" ht="14.25" customHeight="1" x14ac:dyDescent="0.25">
      <c r="A26" s="173"/>
      <c r="B26" s="173"/>
      <c r="C26" s="173"/>
      <c r="D26" s="173"/>
      <c r="E26" s="173"/>
      <c r="F26" s="173"/>
      <c r="G26" s="173"/>
      <c r="H26" s="173"/>
      <c r="I26" s="173"/>
      <c r="J26" s="173"/>
      <c r="K26" s="173"/>
      <c r="L26" s="173"/>
      <c r="M26" s="173"/>
      <c r="N26" s="173"/>
      <c r="O26" s="173"/>
      <c r="P26" s="173"/>
      <c r="Q26" s="173"/>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2"/>
      <c r="BA26" s="172"/>
      <c r="BB26" s="172"/>
      <c r="BC26" s="172"/>
      <c r="BD26" s="172"/>
      <c r="BE26" s="172"/>
      <c r="BF26" s="172"/>
      <c r="BG26" s="172"/>
      <c r="BH26" s="172"/>
      <c r="BI26" s="172"/>
      <c r="BJ26" s="172"/>
      <c r="BK26" s="172"/>
      <c r="BL26" s="172"/>
      <c r="BM26" s="172"/>
      <c r="BN26" s="172"/>
      <c r="BO26" s="172"/>
      <c r="BP26" s="172"/>
      <c r="BQ26" s="172"/>
      <c r="BR26" s="172"/>
    </row>
    <row r="27" spans="1:85" ht="14.25" customHeight="1" x14ac:dyDescent="0.25">
      <c r="A27" s="76"/>
      <c r="B27" s="76"/>
      <c r="C27" s="76"/>
      <c r="D27" s="76"/>
      <c r="E27" s="76"/>
      <c r="F27" s="76"/>
      <c r="G27" s="76"/>
      <c r="H27" s="76"/>
      <c r="I27" s="76"/>
      <c r="J27" s="76"/>
      <c r="K27" s="76"/>
      <c r="L27" s="76"/>
      <c r="M27" s="76"/>
      <c r="N27" s="76"/>
      <c r="O27" s="76"/>
      <c r="P27" s="76"/>
      <c r="Q27" s="76"/>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5"/>
      <c r="BA27" s="75"/>
      <c r="BB27" s="75"/>
      <c r="BC27" s="75"/>
      <c r="BD27" s="75"/>
      <c r="BE27" s="75"/>
      <c r="BF27" s="75"/>
      <c r="BG27" s="75"/>
      <c r="BH27" s="75"/>
      <c r="BI27" s="75"/>
      <c r="BJ27" s="75"/>
      <c r="BK27" s="75"/>
      <c r="BL27" s="75"/>
      <c r="BM27" s="75"/>
      <c r="BN27" s="75"/>
      <c r="BO27" s="75"/>
      <c r="BP27" s="75"/>
      <c r="BQ27" s="75"/>
      <c r="BR27" s="75"/>
    </row>
    <row r="28" spans="1:85" ht="14.25" customHeight="1" x14ac:dyDescent="0.25">
      <c r="A28" s="75"/>
      <c r="B28" s="3"/>
      <c r="C28" s="3"/>
      <c r="D28" s="75"/>
      <c r="E28" s="75"/>
      <c r="F28" s="75"/>
      <c r="G28" s="75"/>
      <c r="H28" s="75"/>
      <c r="I28" s="75"/>
      <c r="J28" s="75"/>
      <c r="K28" s="75"/>
      <c r="L28" s="75"/>
      <c r="M28" s="75"/>
      <c r="N28" s="75"/>
      <c r="O28" s="75"/>
      <c r="P28" s="75"/>
      <c r="Q28" s="75"/>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5"/>
      <c r="BA28" s="75"/>
      <c r="BB28" s="75"/>
      <c r="BC28" s="75"/>
      <c r="BD28" s="75"/>
      <c r="BE28" s="75"/>
      <c r="BF28" s="75"/>
      <c r="BG28" s="75"/>
      <c r="BH28" s="75"/>
      <c r="BI28" s="75"/>
      <c r="BJ28" s="75"/>
      <c r="BK28" s="75"/>
      <c r="BL28" s="75"/>
      <c r="BM28" s="75"/>
      <c r="BN28" s="75"/>
      <c r="BO28" s="75"/>
      <c r="BP28" s="75"/>
      <c r="BQ28" s="75"/>
      <c r="BR28" s="75"/>
    </row>
    <row r="29" spans="1:85" ht="14.25" customHeight="1" x14ac:dyDescent="0.25">
      <c r="A29" s="153" t="s">
        <v>65</v>
      </c>
      <c r="B29" s="153"/>
      <c r="C29" s="153"/>
      <c r="D29" s="153"/>
      <c r="E29" s="153"/>
      <c r="F29" s="153"/>
      <c r="G29" s="153"/>
      <c r="H29" s="153"/>
      <c r="I29" s="153"/>
      <c r="J29" s="153"/>
      <c r="K29" s="153"/>
      <c r="L29" s="153"/>
      <c r="M29" s="153"/>
      <c r="N29" s="153"/>
      <c r="O29" s="153"/>
      <c r="P29" s="153"/>
      <c r="Q29" s="153"/>
      <c r="R29" s="153"/>
      <c r="S29" s="153"/>
      <c r="T29" s="153"/>
      <c r="U29" s="153"/>
      <c r="V29" s="153"/>
      <c r="W29" s="153"/>
      <c r="X29" s="153"/>
      <c r="Y29" s="153"/>
      <c r="Z29" s="153"/>
      <c r="AA29" s="153"/>
      <c r="AB29" s="153"/>
      <c r="AC29" s="153"/>
      <c r="AD29" s="153"/>
      <c r="AE29" s="153"/>
      <c r="AF29" s="153"/>
      <c r="AG29" s="153"/>
      <c r="AH29" s="153"/>
      <c r="AI29" s="153"/>
      <c r="AJ29" s="153"/>
      <c r="AK29" s="153"/>
      <c r="AL29" s="153"/>
      <c r="AM29" s="153"/>
      <c r="AN29" s="153"/>
      <c r="AO29" s="153"/>
      <c r="AP29" s="153"/>
      <c r="AQ29" s="153"/>
      <c r="AR29" s="153"/>
      <c r="AS29" s="153"/>
      <c r="AT29" s="153"/>
      <c r="AU29" s="153"/>
      <c r="AV29" s="153"/>
      <c r="AW29" s="153"/>
      <c r="AX29" s="153"/>
      <c r="AY29" s="153"/>
      <c r="AZ29" s="153"/>
      <c r="BA29" s="153"/>
      <c r="BB29" s="153"/>
      <c r="BC29" s="153"/>
      <c r="BD29" s="153"/>
      <c r="BE29" s="153"/>
      <c r="BF29" s="153"/>
      <c r="BG29" s="153"/>
      <c r="BH29" s="153"/>
      <c r="BI29" s="153"/>
      <c r="BJ29" s="153"/>
      <c r="BK29" s="153"/>
      <c r="BL29" s="153"/>
      <c r="BM29" s="153"/>
      <c r="BN29" s="153"/>
      <c r="BO29" s="153"/>
      <c r="BP29" s="153"/>
      <c r="BQ29" s="153"/>
      <c r="BR29" s="153"/>
    </row>
    <row r="30" spans="1:85" ht="14.25" customHeight="1" x14ac:dyDescent="0.25">
      <c r="A30" s="154"/>
      <c r="B30" s="154"/>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c r="AA30" s="154"/>
      <c r="AB30" s="154"/>
      <c r="AC30" s="154"/>
      <c r="AD30" s="154"/>
      <c r="AE30" s="154"/>
      <c r="AF30" s="154"/>
      <c r="AG30" s="154"/>
      <c r="AH30" s="154"/>
      <c r="AI30" s="154"/>
      <c r="AJ30" s="154"/>
      <c r="AK30" s="154"/>
      <c r="AL30" s="154"/>
      <c r="AM30" s="154"/>
      <c r="AN30" s="154"/>
      <c r="AO30" s="154"/>
      <c r="AP30" s="154"/>
      <c r="AQ30" s="154"/>
      <c r="AR30" s="154"/>
      <c r="AS30" s="154"/>
      <c r="AT30" s="154"/>
      <c r="AU30" s="154"/>
      <c r="AV30" s="154"/>
      <c r="AW30" s="154"/>
      <c r="AX30" s="154"/>
      <c r="AY30" s="154"/>
      <c r="AZ30" s="154"/>
      <c r="BA30" s="154"/>
      <c r="BB30" s="154"/>
      <c r="BC30" s="154"/>
      <c r="BD30" s="154"/>
      <c r="BE30" s="154"/>
      <c r="BF30" s="154"/>
      <c r="BG30" s="154"/>
      <c r="BH30" s="154"/>
      <c r="BI30" s="154"/>
      <c r="BJ30" s="154"/>
      <c r="BK30" s="154"/>
      <c r="BL30" s="154"/>
      <c r="BM30" s="154"/>
      <c r="BN30" s="154"/>
      <c r="BO30" s="154"/>
      <c r="BP30" s="154"/>
      <c r="BQ30" s="154"/>
      <c r="BR30" s="154"/>
    </row>
    <row r="31" spans="1:85" ht="14.25" customHeight="1" x14ac:dyDescent="0.25">
      <c r="A31" s="134" t="s">
        <v>86</v>
      </c>
      <c r="B31" s="134"/>
      <c r="C31" s="106" t="s">
        <v>85</v>
      </c>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6"/>
      <c r="BA31" s="106"/>
      <c r="BB31" s="106"/>
      <c r="BC31" s="236" t="s">
        <v>87</v>
      </c>
      <c r="BD31" s="210"/>
      <c r="BE31" s="233" t="s">
        <v>95</v>
      </c>
      <c r="BF31" s="234"/>
      <c r="BG31" s="234"/>
      <c r="BH31" s="234"/>
      <c r="BI31" s="234"/>
      <c r="BJ31" s="234"/>
      <c r="BK31" s="234"/>
      <c r="BL31" s="235"/>
      <c r="BM31" s="236" t="s">
        <v>92</v>
      </c>
      <c r="BN31" s="210"/>
      <c r="BO31" s="133" t="s">
        <v>93</v>
      </c>
      <c r="BP31" s="133"/>
      <c r="BQ31" s="209" t="s">
        <v>94</v>
      </c>
      <c r="BR31" s="210"/>
      <c r="BT31" s="233"/>
      <c r="BU31" s="234"/>
      <c r="BV31" s="234"/>
      <c r="BW31" s="234"/>
      <c r="BX31" s="234"/>
      <c r="BY31" s="234"/>
      <c r="BZ31" s="234"/>
      <c r="CA31" s="235"/>
      <c r="CB31" s="236"/>
      <c r="CC31" s="210"/>
      <c r="CD31" s="133"/>
      <c r="CE31" s="133"/>
      <c r="CF31" s="209"/>
      <c r="CG31" s="210"/>
    </row>
    <row r="32" spans="1:85" ht="177.75" customHeight="1" x14ac:dyDescent="0.25">
      <c r="A32" s="134"/>
      <c r="B32" s="134"/>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c r="AZ32" s="106"/>
      <c r="BA32" s="106"/>
      <c r="BB32" s="106"/>
      <c r="BC32" s="237"/>
      <c r="BD32" s="212"/>
      <c r="BE32" s="135" t="s">
        <v>88</v>
      </c>
      <c r="BF32" s="135"/>
      <c r="BG32" s="215" t="s">
        <v>89</v>
      </c>
      <c r="BH32" s="217"/>
      <c r="BI32" s="215" t="s">
        <v>90</v>
      </c>
      <c r="BJ32" s="217"/>
      <c r="BK32" s="134" t="s">
        <v>91</v>
      </c>
      <c r="BL32" s="134"/>
      <c r="BM32" s="237"/>
      <c r="BN32" s="212"/>
      <c r="BO32" s="133"/>
      <c r="BP32" s="133"/>
      <c r="BQ32" s="211"/>
      <c r="BR32" s="212"/>
      <c r="BT32" s="215"/>
      <c r="BU32" s="216"/>
      <c r="BV32" s="217"/>
      <c r="BW32" s="215"/>
      <c r="BX32" s="217"/>
      <c r="BY32" s="224"/>
      <c r="BZ32" s="225"/>
      <c r="CA32" s="226"/>
      <c r="CB32" s="237"/>
      <c r="CC32" s="212"/>
      <c r="CD32" s="133"/>
      <c r="CE32" s="133"/>
      <c r="CF32" s="211"/>
      <c r="CG32" s="212"/>
    </row>
    <row r="33" spans="1:85" ht="14.25" customHeight="1" x14ac:dyDescent="0.25">
      <c r="A33" s="134"/>
      <c r="B33" s="134"/>
      <c r="C33" s="167" t="s">
        <v>73</v>
      </c>
      <c r="D33" s="168"/>
      <c r="E33" s="168"/>
      <c r="F33" s="152"/>
      <c r="G33" s="106" t="s">
        <v>74</v>
      </c>
      <c r="H33" s="106"/>
      <c r="I33" s="106"/>
      <c r="J33" s="106"/>
      <c r="K33" s="106" t="s">
        <v>75</v>
      </c>
      <c r="L33" s="106"/>
      <c r="M33" s="106"/>
      <c r="N33" s="106"/>
      <c r="O33" s="106"/>
      <c r="P33" s="167" t="s">
        <v>76</v>
      </c>
      <c r="Q33" s="168"/>
      <c r="R33" s="168"/>
      <c r="S33" s="152"/>
      <c r="T33" s="167" t="s">
        <v>77</v>
      </c>
      <c r="U33" s="168"/>
      <c r="V33" s="168"/>
      <c r="W33" s="168"/>
      <c r="X33" s="152"/>
      <c r="Y33" s="167" t="s">
        <v>78</v>
      </c>
      <c r="Z33" s="168"/>
      <c r="AA33" s="168"/>
      <c r="AB33" s="152"/>
      <c r="AC33" s="167" t="s">
        <v>79</v>
      </c>
      <c r="AD33" s="168"/>
      <c r="AE33" s="168"/>
      <c r="AF33" s="152"/>
      <c r="AG33" s="167" t="s">
        <v>80</v>
      </c>
      <c r="AH33" s="168"/>
      <c r="AI33" s="168"/>
      <c r="AJ33" s="152"/>
      <c r="AK33" s="167" t="s">
        <v>81</v>
      </c>
      <c r="AL33" s="168"/>
      <c r="AM33" s="168"/>
      <c r="AN33" s="168"/>
      <c r="AO33" s="152"/>
      <c r="AP33" s="167" t="s">
        <v>82</v>
      </c>
      <c r="AQ33" s="168"/>
      <c r="AR33" s="168"/>
      <c r="AS33" s="152"/>
      <c r="AT33" s="167" t="s">
        <v>83</v>
      </c>
      <c r="AU33" s="168"/>
      <c r="AV33" s="168"/>
      <c r="AW33" s="168"/>
      <c r="AX33" s="152"/>
      <c r="AY33" s="167" t="s">
        <v>84</v>
      </c>
      <c r="AZ33" s="168"/>
      <c r="BA33" s="168"/>
      <c r="BB33" s="152"/>
      <c r="BC33" s="237"/>
      <c r="BD33" s="212"/>
      <c r="BE33" s="135"/>
      <c r="BF33" s="135"/>
      <c r="BG33" s="218"/>
      <c r="BH33" s="220"/>
      <c r="BI33" s="218"/>
      <c r="BJ33" s="220"/>
      <c r="BK33" s="134"/>
      <c r="BL33" s="134"/>
      <c r="BM33" s="237"/>
      <c r="BN33" s="212"/>
      <c r="BO33" s="133"/>
      <c r="BP33" s="133"/>
      <c r="BQ33" s="211"/>
      <c r="BR33" s="212"/>
      <c r="BT33" s="218"/>
      <c r="BU33" s="219"/>
      <c r="BV33" s="220"/>
      <c r="BW33" s="218"/>
      <c r="BX33" s="220"/>
      <c r="BY33" s="227"/>
      <c r="BZ33" s="228"/>
      <c r="CA33" s="229"/>
      <c r="CB33" s="237"/>
      <c r="CC33" s="212"/>
      <c r="CD33" s="133"/>
      <c r="CE33" s="133"/>
      <c r="CF33" s="211"/>
      <c r="CG33" s="212"/>
    </row>
    <row r="34" spans="1:85" ht="14.25" customHeight="1" x14ac:dyDescent="0.25">
      <c r="A34" s="134"/>
      <c r="B34" s="134"/>
      <c r="C34" s="72">
        <v>1</v>
      </c>
      <c r="D34" s="72">
        <v>2</v>
      </c>
      <c r="E34" s="72">
        <v>3</v>
      </c>
      <c r="F34" s="72">
        <v>4</v>
      </c>
      <c r="G34" s="72">
        <v>5</v>
      </c>
      <c r="H34" s="72">
        <v>6</v>
      </c>
      <c r="I34" s="72">
        <v>7</v>
      </c>
      <c r="J34" s="72">
        <v>8</v>
      </c>
      <c r="K34" s="72">
        <v>9</v>
      </c>
      <c r="L34" s="72">
        <v>10</v>
      </c>
      <c r="M34" s="72">
        <v>11</v>
      </c>
      <c r="N34" s="72">
        <v>12</v>
      </c>
      <c r="O34" s="72">
        <v>13</v>
      </c>
      <c r="P34" s="72">
        <v>14</v>
      </c>
      <c r="Q34" s="72">
        <v>15</v>
      </c>
      <c r="R34" s="72">
        <v>16</v>
      </c>
      <c r="S34" s="72">
        <v>17</v>
      </c>
      <c r="T34" s="72">
        <v>18</v>
      </c>
      <c r="U34" s="72">
        <v>19</v>
      </c>
      <c r="V34" s="72">
        <v>20</v>
      </c>
      <c r="W34" s="72">
        <v>21</v>
      </c>
      <c r="X34" s="72">
        <v>22</v>
      </c>
      <c r="Y34" s="72">
        <v>23</v>
      </c>
      <c r="Z34" s="72">
        <v>24</v>
      </c>
      <c r="AA34" s="72">
        <v>25</v>
      </c>
      <c r="AB34" s="72">
        <v>26</v>
      </c>
      <c r="AC34" s="72">
        <v>27</v>
      </c>
      <c r="AD34" s="72">
        <v>28</v>
      </c>
      <c r="AE34" s="72">
        <v>29</v>
      </c>
      <c r="AF34" s="72">
        <v>30</v>
      </c>
      <c r="AG34" s="72">
        <v>31</v>
      </c>
      <c r="AH34" s="72">
        <v>32</v>
      </c>
      <c r="AI34" s="72">
        <v>33</v>
      </c>
      <c r="AJ34" s="72">
        <v>34</v>
      </c>
      <c r="AK34" s="72">
        <v>35</v>
      </c>
      <c r="AL34" s="72">
        <v>36</v>
      </c>
      <c r="AM34" s="72">
        <v>37</v>
      </c>
      <c r="AN34" s="72">
        <v>38</v>
      </c>
      <c r="AO34" s="72">
        <v>39</v>
      </c>
      <c r="AP34" s="72">
        <v>40</v>
      </c>
      <c r="AQ34" s="72">
        <v>41</v>
      </c>
      <c r="AR34" s="72">
        <v>42</v>
      </c>
      <c r="AS34" s="72">
        <v>43</v>
      </c>
      <c r="AT34" s="72">
        <v>44</v>
      </c>
      <c r="AU34" s="72">
        <v>45</v>
      </c>
      <c r="AV34" s="72">
        <v>46</v>
      </c>
      <c r="AW34" s="72">
        <v>47</v>
      </c>
      <c r="AX34" s="72">
        <v>48</v>
      </c>
      <c r="AY34" s="72">
        <v>49</v>
      </c>
      <c r="AZ34" s="72">
        <v>50</v>
      </c>
      <c r="BA34" s="72">
        <v>51</v>
      </c>
      <c r="BB34" s="72">
        <v>52</v>
      </c>
      <c r="BC34" s="238"/>
      <c r="BD34" s="214"/>
      <c r="BE34" s="135"/>
      <c r="BF34" s="135"/>
      <c r="BG34" s="221"/>
      <c r="BH34" s="223"/>
      <c r="BI34" s="221"/>
      <c r="BJ34" s="223"/>
      <c r="BK34" s="134"/>
      <c r="BL34" s="134"/>
      <c r="BM34" s="238"/>
      <c r="BN34" s="214"/>
      <c r="BO34" s="133"/>
      <c r="BP34" s="133"/>
      <c r="BQ34" s="213"/>
      <c r="BR34" s="214"/>
      <c r="BT34" s="221"/>
      <c r="BU34" s="222"/>
      <c r="BV34" s="223"/>
      <c r="BW34" s="221"/>
      <c r="BX34" s="223"/>
      <c r="BY34" s="230"/>
      <c r="BZ34" s="231"/>
      <c r="CA34" s="232"/>
      <c r="CB34" s="238"/>
      <c r="CC34" s="214"/>
      <c r="CD34" s="133"/>
      <c r="CE34" s="133"/>
      <c r="CF34" s="213"/>
      <c r="CG34" s="214"/>
    </row>
    <row r="35" spans="1:85" ht="14.25" customHeight="1" x14ac:dyDescent="0.25">
      <c r="A35" s="106" t="s">
        <v>0</v>
      </c>
      <c r="B35" s="106"/>
      <c r="C35" s="72" t="s">
        <v>106</v>
      </c>
      <c r="D35" s="72"/>
      <c r="E35" s="72"/>
      <c r="F35" s="72"/>
      <c r="G35" s="72"/>
      <c r="H35" s="72"/>
      <c r="I35" s="72"/>
      <c r="J35" s="72"/>
      <c r="K35" s="72"/>
      <c r="L35" s="72"/>
      <c r="M35" s="72"/>
      <c r="N35" s="72"/>
      <c r="O35" s="72"/>
      <c r="P35" s="72"/>
      <c r="Q35" s="72"/>
      <c r="R35" s="72"/>
      <c r="S35" s="72" t="s">
        <v>2</v>
      </c>
      <c r="T35" s="72" t="s">
        <v>2</v>
      </c>
      <c r="U35" s="72" t="s">
        <v>1</v>
      </c>
      <c r="V35" s="72" t="s">
        <v>1</v>
      </c>
      <c r="W35" s="72" t="s">
        <v>106</v>
      </c>
      <c r="X35" s="72" t="s">
        <v>0</v>
      </c>
      <c r="Y35" s="72" t="s">
        <v>0</v>
      </c>
      <c r="Z35" s="72" t="s">
        <v>0</v>
      </c>
      <c r="AA35" s="72" t="s">
        <v>0</v>
      </c>
      <c r="AB35" s="72" t="s">
        <v>0</v>
      </c>
      <c r="AC35" s="72"/>
      <c r="AD35" s="72"/>
      <c r="AE35" s="72"/>
      <c r="AF35" s="72"/>
      <c r="AG35" s="72"/>
      <c r="AH35" s="72"/>
      <c r="AI35" s="72"/>
      <c r="AJ35" s="72"/>
      <c r="AK35" s="72"/>
      <c r="AL35" s="72"/>
      <c r="AM35" s="72"/>
      <c r="AN35" s="72"/>
      <c r="AO35" s="72"/>
      <c r="AP35" s="72"/>
      <c r="AQ35" s="72"/>
      <c r="AR35" s="72" t="s">
        <v>1</v>
      </c>
      <c r="AS35" s="72" t="s">
        <v>1</v>
      </c>
      <c r="AT35" s="72" t="s">
        <v>2</v>
      </c>
      <c r="AU35" s="72" t="s">
        <v>2</v>
      </c>
      <c r="AV35" s="72" t="s">
        <v>2</v>
      </c>
      <c r="AW35" s="72" t="s">
        <v>2</v>
      </c>
      <c r="AX35" s="72" t="s">
        <v>2</v>
      </c>
      <c r="AY35" s="72" t="s">
        <v>2</v>
      </c>
      <c r="AZ35" s="72" t="s">
        <v>2</v>
      </c>
      <c r="BA35" s="72" t="s">
        <v>2</v>
      </c>
      <c r="BB35" s="72" t="s">
        <v>2</v>
      </c>
      <c r="BC35" s="167">
        <f>SUM(BE35:BN35)</f>
        <v>41</v>
      </c>
      <c r="BD35" s="152"/>
      <c r="BE35" s="106">
        <v>30</v>
      </c>
      <c r="BF35" s="106"/>
      <c r="BG35" s="167">
        <v>5</v>
      </c>
      <c r="BH35" s="152"/>
      <c r="BI35" s="167"/>
      <c r="BJ35" s="152"/>
      <c r="BK35" s="168">
        <v>4</v>
      </c>
      <c r="BL35" s="152"/>
      <c r="BM35" s="167">
        <v>2</v>
      </c>
      <c r="BN35" s="152"/>
      <c r="BO35" s="167">
        <v>11</v>
      </c>
      <c r="BP35" s="152"/>
      <c r="BQ35" s="106">
        <f>BO35+BC35</f>
        <v>52</v>
      </c>
      <c r="BR35" s="106"/>
    </row>
    <row r="36" spans="1:85" ht="14.25" customHeight="1" x14ac:dyDescent="0.25">
      <c r="A36" s="106" t="s">
        <v>3</v>
      </c>
      <c r="B36" s="106"/>
      <c r="C36" s="72" t="s">
        <v>106</v>
      </c>
      <c r="D36" s="72"/>
      <c r="E36" s="72"/>
      <c r="F36" s="72"/>
      <c r="G36" s="72"/>
      <c r="H36" s="72"/>
      <c r="I36" s="72"/>
      <c r="J36" s="72"/>
      <c r="K36" s="72"/>
      <c r="L36" s="72"/>
      <c r="M36" s="72"/>
      <c r="N36" s="72"/>
      <c r="O36" s="72"/>
      <c r="P36" s="72"/>
      <c r="Q36" s="72"/>
      <c r="R36" s="72"/>
      <c r="S36" s="72" t="s">
        <v>2</v>
      </c>
      <c r="T36" s="72" t="s">
        <v>2</v>
      </c>
      <c r="U36" s="72" t="s">
        <v>1</v>
      </c>
      <c r="V36" s="72" t="s">
        <v>1</v>
      </c>
      <c r="W36" s="72" t="s">
        <v>106</v>
      </c>
      <c r="X36" s="72" t="s">
        <v>22</v>
      </c>
      <c r="Y36" s="72" t="s">
        <v>22</v>
      </c>
      <c r="Z36" s="72" t="s">
        <v>22</v>
      </c>
      <c r="AA36" s="72" t="s">
        <v>22</v>
      </c>
      <c r="AB36" s="72" t="s">
        <v>22</v>
      </c>
      <c r="AC36" s="72"/>
      <c r="AD36" s="72"/>
      <c r="AE36" s="72"/>
      <c r="AF36" s="72"/>
      <c r="AG36" s="72"/>
      <c r="AH36" s="72"/>
      <c r="AI36" s="72"/>
      <c r="AJ36" s="72"/>
      <c r="AK36" s="72"/>
      <c r="AL36" s="72"/>
      <c r="AM36" s="72"/>
      <c r="AN36" s="72"/>
      <c r="AO36" s="72"/>
      <c r="AP36" s="72"/>
      <c r="AQ36" s="72"/>
      <c r="AR36" s="72" t="s">
        <v>1</v>
      </c>
      <c r="AS36" s="72" t="s">
        <v>102</v>
      </c>
      <c r="AT36" s="72" t="s">
        <v>2</v>
      </c>
      <c r="AU36" s="72" t="s">
        <v>2</v>
      </c>
      <c r="AV36" s="72" t="s">
        <v>2</v>
      </c>
      <c r="AW36" s="72" t="s">
        <v>2</v>
      </c>
      <c r="AX36" s="72" t="s">
        <v>2</v>
      </c>
      <c r="AY36" s="72"/>
      <c r="AZ36" s="72"/>
      <c r="BA36" s="72"/>
      <c r="BB36" s="72"/>
      <c r="BC36" s="167">
        <f>SUM(BE36:BN36)</f>
        <v>41</v>
      </c>
      <c r="BD36" s="152"/>
      <c r="BE36" s="106">
        <v>30</v>
      </c>
      <c r="BF36" s="106"/>
      <c r="BG36" s="167"/>
      <c r="BH36" s="152"/>
      <c r="BI36" s="167">
        <v>5</v>
      </c>
      <c r="BJ36" s="152"/>
      <c r="BK36" s="168">
        <v>4</v>
      </c>
      <c r="BL36" s="152"/>
      <c r="BM36" s="167">
        <v>2</v>
      </c>
      <c r="BN36" s="152"/>
      <c r="BO36" s="167">
        <v>7</v>
      </c>
      <c r="BP36" s="152"/>
      <c r="BQ36" s="106">
        <f>BO36+BC36</f>
        <v>48</v>
      </c>
      <c r="BR36" s="106"/>
    </row>
    <row r="37" spans="1:85" ht="14.25" customHeight="1" x14ac:dyDescent="0.25">
      <c r="A37" s="169" t="s">
        <v>4</v>
      </c>
      <c r="B37" s="169"/>
      <c r="C37" s="169"/>
      <c r="D37" s="169"/>
      <c r="E37" s="169"/>
      <c r="F37" s="169"/>
      <c r="G37" s="169"/>
      <c r="H37" s="169"/>
      <c r="I37" s="169"/>
      <c r="J37" s="169"/>
      <c r="K37" s="169"/>
      <c r="L37" s="169"/>
      <c r="M37" s="169"/>
      <c r="N37" s="169"/>
      <c r="O37" s="169"/>
      <c r="P37" s="169"/>
      <c r="Q37" s="169"/>
      <c r="R37" s="169"/>
      <c r="S37" s="169"/>
      <c r="T37" s="169"/>
      <c r="U37" s="169"/>
      <c r="V37" s="169"/>
      <c r="W37" s="169"/>
      <c r="X37" s="169"/>
      <c r="Y37" s="169"/>
      <c r="Z37" s="169"/>
      <c r="AA37" s="169"/>
      <c r="AB37" s="169"/>
      <c r="AC37" s="169"/>
      <c r="AD37" s="169"/>
      <c r="AE37" s="169"/>
      <c r="AF37" s="169"/>
      <c r="AG37" s="169"/>
      <c r="AH37" s="169"/>
      <c r="AI37" s="169"/>
      <c r="AJ37" s="169"/>
      <c r="AK37" s="169"/>
      <c r="AL37" s="169"/>
      <c r="AM37" s="169"/>
      <c r="AN37" s="169"/>
      <c r="AO37" s="169"/>
      <c r="AP37" s="169"/>
      <c r="AQ37" s="169"/>
      <c r="AR37" s="169"/>
      <c r="AS37" s="169"/>
      <c r="AT37" s="169"/>
      <c r="AU37" s="169"/>
      <c r="AV37" s="169"/>
      <c r="AW37" s="169"/>
      <c r="AX37" s="169"/>
      <c r="AY37" s="169"/>
      <c r="AZ37" s="169"/>
      <c r="BA37" s="169"/>
      <c r="BB37" s="169"/>
      <c r="BC37" s="167">
        <f>SUM(BC35:BD36)</f>
        <v>82</v>
      </c>
      <c r="BD37" s="152"/>
      <c r="BE37" s="106">
        <f>SUM(BE35:BF36)</f>
        <v>60</v>
      </c>
      <c r="BF37" s="106"/>
      <c r="BG37" s="106">
        <f t="shared" ref="BG37" si="0">SUM(BG35:BH36)</f>
        <v>5</v>
      </c>
      <c r="BH37" s="106"/>
      <c r="BI37" s="106">
        <f t="shared" ref="BI37" si="1">SUM(BI35:BJ36)</f>
        <v>5</v>
      </c>
      <c r="BJ37" s="106"/>
      <c r="BK37" s="106">
        <f t="shared" ref="BK37" si="2">SUM(BK35:BL36)</f>
        <v>8</v>
      </c>
      <c r="BL37" s="106"/>
      <c r="BM37" s="106">
        <f t="shared" ref="BM37" si="3">SUM(BM35:BN36)</f>
        <v>4</v>
      </c>
      <c r="BN37" s="106"/>
      <c r="BO37" s="106">
        <f t="shared" ref="BO37" si="4">SUM(BO35:BP36)</f>
        <v>18</v>
      </c>
      <c r="BP37" s="106"/>
      <c r="BQ37" s="106">
        <f>SUM(BQ35:BR36)</f>
        <v>100</v>
      </c>
      <c r="BR37" s="106"/>
    </row>
    <row r="38" spans="1:85" ht="14.25" customHeight="1" x14ac:dyDescent="0.25">
      <c r="A38" s="4"/>
      <c r="B38" s="5"/>
      <c r="C38" s="5"/>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7"/>
      <c r="AF38" s="6"/>
      <c r="AG38" s="6"/>
      <c r="AH38" s="6"/>
      <c r="AI38" s="6"/>
      <c r="AJ38" s="6"/>
      <c r="AK38" s="6"/>
      <c r="AL38" s="6"/>
      <c r="AM38" s="6"/>
      <c r="AN38" s="6"/>
      <c r="AO38" s="6"/>
      <c r="AP38" s="6"/>
      <c r="AQ38" s="8"/>
      <c r="AR38" s="6"/>
      <c r="AS38" s="6"/>
      <c r="AT38" s="6"/>
      <c r="AU38" s="6"/>
      <c r="AV38" s="8"/>
      <c r="AW38" s="6"/>
      <c r="AX38" s="6"/>
      <c r="AY38" s="6"/>
      <c r="AZ38" s="6"/>
      <c r="BA38" s="6"/>
      <c r="BB38" s="6"/>
      <c r="BC38" s="77"/>
      <c r="BD38" s="77"/>
      <c r="BE38" s="77"/>
      <c r="BF38" s="77"/>
      <c r="BG38" s="77"/>
      <c r="BH38" s="77"/>
      <c r="BI38" s="77"/>
      <c r="BJ38" s="77"/>
      <c r="BK38" s="77"/>
      <c r="BL38" s="77"/>
      <c r="BM38" s="77"/>
      <c r="BN38" s="77"/>
      <c r="BO38" s="9"/>
      <c r="BP38" s="9"/>
      <c r="BQ38" s="9"/>
      <c r="BR38" s="8"/>
    </row>
    <row r="39" spans="1:85" ht="14.25" customHeight="1" x14ac:dyDescent="0.25">
      <c r="A39" s="4"/>
      <c r="B39" s="160"/>
      <c r="C39" s="160"/>
      <c r="D39" s="161" t="s">
        <v>96</v>
      </c>
      <c r="E39" s="143"/>
      <c r="F39" s="143"/>
      <c r="G39" s="143"/>
      <c r="H39" s="143"/>
      <c r="I39" s="143"/>
      <c r="J39" s="143"/>
      <c r="K39" s="162" t="s">
        <v>102</v>
      </c>
      <c r="L39" s="162"/>
      <c r="M39" s="162"/>
      <c r="N39" s="162"/>
      <c r="O39" s="163" t="s">
        <v>97</v>
      </c>
      <c r="P39" s="163"/>
      <c r="Q39" s="163"/>
      <c r="R39" s="164"/>
      <c r="S39" s="162" t="s">
        <v>0</v>
      </c>
      <c r="T39" s="162"/>
      <c r="U39" s="162"/>
      <c r="V39" s="165" t="s">
        <v>98</v>
      </c>
      <c r="W39" s="165"/>
      <c r="X39" s="165"/>
      <c r="Y39" s="165"/>
      <c r="Z39" s="165"/>
      <c r="AA39" s="166"/>
      <c r="AB39" s="162" t="s">
        <v>103</v>
      </c>
      <c r="AC39" s="162"/>
      <c r="AD39" s="162"/>
      <c r="AE39" s="7"/>
      <c r="AF39" s="163" t="s">
        <v>99</v>
      </c>
      <c r="AG39" s="163"/>
      <c r="AH39" s="163"/>
      <c r="AI39" s="163"/>
      <c r="AJ39" s="163"/>
      <c r="AK39" s="163"/>
      <c r="AL39" s="163"/>
      <c r="AM39" s="164"/>
      <c r="AN39" s="162" t="s">
        <v>104</v>
      </c>
      <c r="AO39" s="162"/>
      <c r="AP39" s="162"/>
      <c r="AQ39" s="8"/>
      <c r="AR39" s="177" t="s">
        <v>100</v>
      </c>
      <c r="AS39" s="177"/>
      <c r="AT39" s="177"/>
      <c r="AU39" s="177"/>
      <c r="AV39" s="8"/>
      <c r="AW39" s="162" t="s">
        <v>105</v>
      </c>
      <c r="AX39" s="162"/>
      <c r="AY39" s="162"/>
      <c r="AZ39" s="177" t="s">
        <v>101</v>
      </c>
      <c r="BA39" s="177"/>
      <c r="BB39" s="177"/>
      <c r="BC39" s="177"/>
      <c r="BD39" s="138" t="s">
        <v>106</v>
      </c>
      <c r="BE39" s="138"/>
      <c r="BF39" s="138"/>
      <c r="BG39" s="138"/>
      <c r="BH39" s="139" t="s">
        <v>92</v>
      </c>
      <c r="BI39" s="139"/>
      <c r="BJ39" s="139"/>
      <c r="BK39" s="139"/>
      <c r="BL39" s="139"/>
      <c r="BM39" s="139"/>
      <c r="BN39" s="139"/>
      <c r="BO39" s="9"/>
      <c r="BP39" s="9"/>
      <c r="BQ39" s="9"/>
      <c r="BR39" s="8"/>
    </row>
    <row r="40" spans="1:85" ht="14.25" customHeight="1" x14ac:dyDescent="0.25">
      <c r="A40" s="4"/>
      <c r="B40" s="160"/>
      <c r="C40" s="160"/>
      <c r="D40" s="161"/>
      <c r="E40" s="143"/>
      <c r="F40" s="143"/>
      <c r="G40" s="143"/>
      <c r="H40" s="143"/>
      <c r="I40" s="143"/>
      <c r="J40" s="143"/>
      <c r="K40" s="162"/>
      <c r="L40" s="162"/>
      <c r="M40" s="162"/>
      <c r="N40" s="162"/>
      <c r="O40" s="163"/>
      <c r="P40" s="163"/>
      <c r="Q40" s="163"/>
      <c r="R40" s="164"/>
      <c r="S40" s="162"/>
      <c r="T40" s="162"/>
      <c r="U40" s="162"/>
      <c r="V40" s="165"/>
      <c r="W40" s="165"/>
      <c r="X40" s="165"/>
      <c r="Y40" s="165"/>
      <c r="Z40" s="165"/>
      <c r="AA40" s="166"/>
      <c r="AB40" s="162"/>
      <c r="AC40" s="162"/>
      <c r="AD40" s="162"/>
      <c r="AE40" s="7"/>
      <c r="AF40" s="163"/>
      <c r="AG40" s="163"/>
      <c r="AH40" s="163"/>
      <c r="AI40" s="163"/>
      <c r="AJ40" s="163"/>
      <c r="AK40" s="163"/>
      <c r="AL40" s="163"/>
      <c r="AM40" s="164"/>
      <c r="AN40" s="162"/>
      <c r="AO40" s="162"/>
      <c r="AP40" s="162"/>
      <c r="AQ40" s="8"/>
      <c r="AR40" s="177"/>
      <c r="AS40" s="177"/>
      <c r="AT40" s="177"/>
      <c r="AU40" s="177"/>
      <c r="AV40" s="8"/>
      <c r="AW40" s="162"/>
      <c r="AX40" s="162"/>
      <c r="AY40" s="162"/>
      <c r="AZ40" s="177"/>
      <c r="BA40" s="177"/>
      <c r="BB40" s="177"/>
      <c r="BC40" s="177"/>
      <c r="BD40" s="138"/>
      <c r="BE40" s="138"/>
      <c r="BF40" s="138"/>
      <c r="BG40" s="138"/>
      <c r="BH40" s="139"/>
      <c r="BI40" s="139"/>
      <c r="BJ40" s="139"/>
      <c r="BK40" s="139"/>
      <c r="BL40" s="139"/>
      <c r="BM40" s="139"/>
      <c r="BN40" s="139"/>
      <c r="BO40" s="9"/>
      <c r="BP40" s="9"/>
      <c r="BQ40" s="9"/>
      <c r="BR40" s="8"/>
    </row>
    <row r="41" spans="1:85" ht="14.25" customHeight="1" x14ac:dyDescent="0.25">
      <c r="A41" s="4"/>
      <c r="B41" s="160"/>
      <c r="C41" s="160"/>
      <c r="D41" s="161"/>
      <c r="E41" s="143"/>
      <c r="F41" s="143"/>
      <c r="G41" s="143"/>
      <c r="H41" s="143"/>
      <c r="I41" s="143"/>
      <c r="J41" s="143"/>
      <c r="K41" s="162"/>
      <c r="L41" s="162"/>
      <c r="M41" s="162"/>
      <c r="N41" s="162"/>
      <c r="O41" s="163"/>
      <c r="P41" s="163"/>
      <c r="Q41" s="163"/>
      <c r="R41" s="164"/>
      <c r="S41" s="162"/>
      <c r="T41" s="162"/>
      <c r="U41" s="162"/>
      <c r="V41" s="165"/>
      <c r="W41" s="165"/>
      <c r="X41" s="165"/>
      <c r="Y41" s="165"/>
      <c r="Z41" s="165"/>
      <c r="AA41" s="166"/>
      <c r="AB41" s="162"/>
      <c r="AC41" s="162"/>
      <c r="AD41" s="162"/>
      <c r="AE41" s="7"/>
      <c r="AF41" s="163"/>
      <c r="AG41" s="163"/>
      <c r="AH41" s="163"/>
      <c r="AI41" s="163"/>
      <c r="AJ41" s="163"/>
      <c r="AK41" s="163"/>
      <c r="AL41" s="163"/>
      <c r="AM41" s="164"/>
      <c r="AN41" s="162"/>
      <c r="AO41" s="162"/>
      <c r="AP41" s="162"/>
      <c r="AQ41" s="8"/>
      <c r="AR41" s="177"/>
      <c r="AS41" s="177"/>
      <c r="AT41" s="177"/>
      <c r="AU41" s="177"/>
      <c r="AV41" s="8"/>
      <c r="AW41" s="162"/>
      <c r="AX41" s="162"/>
      <c r="AY41" s="162"/>
      <c r="AZ41" s="177"/>
      <c r="BA41" s="177"/>
      <c r="BB41" s="177"/>
      <c r="BC41" s="177"/>
      <c r="BD41" s="138"/>
      <c r="BE41" s="138"/>
      <c r="BF41" s="138"/>
      <c r="BG41" s="138"/>
      <c r="BH41" s="139"/>
      <c r="BI41" s="139"/>
      <c r="BJ41" s="139"/>
      <c r="BK41" s="139"/>
      <c r="BL41" s="139"/>
      <c r="BM41" s="139"/>
      <c r="BN41" s="139"/>
      <c r="BO41" s="9"/>
      <c r="BP41" s="9"/>
      <c r="BQ41" s="9"/>
      <c r="BR41" s="8"/>
    </row>
    <row r="42" spans="1:85" ht="14.25" customHeight="1" x14ac:dyDescent="0.25">
      <c r="A42" s="4"/>
      <c r="B42" s="10"/>
      <c r="C42" s="11"/>
      <c r="D42" s="12"/>
      <c r="E42" s="4"/>
      <c r="F42" s="4"/>
      <c r="G42" s="4"/>
      <c r="H42" s="4"/>
      <c r="I42" s="66"/>
      <c r="J42" s="66"/>
      <c r="K42" s="66"/>
      <c r="L42" s="66"/>
      <c r="M42" s="66"/>
      <c r="N42" s="66"/>
      <c r="O42" s="13"/>
      <c r="P42" s="13"/>
      <c r="Q42" s="13"/>
      <c r="R42" s="13"/>
      <c r="S42" s="66"/>
      <c r="T42" s="66"/>
      <c r="U42" s="66"/>
      <c r="V42" s="66"/>
      <c r="W42" s="66"/>
      <c r="X42" s="66"/>
      <c r="Y42" s="13"/>
      <c r="Z42" s="13"/>
      <c r="AA42" s="13"/>
      <c r="AB42" s="13"/>
      <c r="AC42" s="66"/>
      <c r="AD42" s="66"/>
      <c r="AE42" s="66"/>
      <c r="AF42" s="66"/>
      <c r="AG42" s="66"/>
      <c r="AH42" s="66"/>
      <c r="AI42" s="13"/>
      <c r="AJ42" s="13"/>
      <c r="AK42" s="13"/>
      <c r="AL42" s="13"/>
      <c r="AM42" s="66"/>
      <c r="AN42" s="66"/>
      <c r="AO42" s="66"/>
      <c r="AP42" s="66"/>
      <c r="AQ42" s="66"/>
      <c r="AR42" s="66"/>
      <c r="AS42" s="13"/>
      <c r="AT42" s="13"/>
      <c r="AU42" s="13"/>
      <c r="AV42" s="13"/>
      <c r="AW42" s="66"/>
      <c r="AX42" s="66"/>
      <c r="AY42" s="66"/>
      <c r="AZ42" s="66"/>
      <c r="BA42" s="66"/>
      <c r="BB42" s="66"/>
      <c r="BC42" s="13"/>
      <c r="BD42" s="13"/>
      <c r="BE42" s="13"/>
      <c r="BF42" s="13"/>
      <c r="BG42" s="66"/>
      <c r="BH42" s="66"/>
      <c r="BI42" s="66"/>
      <c r="BJ42" s="66"/>
      <c r="BK42" s="66"/>
      <c r="BL42" s="66"/>
      <c r="BM42" s="73"/>
      <c r="BN42" s="4"/>
      <c r="BO42" s="4"/>
      <c r="BP42" s="4"/>
      <c r="BQ42" s="4"/>
      <c r="BR42" s="4"/>
    </row>
    <row r="43" spans="1:85" ht="14.25" customHeight="1" x14ac:dyDescent="0.25">
      <c r="A43" s="4"/>
      <c r="B43" s="10"/>
      <c r="C43" s="11"/>
      <c r="D43" s="12"/>
      <c r="E43" s="4"/>
      <c r="F43" s="4"/>
      <c r="G43" s="4"/>
      <c r="H43" s="4"/>
      <c r="I43" s="66"/>
      <c r="J43" s="66"/>
      <c r="K43" s="66"/>
      <c r="L43" s="66"/>
      <c r="M43" s="66"/>
      <c r="N43" s="66"/>
      <c r="O43" s="13"/>
      <c r="P43" s="13"/>
      <c r="Q43" s="13"/>
      <c r="R43" s="13"/>
      <c r="S43" s="66"/>
      <c r="T43" s="66"/>
      <c r="U43" s="66"/>
      <c r="V43" s="66"/>
      <c r="W43" s="66"/>
      <c r="X43" s="66"/>
      <c r="Y43" s="13"/>
      <c r="Z43" s="13"/>
      <c r="AA43" s="13"/>
      <c r="AB43" s="13"/>
      <c r="AC43" s="66"/>
      <c r="AD43" s="66"/>
      <c r="AE43" s="66"/>
      <c r="AF43" s="66"/>
      <c r="AG43" s="66"/>
      <c r="AH43" s="66"/>
      <c r="AI43" s="13"/>
      <c r="AJ43" s="13"/>
      <c r="AK43" s="13"/>
      <c r="AL43" s="13"/>
      <c r="AM43" s="66"/>
      <c r="AN43" s="66"/>
      <c r="AO43" s="66"/>
      <c r="AP43" s="66"/>
      <c r="AQ43" s="66"/>
      <c r="AR43" s="66"/>
      <c r="AS43" s="13"/>
      <c r="AT43" s="13"/>
      <c r="AU43" s="13"/>
      <c r="AV43" s="13"/>
      <c r="AW43" s="66"/>
      <c r="AX43" s="66"/>
      <c r="AY43" s="66"/>
      <c r="AZ43" s="66"/>
      <c r="BA43" s="66"/>
      <c r="BB43" s="66"/>
      <c r="BC43" s="13"/>
      <c r="BD43" s="13"/>
      <c r="BE43" s="13"/>
      <c r="BF43" s="13"/>
      <c r="BG43" s="66"/>
      <c r="BH43" s="66"/>
      <c r="BI43" s="66"/>
      <c r="BJ43" s="66"/>
      <c r="BK43" s="66"/>
      <c r="BL43" s="66"/>
      <c r="BM43" s="73"/>
      <c r="BN43" s="4"/>
      <c r="BO43" s="4"/>
      <c r="BP43" s="4"/>
      <c r="BQ43" s="4"/>
      <c r="BR43" s="4"/>
    </row>
    <row r="44" spans="1:85" ht="14.25" customHeight="1" x14ac:dyDescent="0.25">
      <c r="A44" s="153" t="s">
        <v>66</v>
      </c>
      <c r="B44" s="153"/>
      <c r="C44" s="153"/>
      <c r="D44" s="153"/>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3"/>
      <c r="BK44" s="153"/>
      <c r="BL44" s="153"/>
      <c r="BM44" s="153"/>
      <c r="BN44" s="153"/>
      <c r="BO44" s="153"/>
      <c r="BP44" s="153"/>
      <c r="BQ44" s="153"/>
      <c r="BR44" s="153"/>
    </row>
    <row r="45" spans="1:85" ht="14.25" customHeight="1" x14ac:dyDescent="0.25">
      <c r="A45" s="154"/>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4"/>
      <c r="AX45" s="154"/>
      <c r="AY45" s="154"/>
      <c r="AZ45" s="154"/>
      <c r="BA45" s="154"/>
      <c r="BB45" s="154"/>
      <c r="BC45" s="154"/>
      <c r="BD45" s="154"/>
      <c r="BE45" s="154"/>
      <c r="BF45" s="154"/>
      <c r="BG45" s="154"/>
      <c r="BH45" s="154"/>
      <c r="BI45" s="154"/>
      <c r="BJ45" s="154"/>
      <c r="BK45" s="154"/>
      <c r="BL45" s="154"/>
      <c r="BM45" s="154"/>
      <c r="BN45" s="154"/>
      <c r="BO45" s="154"/>
      <c r="BP45" s="154"/>
      <c r="BQ45" s="154"/>
      <c r="BR45" s="154"/>
    </row>
    <row r="46" spans="1:85" ht="14.25" customHeight="1" x14ac:dyDescent="0.25">
      <c r="A46" s="106" t="s">
        <v>108</v>
      </c>
      <c r="B46" s="133" t="s">
        <v>107</v>
      </c>
      <c r="C46" s="134"/>
      <c r="D46" s="132" t="s">
        <v>126</v>
      </c>
      <c r="E46" s="132"/>
      <c r="F46" s="132"/>
      <c r="G46" s="132"/>
      <c r="H46" s="132"/>
      <c r="I46" s="132"/>
      <c r="J46" s="132"/>
      <c r="K46" s="132"/>
      <c r="L46" s="132"/>
      <c r="M46" s="132"/>
      <c r="N46" s="132"/>
      <c r="O46" s="155"/>
      <c r="P46" s="156" t="s">
        <v>113</v>
      </c>
      <c r="Q46" s="132"/>
      <c r="R46" s="132"/>
      <c r="S46" s="132"/>
      <c r="T46" s="132"/>
      <c r="U46" s="132"/>
      <c r="V46" s="132"/>
      <c r="W46" s="132"/>
      <c r="X46" s="132"/>
      <c r="Y46" s="132"/>
      <c r="Z46" s="132"/>
      <c r="AA46" s="132"/>
      <c r="AB46" s="132"/>
      <c r="AC46" s="132"/>
      <c r="AD46" s="132"/>
      <c r="AE46" s="132"/>
      <c r="AF46" s="132"/>
      <c r="AG46" s="132"/>
      <c r="AH46" s="132"/>
      <c r="AI46" s="132"/>
      <c r="AJ46" s="132"/>
      <c r="AK46" s="132"/>
      <c r="AL46" s="132"/>
      <c r="AM46" s="132"/>
      <c r="AN46" s="132"/>
      <c r="AO46" s="132"/>
      <c r="AP46" s="155"/>
      <c r="AQ46" s="157" t="s">
        <v>179</v>
      </c>
      <c r="AR46" s="132"/>
      <c r="AS46" s="132"/>
      <c r="AT46" s="132"/>
      <c r="AU46" s="132"/>
      <c r="AV46" s="132"/>
      <c r="AW46" s="132"/>
      <c r="AX46" s="132"/>
      <c r="AY46" s="132"/>
      <c r="AZ46" s="132"/>
      <c r="BA46" s="132"/>
      <c r="BB46" s="155"/>
      <c r="BC46" s="157" t="s">
        <v>180</v>
      </c>
      <c r="BD46" s="132"/>
      <c r="BE46" s="132"/>
      <c r="BF46" s="132"/>
      <c r="BG46" s="132"/>
      <c r="BH46" s="132"/>
      <c r="BI46" s="132"/>
      <c r="BJ46" s="132"/>
      <c r="BK46" s="132"/>
      <c r="BL46" s="132"/>
      <c r="BM46" s="132"/>
      <c r="BN46" s="155"/>
      <c r="BO46" s="158" t="s">
        <v>123</v>
      </c>
      <c r="BP46" s="134"/>
      <c r="BQ46" s="134"/>
      <c r="BR46" s="134"/>
    </row>
    <row r="47" spans="1:85" ht="14.25" customHeight="1" x14ac:dyDescent="0.25">
      <c r="A47" s="106"/>
      <c r="B47" s="134"/>
      <c r="C47" s="134"/>
      <c r="D47" s="132"/>
      <c r="E47" s="132"/>
      <c r="F47" s="132"/>
      <c r="G47" s="132"/>
      <c r="H47" s="132"/>
      <c r="I47" s="132"/>
      <c r="J47" s="132"/>
      <c r="K47" s="132"/>
      <c r="L47" s="132"/>
      <c r="M47" s="132"/>
      <c r="N47" s="132"/>
      <c r="O47" s="155"/>
      <c r="P47" s="156"/>
      <c r="Q47" s="132"/>
      <c r="R47" s="132"/>
      <c r="S47" s="132"/>
      <c r="T47" s="132"/>
      <c r="U47" s="132"/>
      <c r="V47" s="132"/>
      <c r="W47" s="132"/>
      <c r="X47" s="132"/>
      <c r="Y47" s="132"/>
      <c r="Z47" s="132"/>
      <c r="AA47" s="132"/>
      <c r="AB47" s="132"/>
      <c r="AC47" s="132"/>
      <c r="AD47" s="132"/>
      <c r="AE47" s="132"/>
      <c r="AF47" s="132"/>
      <c r="AG47" s="132"/>
      <c r="AH47" s="132"/>
      <c r="AI47" s="132"/>
      <c r="AJ47" s="132"/>
      <c r="AK47" s="132"/>
      <c r="AL47" s="132"/>
      <c r="AM47" s="132"/>
      <c r="AN47" s="132"/>
      <c r="AO47" s="132"/>
      <c r="AP47" s="155"/>
      <c r="AQ47" s="157"/>
      <c r="AR47" s="132"/>
      <c r="AS47" s="132"/>
      <c r="AT47" s="132"/>
      <c r="AU47" s="132"/>
      <c r="AV47" s="132"/>
      <c r="AW47" s="132"/>
      <c r="AX47" s="132"/>
      <c r="AY47" s="132"/>
      <c r="AZ47" s="132"/>
      <c r="BA47" s="132"/>
      <c r="BB47" s="155"/>
      <c r="BC47" s="157"/>
      <c r="BD47" s="132"/>
      <c r="BE47" s="132"/>
      <c r="BF47" s="132"/>
      <c r="BG47" s="132"/>
      <c r="BH47" s="132"/>
      <c r="BI47" s="132"/>
      <c r="BJ47" s="132"/>
      <c r="BK47" s="132"/>
      <c r="BL47" s="132"/>
      <c r="BM47" s="132"/>
      <c r="BN47" s="155"/>
      <c r="BO47" s="158"/>
      <c r="BP47" s="134"/>
      <c r="BQ47" s="134"/>
      <c r="BR47" s="134"/>
      <c r="BS47" s="71"/>
      <c r="BT47" s="71"/>
      <c r="BU47" s="71"/>
      <c r="BV47" s="71"/>
      <c r="BW47" s="71"/>
      <c r="BX47" s="71"/>
      <c r="BY47" s="71"/>
      <c r="BZ47" s="71"/>
    </row>
    <row r="48" spans="1:85" ht="14.25" customHeight="1" x14ac:dyDescent="0.25">
      <c r="A48" s="106"/>
      <c r="B48" s="134"/>
      <c r="C48" s="134"/>
      <c r="D48" s="132"/>
      <c r="E48" s="132"/>
      <c r="F48" s="132"/>
      <c r="G48" s="132"/>
      <c r="H48" s="132"/>
      <c r="I48" s="132"/>
      <c r="J48" s="132"/>
      <c r="K48" s="132"/>
      <c r="L48" s="132"/>
      <c r="M48" s="132"/>
      <c r="N48" s="132"/>
      <c r="O48" s="155"/>
      <c r="P48" s="157" t="s">
        <v>109</v>
      </c>
      <c r="Q48" s="132"/>
      <c r="R48" s="132"/>
      <c r="S48" s="132"/>
      <c r="T48" s="132"/>
      <c r="U48" s="155"/>
      <c r="V48" s="156" t="s">
        <v>114</v>
      </c>
      <c r="W48" s="132"/>
      <c r="X48" s="132"/>
      <c r="Y48" s="132"/>
      <c r="Z48" s="132"/>
      <c r="AA48" s="132"/>
      <c r="AB48" s="132"/>
      <c r="AC48" s="132"/>
      <c r="AD48" s="132"/>
      <c r="AE48" s="132"/>
      <c r="AF48" s="132"/>
      <c r="AG48" s="132"/>
      <c r="AH48" s="132"/>
      <c r="AI48" s="132"/>
      <c r="AJ48" s="132"/>
      <c r="AK48" s="132"/>
      <c r="AL48" s="132"/>
      <c r="AM48" s="132"/>
      <c r="AN48" s="135" t="s">
        <v>120</v>
      </c>
      <c r="AO48" s="135"/>
      <c r="AP48" s="159"/>
      <c r="AQ48" s="144" t="s">
        <v>124</v>
      </c>
      <c r="AR48" s="106"/>
      <c r="AS48" s="106"/>
      <c r="AT48" s="106"/>
      <c r="AU48" s="106"/>
      <c r="AV48" s="106"/>
      <c r="AW48" s="106" t="s">
        <v>125</v>
      </c>
      <c r="AX48" s="106"/>
      <c r="AY48" s="106"/>
      <c r="AZ48" s="106"/>
      <c r="BA48" s="106"/>
      <c r="BB48" s="147"/>
      <c r="BC48" s="144" t="s">
        <v>124</v>
      </c>
      <c r="BD48" s="106"/>
      <c r="BE48" s="106"/>
      <c r="BF48" s="106"/>
      <c r="BG48" s="106"/>
      <c r="BH48" s="106"/>
      <c r="BI48" s="106" t="s">
        <v>125</v>
      </c>
      <c r="BJ48" s="106"/>
      <c r="BK48" s="106"/>
      <c r="BL48" s="106"/>
      <c r="BM48" s="106"/>
      <c r="BN48" s="147"/>
      <c r="BO48" s="158"/>
      <c r="BP48" s="134"/>
      <c r="BQ48" s="134"/>
      <c r="BR48" s="134"/>
      <c r="BS48" s="71"/>
      <c r="BT48" s="71"/>
      <c r="BU48" s="71"/>
      <c r="BV48" s="71"/>
      <c r="BW48" s="71"/>
      <c r="BX48" s="71"/>
      <c r="BY48" s="71"/>
      <c r="BZ48" s="71"/>
    </row>
    <row r="49" spans="1:78" ht="14.25" customHeight="1" x14ac:dyDescent="0.25">
      <c r="A49" s="106"/>
      <c r="B49" s="134"/>
      <c r="C49" s="134"/>
      <c r="D49" s="132"/>
      <c r="E49" s="132"/>
      <c r="F49" s="132"/>
      <c r="G49" s="132"/>
      <c r="H49" s="132"/>
      <c r="I49" s="132"/>
      <c r="J49" s="132"/>
      <c r="K49" s="132"/>
      <c r="L49" s="132"/>
      <c r="M49" s="132"/>
      <c r="N49" s="132"/>
      <c r="O49" s="155"/>
      <c r="P49" s="157"/>
      <c r="Q49" s="132"/>
      <c r="R49" s="132"/>
      <c r="S49" s="132"/>
      <c r="T49" s="132"/>
      <c r="U49" s="155"/>
      <c r="V49" s="156"/>
      <c r="W49" s="132"/>
      <c r="X49" s="132"/>
      <c r="Y49" s="132"/>
      <c r="Z49" s="132"/>
      <c r="AA49" s="132"/>
      <c r="AB49" s="132"/>
      <c r="AC49" s="132"/>
      <c r="AD49" s="132"/>
      <c r="AE49" s="132"/>
      <c r="AF49" s="132"/>
      <c r="AG49" s="132"/>
      <c r="AH49" s="132"/>
      <c r="AI49" s="132"/>
      <c r="AJ49" s="132"/>
      <c r="AK49" s="132"/>
      <c r="AL49" s="132"/>
      <c r="AM49" s="132"/>
      <c r="AN49" s="135"/>
      <c r="AO49" s="135"/>
      <c r="AP49" s="159"/>
      <c r="AQ49" s="144"/>
      <c r="AR49" s="106"/>
      <c r="AS49" s="106"/>
      <c r="AT49" s="106"/>
      <c r="AU49" s="106"/>
      <c r="AV49" s="106"/>
      <c r="AW49" s="106"/>
      <c r="AX49" s="106"/>
      <c r="AY49" s="106"/>
      <c r="AZ49" s="106"/>
      <c r="BA49" s="106"/>
      <c r="BB49" s="147"/>
      <c r="BC49" s="144"/>
      <c r="BD49" s="106"/>
      <c r="BE49" s="106"/>
      <c r="BF49" s="106"/>
      <c r="BG49" s="106"/>
      <c r="BH49" s="106"/>
      <c r="BI49" s="106"/>
      <c r="BJ49" s="106"/>
      <c r="BK49" s="106"/>
      <c r="BL49" s="106"/>
      <c r="BM49" s="106"/>
      <c r="BN49" s="147"/>
      <c r="BO49" s="158"/>
      <c r="BP49" s="134"/>
      <c r="BQ49" s="134"/>
      <c r="BR49" s="134"/>
      <c r="BS49" s="71"/>
      <c r="BT49" s="71"/>
      <c r="BU49" s="71"/>
      <c r="BV49" s="71"/>
      <c r="BW49" s="71"/>
      <c r="BX49" s="71"/>
      <c r="BY49" s="71"/>
      <c r="BZ49" s="71"/>
    </row>
    <row r="50" spans="1:78" ht="14.25" customHeight="1" x14ac:dyDescent="0.25">
      <c r="A50" s="106"/>
      <c r="B50" s="134"/>
      <c r="C50" s="134"/>
      <c r="D50" s="132"/>
      <c r="E50" s="132"/>
      <c r="F50" s="132"/>
      <c r="G50" s="132"/>
      <c r="H50" s="132"/>
      <c r="I50" s="132"/>
      <c r="J50" s="132"/>
      <c r="K50" s="132"/>
      <c r="L50" s="132"/>
      <c r="M50" s="132"/>
      <c r="N50" s="132"/>
      <c r="O50" s="155"/>
      <c r="P50" s="157"/>
      <c r="Q50" s="132"/>
      <c r="R50" s="132"/>
      <c r="S50" s="132"/>
      <c r="T50" s="132"/>
      <c r="U50" s="155"/>
      <c r="V50" s="176" t="s">
        <v>87</v>
      </c>
      <c r="W50" s="135"/>
      <c r="X50" s="135"/>
      <c r="Y50" s="135" t="s">
        <v>115</v>
      </c>
      <c r="Z50" s="135"/>
      <c r="AA50" s="135"/>
      <c r="AB50" s="135" t="s">
        <v>116</v>
      </c>
      <c r="AC50" s="135"/>
      <c r="AD50" s="135"/>
      <c r="AE50" s="135" t="s">
        <v>117</v>
      </c>
      <c r="AF50" s="135"/>
      <c r="AG50" s="135"/>
      <c r="AH50" s="135" t="s">
        <v>118</v>
      </c>
      <c r="AI50" s="135"/>
      <c r="AJ50" s="135"/>
      <c r="AK50" s="135" t="s">
        <v>119</v>
      </c>
      <c r="AL50" s="135"/>
      <c r="AM50" s="135"/>
      <c r="AN50" s="135"/>
      <c r="AO50" s="135"/>
      <c r="AP50" s="159"/>
      <c r="AQ50" s="144">
        <v>1</v>
      </c>
      <c r="AR50" s="106"/>
      <c r="AS50" s="106"/>
      <c r="AT50" s="106">
        <v>2</v>
      </c>
      <c r="AU50" s="106"/>
      <c r="AV50" s="106"/>
      <c r="AW50" s="106">
        <v>3</v>
      </c>
      <c r="AX50" s="106"/>
      <c r="AY50" s="106"/>
      <c r="AZ50" s="106">
        <v>4</v>
      </c>
      <c r="BA50" s="106"/>
      <c r="BB50" s="147"/>
      <c r="BC50" s="144">
        <v>1</v>
      </c>
      <c r="BD50" s="106"/>
      <c r="BE50" s="106"/>
      <c r="BF50" s="106">
        <v>2</v>
      </c>
      <c r="BG50" s="106"/>
      <c r="BH50" s="106"/>
      <c r="BI50" s="106">
        <v>3</v>
      </c>
      <c r="BJ50" s="106"/>
      <c r="BK50" s="106"/>
      <c r="BL50" s="106">
        <v>4</v>
      </c>
      <c r="BM50" s="106"/>
      <c r="BN50" s="147"/>
      <c r="BO50" s="158"/>
      <c r="BP50" s="134"/>
      <c r="BQ50" s="134"/>
      <c r="BR50" s="134"/>
      <c r="BS50" s="71"/>
      <c r="BT50" s="71"/>
      <c r="BU50" s="71"/>
      <c r="BV50" s="71"/>
      <c r="BW50" s="71"/>
      <c r="BX50" s="71"/>
      <c r="BY50" s="71"/>
      <c r="BZ50" s="71"/>
    </row>
    <row r="51" spans="1:78" ht="14.25" customHeight="1" x14ac:dyDescent="0.25">
      <c r="A51" s="106"/>
      <c r="B51" s="134"/>
      <c r="C51" s="134"/>
      <c r="D51" s="132"/>
      <c r="E51" s="132"/>
      <c r="F51" s="132"/>
      <c r="G51" s="132"/>
      <c r="H51" s="132"/>
      <c r="I51" s="132"/>
      <c r="J51" s="132"/>
      <c r="K51" s="132"/>
      <c r="L51" s="132"/>
      <c r="M51" s="132"/>
      <c r="N51" s="132"/>
      <c r="O51" s="155"/>
      <c r="P51" s="157"/>
      <c r="Q51" s="132"/>
      <c r="R51" s="132"/>
      <c r="S51" s="132"/>
      <c r="T51" s="132"/>
      <c r="U51" s="155"/>
      <c r="V51" s="176"/>
      <c r="W51" s="135"/>
      <c r="X51" s="135"/>
      <c r="Y51" s="135"/>
      <c r="Z51" s="135"/>
      <c r="AA51" s="135"/>
      <c r="AB51" s="135"/>
      <c r="AC51" s="135"/>
      <c r="AD51" s="135"/>
      <c r="AE51" s="135"/>
      <c r="AF51" s="135"/>
      <c r="AG51" s="135"/>
      <c r="AH51" s="135"/>
      <c r="AI51" s="135"/>
      <c r="AJ51" s="135"/>
      <c r="AK51" s="135"/>
      <c r="AL51" s="135"/>
      <c r="AM51" s="135"/>
      <c r="AN51" s="135"/>
      <c r="AO51" s="135"/>
      <c r="AP51" s="159"/>
      <c r="AQ51" s="144"/>
      <c r="AR51" s="106"/>
      <c r="AS51" s="106"/>
      <c r="AT51" s="106"/>
      <c r="AU51" s="106"/>
      <c r="AV51" s="106"/>
      <c r="AW51" s="106"/>
      <c r="AX51" s="106"/>
      <c r="AY51" s="106"/>
      <c r="AZ51" s="106"/>
      <c r="BA51" s="106"/>
      <c r="BB51" s="147"/>
      <c r="BC51" s="144"/>
      <c r="BD51" s="106"/>
      <c r="BE51" s="106"/>
      <c r="BF51" s="106"/>
      <c r="BG51" s="106"/>
      <c r="BH51" s="106"/>
      <c r="BI51" s="106"/>
      <c r="BJ51" s="106"/>
      <c r="BK51" s="106"/>
      <c r="BL51" s="106"/>
      <c r="BM51" s="106"/>
      <c r="BN51" s="147"/>
      <c r="BO51" s="158"/>
      <c r="BP51" s="134"/>
      <c r="BQ51" s="134"/>
      <c r="BR51" s="134"/>
      <c r="BS51" s="71"/>
      <c r="BT51" s="71"/>
      <c r="BU51" s="71"/>
      <c r="BV51" s="71"/>
      <c r="BW51" s="71"/>
      <c r="BX51" s="71"/>
      <c r="BY51" s="71"/>
      <c r="BZ51" s="71"/>
    </row>
    <row r="52" spans="1:78" ht="14.25" customHeight="1" x14ac:dyDescent="0.25">
      <c r="A52" s="106"/>
      <c r="B52" s="134"/>
      <c r="C52" s="134"/>
      <c r="D52" s="132"/>
      <c r="E52" s="132"/>
      <c r="F52" s="132"/>
      <c r="G52" s="132"/>
      <c r="H52" s="132"/>
      <c r="I52" s="132"/>
      <c r="J52" s="132"/>
      <c r="K52" s="132"/>
      <c r="L52" s="132"/>
      <c r="M52" s="132"/>
      <c r="N52" s="132"/>
      <c r="O52" s="155"/>
      <c r="P52" s="157"/>
      <c r="Q52" s="132"/>
      <c r="R52" s="132"/>
      <c r="S52" s="132"/>
      <c r="T52" s="132"/>
      <c r="U52" s="155"/>
      <c r="V52" s="176"/>
      <c r="W52" s="135"/>
      <c r="X52" s="135"/>
      <c r="Y52" s="135"/>
      <c r="Z52" s="135"/>
      <c r="AA52" s="135"/>
      <c r="AB52" s="135"/>
      <c r="AC52" s="135"/>
      <c r="AD52" s="135"/>
      <c r="AE52" s="135"/>
      <c r="AF52" s="135"/>
      <c r="AG52" s="135"/>
      <c r="AH52" s="135"/>
      <c r="AI52" s="135"/>
      <c r="AJ52" s="135"/>
      <c r="AK52" s="135"/>
      <c r="AL52" s="135"/>
      <c r="AM52" s="135"/>
      <c r="AN52" s="135"/>
      <c r="AO52" s="135"/>
      <c r="AP52" s="159"/>
      <c r="AQ52" s="157" t="s">
        <v>121</v>
      </c>
      <c r="AR52" s="132"/>
      <c r="AS52" s="132"/>
      <c r="AT52" s="132"/>
      <c r="AU52" s="132"/>
      <c r="AV52" s="132"/>
      <c r="AW52" s="132"/>
      <c r="AX52" s="132"/>
      <c r="AY52" s="132"/>
      <c r="AZ52" s="132"/>
      <c r="BA52" s="132"/>
      <c r="BB52" s="155"/>
      <c r="BC52" s="157" t="s">
        <v>122</v>
      </c>
      <c r="BD52" s="132"/>
      <c r="BE52" s="132"/>
      <c r="BF52" s="132"/>
      <c r="BG52" s="132"/>
      <c r="BH52" s="132"/>
      <c r="BI52" s="132"/>
      <c r="BJ52" s="132"/>
      <c r="BK52" s="132"/>
      <c r="BL52" s="132"/>
      <c r="BM52" s="132"/>
      <c r="BN52" s="155"/>
      <c r="BO52" s="158"/>
      <c r="BP52" s="134"/>
      <c r="BQ52" s="134"/>
      <c r="BR52" s="134"/>
      <c r="BS52" s="71"/>
      <c r="BT52" s="71"/>
      <c r="BU52" s="71"/>
      <c r="BV52" s="71"/>
      <c r="BW52" s="71"/>
      <c r="BX52" s="71"/>
      <c r="BY52" s="71"/>
      <c r="BZ52" s="71"/>
    </row>
    <row r="53" spans="1:78" ht="14.25" customHeight="1" x14ac:dyDescent="0.25">
      <c r="A53" s="106"/>
      <c r="B53" s="134"/>
      <c r="C53" s="134"/>
      <c r="D53" s="132"/>
      <c r="E53" s="132"/>
      <c r="F53" s="132"/>
      <c r="G53" s="132"/>
      <c r="H53" s="132"/>
      <c r="I53" s="132"/>
      <c r="J53" s="132"/>
      <c r="K53" s="132"/>
      <c r="L53" s="132"/>
      <c r="M53" s="132"/>
      <c r="N53" s="132"/>
      <c r="O53" s="155"/>
      <c r="P53" s="157"/>
      <c r="Q53" s="132"/>
      <c r="R53" s="132"/>
      <c r="S53" s="132"/>
      <c r="T53" s="132"/>
      <c r="U53" s="155"/>
      <c r="V53" s="176"/>
      <c r="W53" s="135"/>
      <c r="X53" s="135"/>
      <c r="Y53" s="135"/>
      <c r="Z53" s="135"/>
      <c r="AA53" s="135"/>
      <c r="AB53" s="135"/>
      <c r="AC53" s="135"/>
      <c r="AD53" s="135"/>
      <c r="AE53" s="135"/>
      <c r="AF53" s="135"/>
      <c r="AG53" s="135"/>
      <c r="AH53" s="135"/>
      <c r="AI53" s="135"/>
      <c r="AJ53" s="135"/>
      <c r="AK53" s="135"/>
      <c r="AL53" s="135"/>
      <c r="AM53" s="135"/>
      <c r="AN53" s="135"/>
      <c r="AO53" s="135"/>
      <c r="AP53" s="159"/>
      <c r="AQ53" s="157"/>
      <c r="AR53" s="132"/>
      <c r="AS53" s="132"/>
      <c r="AT53" s="132"/>
      <c r="AU53" s="132"/>
      <c r="AV53" s="132"/>
      <c r="AW53" s="132"/>
      <c r="AX53" s="132"/>
      <c r="AY53" s="132"/>
      <c r="AZ53" s="132"/>
      <c r="BA53" s="132"/>
      <c r="BB53" s="155"/>
      <c r="BC53" s="157"/>
      <c r="BD53" s="132"/>
      <c r="BE53" s="132"/>
      <c r="BF53" s="132"/>
      <c r="BG53" s="132"/>
      <c r="BH53" s="132"/>
      <c r="BI53" s="132"/>
      <c r="BJ53" s="132"/>
      <c r="BK53" s="132"/>
      <c r="BL53" s="132"/>
      <c r="BM53" s="132"/>
      <c r="BN53" s="155"/>
      <c r="BO53" s="158"/>
      <c r="BP53" s="134"/>
      <c r="BQ53" s="134"/>
      <c r="BR53" s="134"/>
      <c r="BS53" s="71"/>
      <c r="BT53" s="71"/>
      <c r="BU53" s="71"/>
      <c r="BV53" s="71"/>
      <c r="BW53" s="71"/>
      <c r="BX53" s="71"/>
      <c r="BY53" s="71"/>
      <c r="BZ53" s="71"/>
    </row>
    <row r="54" spans="1:78" ht="14.25" customHeight="1" x14ac:dyDescent="0.25">
      <c r="A54" s="106"/>
      <c r="B54" s="134"/>
      <c r="C54" s="134"/>
      <c r="D54" s="132"/>
      <c r="E54" s="132"/>
      <c r="F54" s="132"/>
      <c r="G54" s="132"/>
      <c r="H54" s="132"/>
      <c r="I54" s="132"/>
      <c r="J54" s="132"/>
      <c r="K54" s="132"/>
      <c r="L54" s="132"/>
      <c r="M54" s="132"/>
      <c r="N54" s="132"/>
      <c r="O54" s="155"/>
      <c r="P54" s="157"/>
      <c r="Q54" s="132"/>
      <c r="R54" s="132"/>
      <c r="S54" s="132"/>
      <c r="T54" s="132"/>
      <c r="U54" s="155"/>
      <c r="V54" s="176"/>
      <c r="W54" s="135"/>
      <c r="X54" s="135"/>
      <c r="Y54" s="135"/>
      <c r="Z54" s="135"/>
      <c r="AA54" s="135"/>
      <c r="AB54" s="135"/>
      <c r="AC54" s="135"/>
      <c r="AD54" s="135"/>
      <c r="AE54" s="135"/>
      <c r="AF54" s="135"/>
      <c r="AG54" s="135"/>
      <c r="AH54" s="135"/>
      <c r="AI54" s="135"/>
      <c r="AJ54" s="135"/>
      <c r="AK54" s="135"/>
      <c r="AL54" s="135"/>
      <c r="AM54" s="135"/>
      <c r="AN54" s="135"/>
      <c r="AO54" s="135"/>
      <c r="AP54" s="159"/>
      <c r="AQ54" s="144">
        <v>15</v>
      </c>
      <c r="AR54" s="106"/>
      <c r="AS54" s="106"/>
      <c r="AT54" s="106">
        <v>15</v>
      </c>
      <c r="AU54" s="106"/>
      <c r="AV54" s="106"/>
      <c r="AW54" s="106">
        <v>15</v>
      </c>
      <c r="AX54" s="106"/>
      <c r="AY54" s="106"/>
      <c r="AZ54" s="106">
        <v>15</v>
      </c>
      <c r="BA54" s="106"/>
      <c r="BB54" s="147"/>
      <c r="BC54" s="144">
        <v>15</v>
      </c>
      <c r="BD54" s="106"/>
      <c r="BE54" s="106"/>
      <c r="BF54" s="106">
        <v>15</v>
      </c>
      <c r="BG54" s="106"/>
      <c r="BH54" s="106"/>
      <c r="BI54" s="106">
        <v>15</v>
      </c>
      <c r="BJ54" s="106"/>
      <c r="BK54" s="106"/>
      <c r="BL54" s="106">
        <v>15</v>
      </c>
      <c r="BM54" s="106"/>
      <c r="BN54" s="147"/>
      <c r="BO54" s="158"/>
      <c r="BP54" s="134"/>
      <c r="BQ54" s="134"/>
      <c r="BR54" s="134"/>
      <c r="BS54" s="71"/>
      <c r="BT54" s="71"/>
      <c r="BU54" s="71"/>
      <c r="BV54" s="71"/>
      <c r="BW54" s="71"/>
      <c r="BX54" s="71"/>
      <c r="BY54" s="71"/>
      <c r="BZ54" s="71"/>
    </row>
    <row r="55" spans="1:78" ht="14.25" customHeight="1" x14ac:dyDescent="0.25">
      <c r="A55" s="106"/>
      <c r="B55" s="134"/>
      <c r="C55" s="134"/>
      <c r="D55" s="132"/>
      <c r="E55" s="132"/>
      <c r="F55" s="132"/>
      <c r="G55" s="132"/>
      <c r="H55" s="132"/>
      <c r="I55" s="132"/>
      <c r="J55" s="132"/>
      <c r="K55" s="132"/>
      <c r="L55" s="132"/>
      <c r="M55" s="132"/>
      <c r="N55" s="132"/>
      <c r="O55" s="155"/>
      <c r="P55" s="144" t="s">
        <v>110</v>
      </c>
      <c r="Q55" s="106"/>
      <c r="R55" s="106"/>
      <c r="S55" s="106" t="s">
        <v>5</v>
      </c>
      <c r="T55" s="106"/>
      <c r="U55" s="147"/>
      <c r="V55" s="176"/>
      <c r="W55" s="135"/>
      <c r="X55" s="135"/>
      <c r="Y55" s="135"/>
      <c r="Z55" s="135"/>
      <c r="AA55" s="135"/>
      <c r="AB55" s="135"/>
      <c r="AC55" s="135"/>
      <c r="AD55" s="135"/>
      <c r="AE55" s="135"/>
      <c r="AF55" s="135"/>
      <c r="AG55" s="135"/>
      <c r="AH55" s="135"/>
      <c r="AI55" s="135"/>
      <c r="AJ55" s="135"/>
      <c r="AK55" s="135"/>
      <c r="AL55" s="135"/>
      <c r="AM55" s="135"/>
      <c r="AN55" s="135"/>
      <c r="AO55" s="135"/>
      <c r="AP55" s="159"/>
      <c r="AQ55" s="144"/>
      <c r="AR55" s="106"/>
      <c r="AS55" s="106"/>
      <c r="AT55" s="106"/>
      <c r="AU55" s="106"/>
      <c r="AV55" s="106"/>
      <c r="AW55" s="106"/>
      <c r="AX55" s="106"/>
      <c r="AY55" s="106"/>
      <c r="AZ55" s="106"/>
      <c r="BA55" s="106"/>
      <c r="BB55" s="147"/>
      <c r="BC55" s="144"/>
      <c r="BD55" s="106"/>
      <c r="BE55" s="106"/>
      <c r="BF55" s="106"/>
      <c r="BG55" s="106"/>
      <c r="BH55" s="106"/>
      <c r="BI55" s="106"/>
      <c r="BJ55" s="106"/>
      <c r="BK55" s="106"/>
      <c r="BL55" s="106"/>
      <c r="BM55" s="106"/>
      <c r="BN55" s="147"/>
      <c r="BO55" s="158"/>
      <c r="BP55" s="134"/>
      <c r="BQ55" s="134"/>
      <c r="BR55" s="134"/>
      <c r="BS55" s="71"/>
      <c r="BT55" s="71"/>
      <c r="BU55" s="71"/>
      <c r="BV55" s="71"/>
      <c r="BW55" s="71"/>
      <c r="BX55" s="71"/>
      <c r="BY55" s="71"/>
      <c r="BZ55" s="71"/>
    </row>
    <row r="56" spans="1:78" ht="14.25" customHeight="1" x14ac:dyDescent="0.25">
      <c r="A56" s="72">
        <v>1</v>
      </c>
      <c r="B56" s="130"/>
      <c r="C56" s="130"/>
      <c r="D56" s="106">
        <v>2</v>
      </c>
      <c r="E56" s="106"/>
      <c r="F56" s="106"/>
      <c r="G56" s="106"/>
      <c r="H56" s="106"/>
      <c r="I56" s="106"/>
      <c r="J56" s="106"/>
      <c r="K56" s="106"/>
      <c r="L56" s="106"/>
      <c r="M56" s="106"/>
      <c r="N56" s="106"/>
      <c r="O56" s="147"/>
      <c r="P56" s="144">
        <v>3</v>
      </c>
      <c r="Q56" s="106"/>
      <c r="R56" s="106"/>
      <c r="S56" s="106">
        <v>4</v>
      </c>
      <c r="T56" s="106"/>
      <c r="U56" s="147"/>
      <c r="V56" s="152">
        <v>5</v>
      </c>
      <c r="W56" s="106"/>
      <c r="X56" s="106"/>
      <c r="Y56" s="106">
        <v>6</v>
      </c>
      <c r="Z56" s="106"/>
      <c r="AA56" s="106"/>
      <c r="AB56" s="106">
        <v>7</v>
      </c>
      <c r="AC56" s="106"/>
      <c r="AD56" s="106"/>
      <c r="AE56" s="106">
        <v>8</v>
      </c>
      <c r="AF56" s="106"/>
      <c r="AG56" s="106"/>
      <c r="AH56" s="106">
        <v>9</v>
      </c>
      <c r="AI56" s="106"/>
      <c r="AJ56" s="106"/>
      <c r="AK56" s="106">
        <v>10</v>
      </c>
      <c r="AL56" s="106"/>
      <c r="AM56" s="106"/>
      <c r="AN56" s="106">
        <v>11</v>
      </c>
      <c r="AO56" s="106"/>
      <c r="AP56" s="147"/>
      <c r="AQ56" s="144">
        <v>12</v>
      </c>
      <c r="AR56" s="106"/>
      <c r="AS56" s="106"/>
      <c r="AT56" s="106">
        <v>13</v>
      </c>
      <c r="AU56" s="106"/>
      <c r="AV56" s="106"/>
      <c r="AW56" s="106">
        <v>14</v>
      </c>
      <c r="AX56" s="106"/>
      <c r="AY56" s="106"/>
      <c r="AZ56" s="106">
        <v>15</v>
      </c>
      <c r="BA56" s="106"/>
      <c r="BB56" s="147"/>
      <c r="BC56" s="144">
        <v>16</v>
      </c>
      <c r="BD56" s="106"/>
      <c r="BE56" s="106"/>
      <c r="BF56" s="106">
        <v>17</v>
      </c>
      <c r="BG56" s="106"/>
      <c r="BH56" s="106"/>
      <c r="BI56" s="106">
        <v>18</v>
      </c>
      <c r="BJ56" s="106"/>
      <c r="BK56" s="106"/>
      <c r="BL56" s="106">
        <v>19</v>
      </c>
      <c r="BM56" s="106"/>
      <c r="BN56" s="147"/>
      <c r="BO56" s="152">
        <v>20</v>
      </c>
      <c r="BP56" s="106"/>
      <c r="BQ56" s="106"/>
      <c r="BR56" s="106"/>
      <c r="BS56" s="71"/>
      <c r="BT56" s="71"/>
      <c r="BU56" s="71"/>
      <c r="BV56" s="71"/>
      <c r="BW56" s="71"/>
      <c r="BX56" s="71"/>
      <c r="BY56" s="71"/>
      <c r="BZ56" s="71"/>
    </row>
    <row r="57" spans="1:78" ht="14.25" customHeight="1" x14ac:dyDescent="0.25">
      <c r="A57" s="72" t="s">
        <v>6</v>
      </c>
      <c r="B57" s="243"/>
      <c r="C57" s="243"/>
      <c r="D57" s="182" t="s">
        <v>111</v>
      </c>
      <c r="E57" s="182"/>
      <c r="F57" s="182"/>
      <c r="G57" s="182"/>
      <c r="H57" s="182"/>
      <c r="I57" s="182"/>
      <c r="J57" s="182"/>
      <c r="K57" s="182"/>
      <c r="L57" s="182"/>
      <c r="M57" s="182"/>
      <c r="N57" s="182"/>
      <c r="O57" s="183"/>
      <c r="P57" s="144">
        <f>SUM(V57+AN57)</f>
        <v>1470</v>
      </c>
      <c r="Q57" s="106"/>
      <c r="R57" s="106"/>
      <c r="S57" s="131">
        <f>P57/3600*100</f>
        <v>40.833333333333336</v>
      </c>
      <c r="T57" s="131"/>
      <c r="U57" s="151"/>
      <c r="V57" s="152">
        <f t="shared" ref="V57" si="5">SUM(AQ57+AT57+AW57+AZ57)*15</f>
        <v>570</v>
      </c>
      <c r="W57" s="106"/>
      <c r="X57" s="106"/>
      <c r="Y57" s="106">
        <f>SUM(Y58:AA64)</f>
        <v>96</v>
      </c>
      <c r="Z57" s="106"/>
      <c r="AA57" s="106"/>
      <c r="AB57" s="106">
        <f>SUM(AB58:AD64)</f>
        <v>172</v>
      </c>
      <c r="AC57" s="106"/>
      <c r="AD57" s="106"/>
      <c r="AE57" s="106">
        <f>SUM(AE58:AG64)</f>
        <v>270</v>
      </c>
      <c r="AF57" s="106"/>
      <c r="AG57" s="106"/>
      <c r="AH57" s="106">
        <f>SUM(AH58:AJ64)</f>
        <v>32</v>
      </c>
      <c r="AI57" s="106"/>
      <c r="AJ57" s="106"/>
      <c r="AK57" s="106">
        <f>SUM(AK58:AM64)</f>
        <v>0</v>
      </c>
      <c r="AL57" s="106"/>
      <c r="AM57" s="106"/>
      <c r="AN57" s="106">
        <f>SUM(AN58:AP64)</f>
        <v>900</v>
      </c>
      <c r="AO57" s="106"/>
      <c r="AP57" s="147"/>
      <c r="AQ57" s="144">
        <f>SUM(AQ58:AS64)</f>
        <v>16</v>
      </c>
      <c r="AR57" s="106"/>
      <c r="AS57" s="106"/>
      <c r="AT57" s="106">
        <f>SUM(AT58:AV64)</f>
        <v>6</v>
      </c>
      <c r="AU57" s="106"/>
      <c r="AV57" s="106"/>
      <c r="AW57" s="106">
        <f>SUM(AW58:AY64)</f>
        <v>10</v>
      </c>
      <c r="AX57" s="106"/>
      <c r="AY57" s="106"/>
      <c r="AZ57" s="106">
        <f>SUM(AZ58:BB64)</f>
        <v>6</v>
      </c>
      <c r="BA57" s="106"/>
      <c r="BB57" s="147"/>
      <c r="BC57" s="144">
        <f>SUM(BC58:BE64)</f>
        <v>22</v>
      </c>
      <c r="BD57" s="106"/>
      <c r="BE57" s="106"/>
      <c r="BF57" s="106">
        <f>SUM(BF58:BH64)</f>
        <v>7</v>
      </c>
      <c r="BG57" s="106"/>
      <c r="BH57" s="106"/>
      <c r="BI57" s="106">
        <f>SUM(BI58:BK64)</f>
        <v>12</v>
      </c>
      <c r="BJ57" s="106"/>
      <c r="BK57" s="106"/>
      <c r="BL57" s="106">
        <f>SUM(BL58:BN64)</f>
        <v>8</v>
      </c>
      <c r="BM57" s="106"/>
      <c r="BN57" s="147"/>
      <c r="BO57" s="148">
        <f>SUM(P57/30)</f>
        <v>49</v>
      </c>
      <c r="BP57" s="105"/>
      <c r="BQ57" s="105"/>
      <c r="BR57" s="105"/>
      <c r="BS57" s="71"/>
      <c r="BT57" s="71"/>
      <c r="BU57" s="71"/>
      <c r="BV57" s="71"/>
      <c r="BW57" s="71"/>
      <c r="BX57" s="71"/>
      <c r="BY57" s="71"/>
      <c r="BZ57" s="71"/>
    </row>
    <row r="58" spans="1:78" ht="14.25" customHeight="1" x14ac:dyDescent="0.25">
      <c r="A58" s="14" t="s">
        <v>7</v>
      </c>
      <c r="B58" s="104" t="s">
        <v>31</v>
      </c>
      <c r="C58" s="104"/>
      <c r="D58" s="149" t="s">
        <v>142</v>
      </c>
      <c r="E58" s="149"/>
      <c r="F58" s="149"/>
      <c r="G58" s="149"/>
      <c r="H58" s="149"/>
      <c r="I58" s="149"/>
      <c r="J58" s="149"/>
      <c r="K58" s="149"/>
      <c r="L58" s="149"/>
      <c r="M58" s="149"/>
      <c r="N58" s="149"/>
      <c r="O58" s="150"/>
      <c r="P58" s="144">
        <f t="shared" ref="P58:P59" si="6">SUM(V58+AN58)</f>
        <v>90</v>
      </c>
      <c r="Q58" s="106"/>
      <c r="R58" s="106"/>
      <c r="S58" s="131"/>
      <c r="T58" s="131"/>
      <c r="U58" s="151"/>
      <c r="V58" s="152">
        <f t="shared" ref="V58:V59" si="7">SUM(AQ58+AT58+AW58+AZ58)*15</f>
        <v>30</v>
      </c>
      <c r="W58" s="106"/>
      <c r="X58" s="106"/>
      <c r="Y58" s="104">
        <v>16</v>
      </c>
      <c r="Z58" s="104"/>
      <c r="AA58" s="104"/>
      <c r="AB58" s="104">
        <v>14</v>
      </c>
      <c r="AC58" s="104"/>
      <c r="AD58" s="104"/>
      <c r="AE58" s="104"/>
      <c r="AF58" s="104"/>
      <c r="AG58" s="104"/>
      <c r="AH58" s="104"/>
      <c r="AI58" s="104"/>
      <c r="AJ58" s="104"/>
      <c r="AK58" s="104"/>
      <c r="AL58" s="104"/>
      <c r="AM58" s="104"/>
      <c r="AN58" s="104">
        <v>60</v>
      </c>
      <c r="AO58" s="104"/>
      <c r="AP58" s="145"/>
      <c r="AQ58" s="146">
        <v>2</v>
      </c>
      <c r="AR58" s="104"/>
      <c r="AS58" s="104"/>
      <c r="AT58" s="104"/>
      <c r="AU58" s="104"/>
      <c r="AV58" s="104"/>
      <c r="AW58" s="104"/>
      <c r="AX58" s="104"/>
      <c r="AY58" s="104"/>
      <c r="AZ58" s="104"/>
      <c r="BA58" s="104"/>
      <c r="BB58" s="145"/>
      <c r="BC58" s="146">
        <v>3</v>
      </c>
      <c r="BD58" s="104"/>
      <c r="BE58" s="104"/>
      <c r="BF58" s="104"/>
      <c r="BG58" s="104"/>
      <c r="BH58" s="104"/>
      <c r="BI58" s="104"/>
      <c r="BJ58" s="104"/>
      <c r="BK58" s="104"/>
      <c r="BL58" s="104"/>
      <c r="BM58" s="104"/>
      <c r="BN58" s="145"/>
      <c r="BO58" s="148">
        <f t="shared" ref="BO58:BO59" si="8">SUM(P58/30)</f>
        <v>3</v>
      </c>
      <c r="BP58" s="105"/>
      <c r="BQ58" s="105"/>
      <c r="BR58" s="105"/>
      <c r="BS58" s="71">
        <f>SUM(V58/P58)*100</f>
        <v>33.333333333333329</v>
      </c>
      <c r="BT58" s="71">
        <f>SUM(AN58/P58)*100</f>
        <v>66.666666666666657</v>
      </c>
      <c r="BU58" s="71">
        <f>SUM(Y58:AJ58)</f>
        <v>30</v>
      </c>
      <c r="BV58" s="15">
        <f>IF(BU58=V58,1,0)</f>
        <v>1</v>
      </c>
      <c r="BW58" s="15" t="str">
        <f>IF(BV58=1,"тўғри","хато")</f>
        <v>тўғри</v>
      </c>
      <c r="BX58" s="71">
        <f>SUM(BC58:BN58)</f>
        <v>3</v>
      </c>
      <c r="BY58" s="15">
        <f>IF(BX58=BO58,1,0)</f>
        <v>1</v>
      </c>
      <c r="BZ58" s="15" t="str">
        <f>IF(BY58=1,"тўғри","хато")</f>
        <v>тўғри</v>
      </c>
    </row>
    <row r="59" spans="1:78" ht="14.25" customHeight="1" x14ac:dyDescent="0.25">
      <c r="A59" s="14" t="s">
        <v>8</v>
      </c>
      <c r="B59" s="104" t="s">
        <v>213</v>
      </c>
      <c r="C59" s="104"/>
      <c r="D59" s="149" t="s">
        <v>143</v>
      </c>
      <c r="E59" s="149"/>
      <c r="F59" s="149"/>
      <c r="G59" s="149"/>
      <c r="H59" s="149"/>
      <c r="I59" s="149"/>
      <c r="J59" s="149"/>
      <c r="K59" s="149"/>
      <c r="L59" s="149"/>
      <c r="M59" s="149"/>
      <c r="N59" s="149"/>
      <c r="O59" s="150"/>
      <c r="P59" s="144">
        <f t="shared" si="6"/>
        <v>90</v>
      </c>
      <c r="Q59" s="106"/>
      <c r="R59" s="106"/>
      <c r="S59" s="131"/>
      <c r="T59" s="131"/>
      <c r="U59" s="151"/>
      <c r="V59" s="152">
        <f t="shared" si="7"/>
        <v>30</v>
      </c>
      <c r="W59" s="106"/>
      <c r="X59" s="106"/>
      <c r="Y59" s="104">
        <v>16</v>
      </c>
      <c r="Z59" s="104"/>
      <c r="AA59" s="104"/>
      <c r="AB59" s="104">
        <v>14</v>
      </c>
      <c r="AC59" s="104"/>
      <c r="AD59" s="104"/>
      <c r="AE59" s="104"/>
      <c r="AF59" s="104"/>
      <c r="AG59" s="104"/>
      <c r="AH59" s="104"/>
      <c r="AI59" s="104"/>
      <c r="AJ59" s="104"/>
      <c r="AK59" s="104"/>
      <c r="AL59" s="104"/>
      <c r="AM59" s="104"/>
      <c r="AN59" s="104">
        <v>60</v>
      </c>
      <c r="AO59" s="104"/>
      <c r="AP59" s="145"/>
      <c r="AQ59" s="146"/>
      <c r="AR59" s="104"/>
      <c r="AS59" s="104"/>
      <c r="AT59" s="104"/>
      <c r="AU59" s="104"/>
      <c r="AV59" s="104"/>
      <c r="AW59" s="104">
        <v>2</v>
      </c>
      <c r="AX59" s="104"/>
      <c r="AY59" s="104"/>
      <c r="AZ59" s="104"/>
      <c r="BA59" s="104"/>
      <c r="BB59" s="145"/>
      <c r="BC59" s="146"/>
      <c r="BD59" s="104"/>
      <c r="BE59" s="104"/>
      <c r="BF59" s="104"/>
      <c r="BG59" s="104"/>
      <c r="BH59" s="104"/>
      <c r="BI59" s="104">
        <v>3</v>
      </c>
      <c r="BJ59" s="104"/>
      <c r="BK59" s="104"/>
      <c r="BL59" s="104"/>
      <c r="BM59" s="104"/>
      <c r="BN59" s="145"/>
      <c r="BO59" s="148">
        <f t="shared" si="8"/>
        <v>3</v>
      </c>
      <c r="BP59" s="105"/>
      <c r="BQ59" s="105"/>
      <c r="BR59" s="105"/>
      <c r="BS59" s="71">
        <f t="shared" ref="BS59" si="9">SUM(V59/P59)*100</f>
        <v>33.333333333333329</v>
      </c>
      <c r="BT59" s="71">
        <f t="shared" ref="BT59" si="10">SUM(AN59/P59)*100</f>
        <v>66.666666666666657</v>
      </c>
      <c r="BU59" s="71">
        <f t="shared" ref="BU59" si="11">SUM(Y59:AJ59)</f>
        <v>30</v>
      </c>
      <c r="BV59" s="15">
        <f t="shared" ref="BV59" si="12">IF(BU59=V59,1,0)</f>
        <v>1</v>
      </c>
      <c r="BW59" s="15" t="str">
        <f t="shared" ref="BW59" si="13">IF(BV59=1,"тўғри","хато")</f>
        <v>тўғри</v>
      </c>
      <c r="BX59" s="71">
        <f t="shared" ref="BX59" si="14">SUM(BC59:BN59)</f>
        <v>3</v>
      </c>
      <c r="BY59" s="15">
        <f t="shared" ref="BY59" si="15">IF(BX59=BO59,1,0)</f>
        <v>1</v>
      </c>
      <c r="BZ59" s="15" t="str">
        <f t="shared" ref="BZ59" si="16">IF(BY59=1,"тўғри","хато")</f>
        <v>тўғри</v>
      </c>
    </row>
    <row r="60" spans="1:78" ht="14.25" customHeight="1" x14ac:dyDescent="0.25">
      <c r="A60" s="14" t="s">
        <v>23</v>
      </c>
      <c r="B60" s="104" t="s">
        <v>211</v>
      </c>
      <c r="C60" s="104"/>
      <c r="D60" s="247" t="s">
        <v>220</v>
      </c>
      <c r="E60" s="248"/>
      <c r="F60" s="248"/>
      <c r="G60" s="248"/>
      <c r="H60" s="248"/>
      <c r="I60" s="248"/>
      <c r="J60" s="248"/>
      <c r="K60" s="248"/>
      <c r="L60" s="248"/>
      <c r="M60" s="248"/>
      <c r="N60" s="248"/>
      <c r="O60" s="249"/>
      <c r="P60" s="144">
        <f t="shared" ref="P60:P63" si="17">SUM(V60+AN60)</f>
        <v>300</v>
      </c>
      <c r="Q60" s="106"/>
      <c r="R60" s="106"/>
      <c r="S60" s="104"/>
      <c r="T60" s="104"/>
      <c r="U60" s="145"/>
      <c r="V60" s="152">
        <f t="shared" ref="V60:V64" si="18">SUM(AQ60+AT60+AW60+AZ60)*15</f>
        <v>120</v>
      </c>
      <c r="W60" s="106"/>
      <c r="X60" s="106"/>
      <c r="Y60" s="104"/>
      <c r="Z60" s="104"/>
      <c r="AA60" s="104"/>
      <c r="AB60" s="104"/>
      <c r="AC60" s="104"/>
      <c r="AD60" s="104"/>
      <c r="AE60" s="104">
        <v>120</v>
      </c>
      <c r="AF60" s="104"/>
      <c r="AG60" s="104"/>
      <c r="AH60" s="104"/>
      <c r="AI60" s="104"/>
      <c r="AJ60" s="104"/>
      <c r="AK60" s="106"/>
      <c r="AL60" s="106"/>
      <c r="AM60" s="106"/>
      <c r="AN60" s="104">
        <v>180</v>
      </c>
      <c r="AO60" s="104"/>
      <c r="AP60" s="145"/>
      <c r="AQ60" s="146">
        <v>2</v>
      </c>
      <c r="AR60" s="104"/>
      <c r="AS60" s="104"/>
      <c r="AT60" s="104">
        <v>2</v>
      </c>
      <c r="AU60" s="104"/>
      <c r="AV60" s="104"/>
      <c r="AW60" s="104">
        <v>2</v>
      </c>
      <c r="AX60" s="104"/>
      <c r="AY60" s="104"/>
      <c r="AZ60" s="104">
        <v>2</v>
      </c>
      <c r="BA60" s="104"/>
      <c r="BB60" s="145"/>
      <c r="BC60" s="242">
        <v>3</v>
      </c>
      <c r="BD60" s="104"/>
      <c r="BE60" s="104"/>
      <c r="BF60" s="104">
        <v>2</v>
      </c>
      <c r="BG60" s="104"/>
      <c r="BH60" s="104"/>
      <c r="BI60" s="104">
        <v>2</v>
      </c>
      <c r="BJ60" s="104"/>
      <c r="BK60" s="104"/>
      <c r="BL60" s="104">
        <v>3</v>
      </c>
      <c r="BM60" s="104"/>
      <c r="BN60" s="145"/>
      <c r="BO60" s="148">
        <f t="shared" ref="BO60:BO64" si="19">SUM(P60/30)</f>
        <v>10</v>
      </c>
      <c r="BP60" s="105"/>
      <c r="BQ60" s="105"/>
      <c r="BR60" s="105"/>
      <c r="BS60" s="71">
        <f t="shared" ref="BS60:BS64" si="20">SUM(V60/P60)*100</f>
        <v>40</v>
      </c>
      <c r="BT60" s="71">
        <f t="shared" ref="BT60:BT64" si="21">SUM(AN60/P60)*100</f>
        <v>60</v>
      </c>
      <c r="BU60" s="71">
        <f t="shared" ref="BU60:BU64" si="22">SUM(Y60:AJ60)</f>
        <v>120</v>
      </c>
      <c r="BV60" s="15">
        <f t="shared" ref="BV60:BV64" si="23">IF(BU60=V60,1,0)</f>
        <v>1</v>
      </c>
      <c r="BW60" s="15" t="str">
        <f t="shared" ref="BW60:BW64" si="24">IF(BV60=1,"тўғри","хато")</f>
        <v>тўғри</v>
      </c>
      <c r="BX60" s="71">
        <f t="shared" ref="BX60:BX64" si="25">SUM(BC60:BN60)</f>
        <v>10</v>
      </c>
      <c r="BY60" s="15">
        <f t="shared" ref="BY60:BY64" si="26">IF(BX60=BO60,1,0)</f>
        <v>1</v>
      </c>
      <c r="BZ60" s="15" t="str">
        <f t="shared" ref="BZ60:BZ64" si="27">IF(BY60=1,"тўғри","хато")</f>
        <v>тўғри</v>
      </c>
    </row>
    <row r="61" spans="1:78" ht="14.25" customHeight="1" x14ac:dyDescent="0.25">
      <c r="A61" s="14" t="s">
        <v>24</v>
      </c>
      <c r="B61" s="104" t="s">
        <v>212</v>
      </c>
      <c r="C61" s="104"/>
      <c r="D61" s="247" t="s">
        <v>221</v>
      </c>
      <c r="E61" s="248"/>
      <c r="F61" s="248"/>
      <c r="G61" s="248"/>
      <c r="H61" s="248"/>
      <c r="I61" s="248"/>
      <c r="J61" s="248"/>
      <c r="K61" s="248"/>
      <c r="L61" s="248"/>
      <c r="M61" s="248"/>
      <c r="N61" s="248"/>
      <c r="O61" s="249"/>
      <c r="P61" s="144">
        <f t="shared" si="17"/>
        <v>300</v>
      </c>
      <c r="Q61" s="106"/>
      <c r="R61" s="106"/>
      <c r="S61" s="104"/>
      <c r="T61" s="104"/>
      <c r="U61" s="145"/>
      <c r="V61" s="152">
        <f t="shared" si="18"/>
        <v>120</v>
      </c>
      <c r="W61" s="106"/>
      <c r="X61" s="106"/>
      <c r="Y61" s="252"/>
      <c r="Z61" s="253"/>
      <c r="AA61" s="254"/>
      <c r="AB61" s="104">
        <v>60</v>
      </c>
      <c r="AC61" s="104"/>
      <c r="AD61" s="104"/>
      <c r="AE61" s="104">
        <v>60</v>
      </c>
      <c r="AF61" s="104"/>
      <c r="AG61" s="104"/>
      <c r="AH61" s="104"/>
      <c r="AI61" s="104"/>
      <c r="AJ61" s="104"/>
      <c r="AK61" s="106"/>
      <c r="AL61" s="106"/>
      <c r="AM61" s="106"/>
      <c r="AN61" s="104">
        <v>180</v>
      </c>
      <c r="AO61" s="104"/>
      <c r="AP61" s="145"/>
      <c r="AQ61" s="146">
        <v>4</v>
      </c>
      <c r="AR61" s="104"/>
      <c r="AS61" s="104"/>
      <c r="AT61" s="104">
        <v>2</v>
      </c>
      <c r="AU61" s="104"/>
      <c r="AV61" s="104"/>
      <c r="AW61" s="104">
        <v>2</v>
      </c>
      <c r="AX61" s="104"/>
      <c r="AY61" s="104"/>
      <c r="AZ61" s="104"/>
      <c r="BA61" s="104"/>
      <c r="BB61" s="145"/>
      <c r="BC61" s="242">
        <v>5</v>
      </c>
      <c r="BD61" s="104"/>
      <c r="BE61" s="104"/>
      <c r="BF61" s="104">
        <v>3</v>
      </c>
      <c r="BG61" s="104"/>
      <c r="BH61" s="104"/>
      <c r="BI61" s="104">
        <v>2</v>
      </c>
      <c r="BJ61" s="104"/>
      <c r="BK61" s="104"/>
      <c r="BL61" s="104"/>
      <c r="BM61" s="104"/>
      <c r="BN61" s="145"/>
      <c r="BO61" s="148">
        <f t="shared" si="19"/>
        <v>10</v>
      </c>
      <c r="BP61" s="105"/>
      <c r="BQ61" s="105"/>
      <c r="BR61" s="105"/>
      <c r="BS61" s="71">
        <f t="shared" si="20"/>
        <v>40</v>
      </c>
      <c r="BT61" s="71">
        <f t="shared" si="21"/>
        <v>60</v>
      </c>
      <c r="BU61" s="71">
        <f t="shared" si="22"/>
        <v>120</v>
      </c>
      <c r="BV61" s="15">
        <f t="shared" si="23"/>
        <v>1</v>
      </c>
      <c r="BW61" s="15" t="str">
        <f t="shared" si="24"/>
        <v>тўғри</v>
      </c>
      <c r="BX61" s="71">
        <f t="shared" si="25"/>
        <v>10</v>
      </c>
      <c r="BY61" s="15">
        <f t="shared" si="26"/>
        <v>1</v>
      </c>
      <c r="BZ61" s="15" t="str">
        <f t="shared" si="27"/>
        <v>тўғри</v>
      </c>
    </row>
    <row r="62" spans="1:78" ht="14.25" customHeight="1" x14ac:dyDescent="0.25">
      <c r="A62" s="14" t="s">
        <v>25</v>
      </c>
      <c r="B62" s="104" t="s">
        <v>249</v>
      </c>
      <c r="C62" s="104"/>
      <c r="D62" s="247" t="s">
        <v>222</v>
      </c>
      <c r="E62" s="248"/>
      <c r="F62" s="248"/>
      <c r="G62" s="248"/>
      <c r="H62" s="248"/>
      <c r="I62" s="248"/>
      <c r="J62" s="248"/>
      <c r="K62" s="248"/>
      <c r="L62" s="248"/>
      <c r="M62" s="248"/>
      <c r="N62" s="248"/>
      <c r="O62" s="249"/>
      <c r="P62" s="144">
        <f t="shared" si="17"/>
        <v>390</v>
      </c>
      <c r="Q62" s="106"/>
      <c r="R62" s="106"/>
      <c r="S62" s="104"/>
      <c r="T62" s="104"/>
      <c r="U62" s="145"/>
      <c r="V62" s="152">
        <f t="shared" si="18"/>
        <v>150</v>
      </c>
      <c r="W62" s="106"/>
      <c r="X62" s="106"/>
      <c r="Y62" s="104"/>
      <c r="Z62" s="104"/>
      <c r="AA62" s="104"/>
      <c r="AB62" s="104">
        <v>60</v>
      </c>
      <c r="AC62" s="104"/>
      <c r="AD62" s="104"/>
      <c r="AE62" s="104">
        <v>90</v>
      </c>
      <c r="AF62" s="104"/>
      <c r="AG62" s="104"/>
      <c r="AH62" s="104"/>
      <c r="AI62" s="104"/>
      <c r="AJ62" s="104"/>
      <c r="AK62" s="106"/>
      <c r="AL62" s="106"/>
      <c r="AM62" s="106"/>
      <c r="AN62" s="104">
        <v>240</v>
      </c>
      <c r="AO62" s="104"/>
      <c r="AP62" s="145"/>
      <c r="AQ62" s="146">
        <v>4</v>
      </c>
      <c r="AR62" s="104"/>
      <c r="AS62" s="104"/>
      <c r="AT62" s="104">
        <v>2</v>
      </c>
      <c r="AU62" s="104"/>
      <c r="AV62" s="104"/>
      <c r="AW62" s="104">
        <v>2</v>
      </c>
      <c r="AX62" s="104"/>
      <c r="AY62" s="104"/>
      <c r="AZ62" s="104">
        <v>2</v>
      </c>
      <c r="BA62" s="104"/>
      <c r="BB62" s="145"/>
      <c r="BC62" s="242">
        <v>6</v>
      </c>
      <c r="BD62" s="104"/>
      <c r="BE62" s="104"/>
      <c r="BF62" s="104">
        <v>2</v>
      </c>
      <c r="BG62" s="104"/>
      <c r="BH62" s="104"/>
      <c r="BI62" s="104">
        <v>2</v>
      </c>
      <c r="BJ62" s="104"/>
      <c r="BK62" s="104"/>
      <c r="BL62" s="104">
        <v>3</v>
      </c>
      <c r="BM62" s="104"/>
      <c r="BN62" s="145"/>
      <c r="BO62" s="148">
        <f t="shared" si="19"/>
        <v>13</v>
      </c>
      <c r="BP62" s="105"/>
      <c r="BQ62" s="105"/>
      <c r="BR62" s="105"/>
      <c r="BS62" s="71">
        <f t="shared" si="20"/>
        <v>38.461538461538467</v>
      </c>
      <c r="BT62" s="71">
        <f t="shared" si="21"/>
        <v>61.53846153846154</v>
      </c>
      <c r="BU62" s="71">
        <f t="shared" si="22"/>
        <v>150</v>
      </c>
      <c r="BV62" s="15">
        <f t="shared" si="23"/>
        <v>1</v>
      </c>
      <c r="BW62" s="15" t="str">
        <f t="shared" si="24"/>
        <v>тўғри</v>
      </c>
      <c r="BX62" s="71">
        <f t="shared" si="25"/>
        <v>13</v>
      </c>
      <c r="BY62" s="15">
        <f t="shared" si="26"/>
        <v>1</v>
      </c>
      <c r="BZ62" s="15" t="str">
        <f t="shared" si="27"/>
        <v>тўғри</v>
      </c>
    </row>
    <row r="63" spans="1:78" ht="14.25" customHeight="1" x14ac:dyDescent="0.25">
      <c r="A63" s="14" t="s">
        <v>26</v>
      </c>
      <c r="B63" s="104" t="s">
        <v>48</v>
      </c>
      <c r="C63" s="104"/>
      <c r="D63" s="247" t="s">
        <v>156</v>
      </c>
      <c r="E63" s="248"/>
      <c r="F63" s="248"/>
      <c r="G63" s="248"/>
      <c r="H63" s="248"/>
      <c r="I63" s="248"/>
      <c r="J63" s="248"/>
      <c r="K63" s="248"/>
      <c r="L63" s="248"/>
      <c r="M63" s="248"/>
      <c r="N63" s="248"/>
      <c r="O63" s="249"/>
      <c r="P63" s="144">
        <f t="shared" si="17"/>
        <v>150</v>
      </c>
      <c r="Q63" s="106"/>
      <c r="R63" s="106"/>
      <c r="S63" s="104"/>
      <c r="T63" s="104"/>
      <c r="U63" s="145"/>
      <c r="V63" s="152">
        <f t="shared" si="18"/>
        <v>60</v>
      </c>
      <c r="W63" s="106"/>
      <c r="X63" s="106"/>
      <c r="Y63" s="104">
        <v>32</v>
      </c>
      <c r="Z63" s="104"/>
      <c r="AA63" s="104"/>
      <c r="AB63" s="104">
        <v>12</v>
      </c>
      <c r="AC63" s="104"/>
      <c r="AD63" s="104"/>
      <c r="AE63" s="104"/>
      <c r="AF63" s="104"/>
      <c r="AG63" s="104"/>
      <c r="AH63" s="104">
        <v>16</v>
      </c>
      <c r="AI63" s="104"/>
      <c r="AJ63" s="104"/>
      <c r="AK63" s="106"/>
      <c r="AL63" s="106"/>
      <c r="AM63" s="106"/>
      <c r="AN63" s="104">
        <v>90</v>
      </c>
      <c r="AO63" s="104"/>
      <c r="AP63" s="145"/>
      <c r="AQ63" s="146">
        <v>4</v>
      </c>
      <c r="AR63" s="104"/>
      <c r="AS63" s="104"/>
      <c r="AT63" s="104"/>
      <c r="AU63" s="104"/>
      <c r="AV63" s="104"/>
      <c r="AW63" s="104"/>
      <c r="AX63" s="104"/>
      <c r="AY63" s="104"/>
      <c r="AZ63" s="104"/>
      <c r="BA63" s="104"/>
      <c r="BB63" s="145"/>
      <c r="BC63" s="242">
        <v>5</v>
      </c>
      <c r="BD63" s="104"/>
      <c r="BE63" s="104"/>
      <c r="BF63" s="104"/>
      <c r="BG63" s="104"/>
      <c r="BH63" s="104"/>
      <c r="BI63" s="104"/>
      <c r="BJ63" s="104"/>
      <c r="BK63" s="104"/>
      <c r="BL63" s="104"/>
      <c r="BM63" s="104"/>
      <c r="BN63" s="145"/>
      <c r="BO63" s="148">
        <f t="shared" si="19"/>
        <v>5</v>
      </c>
      <c r="BP63" s="105"/>
      <c r="BQ63" s="105"/>
      <c r="BR63" s="105"/>
      <c r="BS63" s="71">
        <f t="shared" si="20"/>
        <v>40</v>
      </c>
      <c r="BT63" s="71">
        <f t="shared" si="21"/>
        <v>60</v>
      </c>
      <c r="BU63" s="71">
        <f t="shared" si="22"/>
        <v>60</v>
      </c>
      <c r="BV63" s="15">
        <f t="shared" si="23"/>
        <v>1</v>
      </c>
      <c r="BW63" s="15" t="str">
        <f t="shared" si="24"/>
        <v>тўғри</v>
      </c>
      <c r="BX63" s="71">
        <f t="shared" si="25"/>
        <v>5</v>
      </c>
      <c r="BY63" s="15">
        <f t="shared" si="26"/>
        <v>1</v>
      </c>
      <c r="BZ63" s="15" t="str">
        <f t="shared" si="27"/>
        <v>тўғри</v>
      </c>
    </row>
    <row r="64" spans="1:78" ht="14.25" customHeight="1" x14ac:dyDescent="0.25">
      <c r="A64" s="14" t="s">
        <v>27</v>
      </c>
      <c r="B64" s="104" t="s">
        <v>35</v>
      </c>
      <c r="C64" s="104"/>
      <c r="D64" s="247" t="s">
        <v>157</v>
      </c>
      <c r="E64" s="248"/>
      <c r="F64" s="248"/>
      <c r="G64" s="248"/>
      <c r="H64" s="248"/>
      <c r="I64" s="248"/>
      <c r="J64" s="248"/>
      <c r="K64" s="248"/>
      <c r="L64" s="248"/>
      <c r="M64" s="248"/>
      <c r="N64" s="248"/>
      <c r="O64" s="249"/>
      <c r="P64" s="144">
        <f>SUM(V64+AN64)</f>
        <v>150</v>
      </c>
      <c r="Q64" s="106"/>
      <c r="R64" s="106"/>
      <c r="S64" s="131"/>
      <c r="T64" s="131"/>
      <c r="U64" s="151"/>
      <c r="V64" s="152">
        <f t="shared" si="18"/>
        <v>60</v>
      </c>
      <c r="W64" s="106"/>
      <c r="X64" s="106"/>
      <c r="Y64" s="104">
        <v>32</v>
      </c>
      <c r="Z64" s="104"/>
      <c r="AA64" s="104"/>
      <c r="AB64" s="104">
        <v>12</v>
      </c>
      <c r="AC64" s="104"/>
      <c r="AD64" s="104"/>
      <c r="AE64" s="104"/>
      <c r="AF64" s="104"/>
      <c r="AG64" s="104"/>
      <c r="AH64" s="104">
        <v>16</v>
      </c>
      <c r="AI64" s="104"/>
      <c r="AJ64" s="104"/>
      <c r="AK64" s="106"/>
      <c r="AL64" s="106"/>
      <c r="AM64" s="106"/>
      <c r="AN64" s="104">
        <v>90</v>
      </c>
      <c r="AO64" s="104"/>
      <c r="AP64" s="145"/>
      <c r="AQ64" s="146"/>
      <c r="AR64" s="104"/>
      <c r="AS64" s="104"/>
      <c r="AT64" s="104"/>
      <c r="AU64" s="104"/>
      <c r="AV64" s="104"/>
      <c r="AW64" s="104">
        <v>2</v>
      </c>
      <c r="AX64" s="104"/>
      <c r="AY64" s="104"/>
      <c r="AZ64" s="104">
        <v>2</v>
      </c>
      <c r="BA64" s="104"/>
      <c r="BB64" s="145"/>
      <c r="BC64" s="242"/>
      <c r="BD64" s="104"/>
      <c r="BE64" s="104"/>
      <c r="BF64" s="104"/>
      <c r="BG64" s="104"/>
      <c r="BH64" s="104"/>
      <c r="BI64" s="104">
        <v>3</v>
      </c>
      <c r="BJ64" s="104"/>
      <c r="BK64" s="104"/>
      <c r="BL64" s="104">
        <v>2</v>
      </c>
      <c r="BM64" s="104"/>
      <c r="BN64" s="145"/>
      <c r="BO64" s="148">
        <f t="shared" si="19"/>
        <v>5</v>
      </c>
      <c r="BP64" s="105"/>
      <c r="BQ64" s="105"/>
      <c r="BR64" s="105"/>
      <c r="BS64" s="71">
        <f t="shared" si="20"/>
        <v>40</v>
      </c>
      <c r="BT64" s="71">
        <f t="shared" si="21"/>
        <v>60</v>
      </c>
      <c r="BU64" s="71">
        <f t="shared" si="22"/>
        <v>60</v>
      </c>
      <c r="BV64" s="15">
        <f t="shared" si="23"/>
        <v>1</v>
      </c>
      <c r="BW64" s="15" t="str">
        <f t="shared" si="24"/>
        <v>тўғри</v>
      </c>
      <c r="BX64" s="71">
        <f t="shared" si="25"/>
        <v>5</v>
      </c>
      <c r="BY64" s="15">
        <f t="shared" si="26"/>
        <v>1</v>
      </c>
      <c r="BZ64" s="15" t="str">
        <f t="shared" si="27"/>
        <v>тўғри</v>
      </c>
    </row>
    <row r="65" spans="1:78" ht="14.25" customHeight="1" x14ac:dyDescent="0.25">
      <c r="A65" s="72" t="s">
        <v>9</v>
      </c>
      <c r="B65" s="104"/>
      <c r="C65" s="104"/>
      <c r="D65" s="182" t="s">
        <v>112</v>
      </c>
      <c r="E65" s="182"/>
      <c r="F65" s="182"/>
      <c r="G65" s="182"/>
      <c r="H65" s="182"/>
      <c r="I65" s="182"/>
      <c r="J65" s="182"/>
      <c r="K65" s="182"/>
      <c r="L65" s="182"/>
      <c r="M65" s="182"/>
      <c r="N65" s="182"/>
      <c r="O65" s="183"/>
      <c r="P65" s="144">
        <f t="shared" ref="P65" si="28">SUM(V65+AN65)</f>
        <v>330</v>
      </c>
      <c r="Q65" s="106"/>
      <c r="R65" s="106"/>
      <c r="S65" s="131">
        <f>P65/3600*100</f>
        <v>9.1666666666666661</v>
      </c>
      <c r="T65" s="131"/>
      <c r="U65" s="151"/>
      <c r="V65" s="152">
        <f t="shared" ref="V65" si="29">SUM(AQ65+AT65+AW65+AZ65)*15</f>
        <v>120</v>
      </c>
      <c r="W65" s="106"/>
      <c r="X65" s="106"/>
      <c r="Y65" s="106">
        <f>SUM(Y66:AA74)</f>
        <v>10</v>
      </c>
      <c r="Z65" s="106"/>
      <c r="AA65" s="106"/>
      <c r="AB65" s="106">
        <f>SUM(AB66:AD74)</f>
        <v>100</v>
      </c>
      <c r="AC65" s="106"/>
      <c r="AD65" s="106"/>
      <c r="AE65" s="106">
        <f>SUM(AE66:AG74)</f>
        <v>0</v>
      </c>
      <c r="AF65" s="106"/>
      <c r="AG65" s="106"/>
      <c r="AH65" s="106">
        <f>SUM(AH66:AJ74)</f>
        <v>10</v>
      </c>
      <c r="AI65" s="106"/>
      <c r="AJ65" s="106"/>
      <c r="AK65" s="106">
        <f>SUM(AK66:AM74)</f>
        <v>0</v>
      </c>
      <c r="AL65" s="106"/>
      <c r="AM65" s="106"/>
      <c r="AN65" s="106">
        <f>SUM(AN66:AP74)</f>
        <v>210</v>
      </c>
      <c r="AO65" s="106"/>
      <c r="AP65" s="147"/>
      <c r="AQ65" s="144">
        <f>SUM(AQ66:AS74)</f>
        <v>2</v>
      </c>
      <c r="AR65" s="106"/>
      <c r="AS65" s="106"/>
      <c r="AT65" s="106">
        <f>SUM(AT66:AV74)</f>
        <v>4</v>
      </c>
      <c r="AU65" s="106"/>
      <c r="AV65" s="106"/>
      <c r="AW65" s="106">
        <f>SUM(AW66:AY74)</f>
        <v>2</v>
      </c>
      <c r="AX65" s="106"/>
      <c r="AY65" s="106"/>
      <c r="AZ65" s="106">
        <f>SUM(AZ66:BB74)</f>
        <v>0</v>
      </c>
      <c r="BA65" s="106"/>
      <c r="BB65" s="147"/>
      <c r="BC65" s="144">
        <f>SUM(BC66:BE74)</f>
        <v>2</v>
      </c>
      <c r="BD65" s="106"/>
      <c r="BE65" s="106"/>
      <c r="BF65" s="106">
        <f>SUM(BF66:BH74)</f>
        <v>6</v>
      </c>
      <c r="BG65" s="106"/>
      <c r="BH65" s="106"/>
      <c r="BI65" s="106">
        <f>SUM(BI66:BK74)</f>
        <v>3</v>
      </c>
      <c r="BJ65" s="106"/>
      <c r="BK65" s="106"/>
      <c r="BL65" s="106">
        <f>SUM(BL66:BN74)</f>
        <v>0</v>
      </c>
      <c r="BM65" s="106"/>
      <c r="BN65" s="147"/>
      <c r="BO65" s="148">
        <f t="shared" ref="BO65:BO74" si="30">SUM(P65/30)</f>
        <v>11</v>
      </c>
      <c r="BP65" s="105"/>
      <c r="BQ65" s="105"/>
      <c r="BR65" s="105"/>
      <c r="BS65" s="71">
        <f t="shared" ref="BS65" si="31">SUM(V65/P65)*100</f>
        <v>36.363636363636367</v>
      </c>
      <c r="BT65" s="71">
        <f t="shared" ref="BT65:BT80" si="32">SUM(AN65/P65)*100</f>
        <v>63.636363636363633</v>
      </c>
      <c r="BU65" s="71">
        <f t="shared" ref="BU65:BU75" si="33">SUM(Y65:AJ65)</f>
        <v>120</v>
      </c>
      <c r="BV65" s="15">
        <f t="shared" ref="BV65:BV75" si="34">IF(BU65=V65,1,0)</f>
        <v>1</v>
      </c>
      <c r="BW65" s="15" t="str">
        <f t="shared" ref="BW65:BW75" si="35">IF(BV65=1,"тўғри","хато")</f>
        <v>тўғри</v>
      </c>
      <c r="BX65" s="71">
        <f t="shared" ref="BX65:BX80" si="36">SUM(BC65:BN65)</f>
        <v>11</v>
      </c>
      <c r="BY65" s="15">
        <f t="shared" ref="BY65:BY80" si="37">IF(BX65=BO65,1,0)</f>
        <v>1</v>
      </c>
      <c r="BZ65" s="15" t="str">
        <f t="shared" ref="BZ65:BZ80" si="38">IF(BY65=1,"тўғри","хато")</f>
        <v>тўғри</v>
      </c>
    </row>
    <row r="66" spans="1:78" ht="14.25" customHeight="1" x14ac:dyDescent="0.25">
      <c r="A66" s="85" t="s">
        <v>10</v>
      </c>
      <c r="B66" s="104"/>
      <c r="C66" s="104"/>
      <c r="D66" s="178" t="s">
        <v>130</v>
      </c>
      <c r="E66" s="178"/>
      <c r="F66" s="178"/>
      <c r="G66" s="178"/>
      <c r="H66" s="178"/>
      <c r="I66" s="178"/>
      <c r="J66" s="178"/>
      <c r="K66" s="178"/>
      <c r="L66" s="178"/>
      <c r="M66" s="178"/>
      <c r="N66" s="178"/>
      <c r="O66" s="179"/>
      <c r="P66" s="144">
        <f>SUM(V66+AN66)</f>
        <v>90</v>
      </c>
      <c r="Q66" s="106"/>
      <c r="R66" s="106"/>
      <c r="S66" s="131"/>
      <c r="T66" s="131"/>
      <c r="U66" s="151"/>
      <c r="V66" s="152">
        <f t="shared" ref="V66" si="39">SUM(AQ66+AT66+AW66+AZ66)*15</f>
        <v>30</v>
      </c>
      <c r="W66" s="106"/>
      <c r="X66" s="106"/>
      <c r="Y66" s="104"/>
      <c r="Z66" s="104"/>
      <c r="AA66" s="104"/>
      <c r="AB66" s="104">
        <v>30</v>
      </c>
      <c r="AC66" s="104"/>
      <c r="AD66" s="104"/>
      <c r="AE66" s="104"/>
      <c r="AF66" s="104"/>
      <c r="AG66" s="104"/>
      <c r="AH66" s="104"/>
      <c r="AI66" s="104"/>
      <c r="AJ66" s="104"/>
      <c r="AK66" s="104"/>
      <c r="AL66" s="104"/>
      <c r="AM66" s="104"/>
      <c r="AN66" s="104">
        <v>60</v>
      </c>
      <c r="AO66" s="104"/>
      <c r="AP66" s="145"/>
      <c r="AQ66" s="146"/>
      <c r="AR66" s="104"/>
      <c r="AS66" s="104"/>
      <c r="AT66" s="104">
        <v>2</v>
      </c>
      <c r="AU66" s="104"/>
      <c r="AV66" s="104"/>
      <c r="AW66" s="104"/>
      <c r="AX66" s="104"/>
      <c r="AY66" s="104"/>
      <c r="AZ66" s="104"/>
      <c r="BA66" s="104"/>
      <c r="BB66" s="145"/>
      <c r="BC66" s="146"/>
      <c r="BD66" s="104"/>
      <c r="BE66" s="104"/>
      <c r="BF66" s="104">
        <v>3</v>
      </c>
      <c r="BG66" s="104"/>
      <c r="BH66" s="104"/>
      <c r="BI66" s="104"/>
      <c r="BJ66" s="104"/>
      <c r="BK66" s="104"/>
      <c r="BL66" s="104"/>
      <c r="BM66" s="104"/>
      <c r="BN66" s="145"/>
      <c r="BO66" s="148">
        <f t="shared" si="30"/>
        <v>3</v>
      </c>
      <c r="BP66" s="105"/>
      <c r="BQ66" s="105"/>
      <c r="BR66" s="105"/>
      <c r="BS66" s="71">
        <f t="shared" ref="BS66:BS74" si="40">SUM(V66/P66)*100</f>
        <v>33.333333333333329</v>
      </c>
      <c r="BT66" s="71">
        <f t="shared" ref="BT66:BT74" si="41">SUM(AN66/P66)*100</f>
        <v>66.666666666666657</v>
      </c>
      <c r="BU66" s="71">
        <f t="shared" ref="BU66:BU74" si="42">SUM(Y66:AJ66)</f>
        <v>30</v>
      </c>
      <c r="BV66" s="15">
        <f t="shared" si="34"/>
        <v>1</v>
      </c>
      <c r="BW66" s="15" t="str">
        <f t="shared" si="35"/>
        <v>тўғри</v>
      </c>
      <c r="BX66" s="71">
        <f t="shared" si="36"/>
        <v>3</v>
      </c>
      <c r="BY66" s="15">
        <f t="shared" si="37"/>
        <v>1</v>
      </c>
      <c r="BZ66" s="15" t="str">
        <f t="shared" si="38"/>
        <v>тўғри</v>
      </c>
    </row>
    <row r="67" spans="1:78" ht="14.25" customHeight="1" x14ac:dyDescent="0.25">
      <c r="A67" s="71">
        <v>1</v>
      </c>
      <c r="B67" s="104" t="s">
        <v>214</v>
      </c>
      <c r="C67" s="104"/>
      <c r="D67" s="149" t="s">
        <v>136</v>
      </c>
      <c r="E67" s="149"/>
      <c r="F67" s="149"/>
      <c r="G67" s="149"/>
      <c r="H67" s="149"/>
      <c r="I67" s="149"/>
      <c r="J67" s="149"/>
      <c r="K67" s="149"/>
      <c r="L67" s="149"/>
      <c r="M67" s="149"/>
      <c r="N67" s="149"/>
      <c r="O67" s="150"/>
      <c r="P67" s="144"/>
      <c r="Q67" s="106"/>
      <c r="R67" s="106"/>
      <c r="S67" s="131"/>
      <c r="T67" s="131"/>
      <c r="U67" s="151"/>
      <c r="V67" s="152"/>
      <c r="W67" s="106"/>
      <c r="X67" s="106"/>
      <c r="Y67" s="104"/>
      <c r="Z67" s="104"/>
      <c r="AA67" s="104"/>
      <c r="AB67" s="104"/>
      <c r="AC67" s="104"/>
      <c r="AD67" s="104"/>
      <c r="AE67" s="104"/>
      <c r="AF67" s="104"/>
      <c r="AG67" s="104"/>
      <c r="AH67" s="104"/>
      <c r="AI67" s="104"/>
      <c r="AJ67" s="104"/>
      <c r="AK67" s="104"/>
      <c r="AL67" s="104"/>
      <c r="AM67" s="104"/>
      <c r="AN67" s="104"/>
      <c r="AO67" s="104"/>
      <c r="AP67" s="145"/>
      <c r="AQ67" s="146"/>
      <c r="AR67" s="104"/>
      <c r="AS67" s="104"/>
      <c r="AT67" s="104"/>
      <c r="AU67" s="104"/>
      <c r="AV67" s="104"/>
      <c r="AW67" s="104"/>
      <c r="AX67" s="104"/>
      <c r="AY67" s="104"/>
      <c r="AZ67" s="104"/>
      <c r="BA67" s="104"/>
      <c r="BB67" s="145"/>
      <c r="BC67" s="146"/>
      <c r="BD67" s="104"/>
      <c r="BE67" s="104"/>
      <c r="BF67" s="104"/>
      <c r="BG67" s="104"/>
      <c r="BH67" s="104"/>
      <c r="BI67" s="104"/>
      <c r="BJ67" s="104"/>
      <c r="BK67" s="104"/>
      <c r="BL67" s="104"/>
      <c r="BM67" s="104"/>
      <c r="BN67" s="145"/>
      <c r="BO67" s="148">
        <f t="shared" si="30"/>
        <v>0</v>
      </c>
      <c r="BP67" s="105"/>
      <c r="BQ67" s="105"/>
      <c r="BR67" s="105"/>
      <c r="BS67" s="71" t="e">
        <f t="shared" si="40"/>
        <v>#DIV/0!</v>
      </c>
      <c r="BT67" s="71" t="e">
        <f t="shared" si="41"/>
        <v>#DIV/0!</v>
      </c>
      <c r="BU67" s="71">
        <f t="shared" si="42"/>
        <v>0</v>
      </c>
      <c r="BV67" s="15">
        <f t="shared" si="34"/>
        <v>1</v>
      </c>
      <c r="BW67" s="15" t="str">
        <f t="shared" si="35"/>
        <v>тўғри</v>
      </c>
      <c r="BX67" s="71">
        <f t="shared" si="36"/>
        <v>0</v>
      </c>
      <c r="BY67" s="15">
        <f t="shared" si="37"/>
        <v>1</v>
      </c>
      <c r="BZ67" s="15" t="str">
        <f t="shared" si="38"/>
        <v>тўғри</v>
      </c>
    </row>
    <row r="68" spans="1:78" ht="14.25" customHeight="1" x14ac:dyDescent="0.25">
      <c r="A68" s="71">
        <v>2</v>
      </c>
      <c r="B68" s="104" t="s">
        <v>215</v>
      </c>
      <c r="C68" s="104"/>
      <c r="D68" s="149" t="s">
        <v>137</v>
      </c>
      <c r="E68" s="149"/>
      <c r="F68" s="149"/>
      <c r="G68" s="149"/>
      <c r="H68" s="149"/>
      <c r="I68" s="149"/>
      <c r="J68" s="149"/>
      <c r="K68" s="149"/>
      <c r="L68" s="149"/>
      <c r="M68" s="149"/>
      <c r="N68" s="149"/>
      <c r="O68" s="150"/>
      <c r="P68" s="144"/>
      <c r="Q68" s="106"/>
      <c r="R68" s="106"/>
      <c r="S68" s="131"/>
      <c r="T68" s="131"/>
      <c r="U68" s="151"/>
      <c r="V68" s="152"/>
      <c r="W68" s="106"/>
      <c r="X68" s="106"/>
      <c r="Y68" s="104"/>
      <c r="Z68" s="104"/>
      <c r="AA68" s="104"/>
      <c r="AB68" s="104"/>
      <c r="AC68" s="104"/>
      <c r="AD68" s="104"/>
      <c r="AE68" s="104"/>
      <c r="AF68" s="104"/>
      <c r="AG68" s="104"/>
      <c r="AH68" s="104"/>
      <c r="AI68" s="104"/>
      <c r="AJ68" s="104"/>
      <c r="AK68" s="104"/>
      <c r="AL68" s="104"/>
      <c r="AM68" s="104"/>
      <c r="AN68" s="104"/>
      <c r="AO68" s="104"/>
      <c r="AP68" s="145"/>
      <c r="AQ68" s="146"/>
      <c r="AR68" s="104"/>
      <c r="AS68" s="104"/>
      <c r="AT68" s="104"/>
      <c r="AU68" s="104"/>
      <c r="AV68" s="104"/>
      <c r="AW68" s="104"/>
      <c r="AX68" s="104"/>
      <c r="AY68" s="104"/>
      <c r="AZ68" s="104"/>
      <c r="BA68" s="104"/>
      <c r="BB68" s="145"/>
      <c r="BC68" s="146"/>
      <c r="BD68" s="104"/>
      <c r="BE68" s="104"/>
      <c r="BF68" s="104"/>
      <c r="BG68" s="104"/>
      <c r="BH68" s="104"/>
      <c r="BI68" s="104"/>
      <c r="BJ68" s="104"/>
      <c r="BK68" s="104"/>
      <c r="BL68" s="104"/>
      <c r="BM68" s="104"/>
      <c r="BN68" s="145"/>
      <c r="BO68" s="148">
        <f t="shared" si="30"/>
        <v>0</v>
      </c>
      <c r="BP68" s="105"/>
      <c r="BQ68" s="105"/>
      <c r="BR68" s="105"/>
      <c r="BS68" s="71" t="e">
        <f t="shared" si="40"/>
        <v>#DIV/0!</v>
      </c>
      <c r="BT68" s="71" t="e">
        <f t="shared" si="41"/>
        <v>#DIV/0!</v>
      </c>
      <c r="BU68" s="71">
        <f t="shared" si="42"/>
        <v>0</v>
      </c>
      <c r="BV68" s="15">
        <f t="shared" si="34"/>
        <v>1</v>
      </c>
      <c r="BW68" s="15" t="str">
        <f t="shared" si="35"/>
        <v>тўғри</v>
      </c>
      <c r="BX68" s="71">
        <f t="shared" si="36"/>
        <v>0</v>
      </c>
      <c r="BY68" s="15">
        <f t="shared" si="37"/>
        <v>1</v>
      </c>
      <c r="BZ68" s="15" t="str">
        <f t="shared" si="38"/>
        <v>тўғри</v>
      </c>
    </row>
    <row r="69" spans="1:78" ht="14.25" customHeight="1" x14ac:dyDescent="0.25">
      <c r="A69" s="85" t="s">
        <v>11</v>
      </c>
      <c r="B69" s="104"/>
      <c r="C69" s="104"/>
      <c r="D69" s="178" t="s">
        <v>130</v>
      </c>
      <c r="E69" s="178"/>
      <c r="F69" s="178"/>
      <c r="G69" s="178"/>
      <c r="H69" s="178"/>
      <c r="I69" s="178"/>
      <c r="J69" s="178"/>
      <c r="K69" s="178"/>
      <c r="L69" s="178"/>
      <c r="M69" s="178"/>
      <c r="N69" s="178"/>
      <c r="O69" s="179"/>
      <c r="P69" s="144">
        <f t="shared" ref="P69" si="43">SUM(V69+AN69)</f>
        <v>150</v>
      </c>
      <c r="Q69" s="106"/>
      <c r="R69" s="106"/>
      <c r="S69" s="131"/>
      <c r="T69" s="131"/>
      <c r="U69" s="151"/>
      <c r="V69" s="152">
        <f t="shared" ref="V69" si="44">SUM(AQ69+AT69+AW69+AZ69)*15</f>
        <v>60</v>
      </c>
      <c r="W69" s="106"/>
      <c r="X69" s="106"/>
      <c r="Y69" s="104"/>
      <c r="Z69" s="104"/>
      <c r="AA69" s="104"/>
      <c r="AB69" s="104">
        <v>60</v>
      </c>
      <c r="AC69" s="104"/>
      <c r="AD69" s="104"/>
      <c r="AE69" s="104"/>
      <c r="AF69" s="104"/>
      <c r="AG69" s="104"/>
      <c r="AH69" s="104"/>
      <c r="AI69" s="104"/>
      <c r="AJ69" s="104"/>
      <c r="AK69" s="106"/>
      <c r="AL69" s="106"/>
      <c r="AM69" s="106"/>
      <c r="AN69" s="104">
        <v>90</v>
      </c>
      <c r="AO69" s="104"/>
      <c r="AP69" s="145"/>
      <c r="AQ69" s="146">
        <v>2</v>
      </c>
      <c r="AR69" s="104"/>
      <c r="AS69" s="104"/>
      <c r="AT69" s="104">
        <v>2</v>
      </c>
      <c r="AU69" s="104"/>
      <c r="AV69" s="104"/>
      <c r="AW69" s="104"/>
      <c r="AX69" s="104"/>
      <c r="AY69" s="104"/>
      <c r="AZ69" s="104"/>
      <c r="BA69" s="104"/>
      <c r="BB69" s="145"/>
      <c r="BC69" s="146">
        <v>2</v>
      </c>
      <c r="BD69" s="104"/>
      <c r="BE69" s="104"/>
      <c r="BF69" s="104">
        <v>3</v>
      </c>
      <c r="BG69" s="104"/>
      <c r="BH69" s="104"/>
      <c r="BI69" s="104"/>
      <c r="BJ69" s="104"/>
      <c r="BK69" s="104"/>
      <c r="BL69" s="104"/>
      <c r="BM69" s="104"/>
      <c r="BN69" s="145"/>
      <c r="BO69" s="148">
        <f t="shared" si="30"/>
        <v>5</v>
      </c>
      <c r="BP69" s="105"/>
      <c r="BQ69" s="105"/>
      <c r="BR69" s="105"/>
      <c r="BS69" s="71">
        <f t="shared" si="40"/>
        <v>40</v>
      </c>
      <c r="BT69" s="71">
        <f t="shared" si="41"/>
        <v>60</v>
      </c>
      <c r="BU69" s="71">
        <f t="shared" si="42"/>
        <v>60</v>
      </c>
      <c r="BV69" s="15">
        <f t="shared" si="34"/>
        <v>1</v>
      </c>
      <c r="BW69" s="15" t="str">
        <f t="shared" si="35"/>
        <v>тўғри</v>
      </c>
      <c r="BX69" s="71">
        <f t="shared" si="36"/>
        <v>5</v>
      </c>
      <c r="BY69" s="15">
        <f t="shared" si="37"/>
        <v>1</v>
      </c>
      <c r="BZ69" s="15" t="str">
        <f t="shared" si="38"/>
        <v>тўғри</v>
      </c>
    </row>
    <row r="70" spans="1:78" ht="28.5" customHeight="1" x14ac:dyDescent="0.25">
      <c r="A70" s="71">
        <v>1</v>
      </c>
      <c r="B70" s="104" t="s">
        <v>216</v>
      </c>
      <c r="C70" s="104"/>
      <c r="D70" s="180" t="s">
        <v>138</v>
      </c>
      <c r="E70" s="180"/>
      <c r="F70" s="180"/>
      <c r="G70" s="180"/>
      <c r="H70" s="180"/>
      <c r="I70" s="180"/>
      <c r="J70" s="180"/>
      <c r="K70" s="180"/>
      <c r="L70" s="180"/>
      <c r="M70" s="180"/>
      <c r="N70" s="180"/>
      <c r="O70" s="181"/>
      <c r="P70" s="144"/>
      <c r="Q70" s="106"/>
      <c r="R70" s="106"/>
      <c r="S70" s="131"/>
      <c r="T70" s="131"/>
      <c r="U70" s="151"/>
      <c r="V70" s="152"/>
      <c r="W70" s="106"/>
      <c r="X70" s="106"/>
      <c r="Y70" s="104"/>
      <c r="Z70" s="104"/>
      <c r="AA70" s="104"/>
      <c r="AB70" s="104"/>
      <c r="AC70" s="104"/>
      <c r="AD70" s="104"/>
      <c r="AE70" s="104"/>
      <c r="AF70" s="104"/>
      <c r="AG70" s="104"/>
      <c r="AH70" s="104"/>
      <c r="AI70" s="104"/>
      <c r="AJ70" s="104"/>
      <c r="AK70" s="106"/>
      <c r="AL70" s="106"/>
      <c r="AM70" s="106"/>
      <c r="AN70" s="104"/>
      <c r="AO70" s="104"/>
      <c r="AP70" s="145"/>
      <c r="AQ70" s="146"/>
      <c r="AR70" s="104"/>
      <c r="AS70" s="104"/>
      <c r="AT70" s="104"/>
      <c r="AU70" s="104"/>
      <c r="AV70" s="104"/>
      <c r="AW70" s="104"/>
      <c r="AX70" s="104"/>
      <c r="AY70" s="104"/>
      <c r="AZ70" s="104"/>
      <c r="BA70" s="104"/>
      <c r="BB70" s="145"/>
      <c r="BC70" s="146"/>
      <c r="BD70" s="104"/>
      <c r="BE70" s="104"/>
      <c r="BF70" s="104"/>
      <c r="BG70" s="104"/>
      <c r="BH70" s="104"/>
      <c r="BI70" s="104"/>
      <c r="BJ70" s="104"/>
      <c r="BK70" s="104"/>
      <c r="BL70" s="104"/>
      <c r="BM70" s="104"/>
      <c r="BN70" s="145"/>
      <c r="BO70" s="148">
        <f t="shared" si="30"/>
        <v>0</v>
      </c>
      <c r="BP70" s="105"/>
      <c r="BQ70" s="105"/>
      <c r="BR70" s="105"/>
      <c r="BS70" s="71" t="e">
        <f t="shared" si="40"/>
        <v>#DIV/0!</v>
      </c>
      <c r="BT70" s="71" t="e">
        <f t="shared" si="41"/>
        <v>#DIV/0!</v>
      </c>
      <c r="BU70" s="71">
        <f t="shared" si="42"/>
        <v>0</v>
      </c>
      <c r="BV70" s="15">
        <f t="shared" si="34"/>
        <v>1</v>
      </c>
      <c r="BW70" s="15" t="str">
        <f t="shared" si="35"/>
        <v>тўғри</v>
      </c>
      <c r="BX70" s="71">
        <f t="shared" si="36"/>
        <v>0</v>
      </c>
      <c r="BY70" s="15">
        <f t="shared" si="37"/>
        <v>1</v>
      </c>
      <c r="BZ70" s="15" t="str">
        <f t="shared" si="38"/>
        <v>тўғри</v>
      </c>
    </row>
    <row r="71" spans="1:78" ht="14.25" customHeight="1" x14ac:dyDescent="0.25">
      <c r="A71" s="71">
        <v>2</v>
      </c>
      <c r="B71" s="104" t="s">
        <v>217</v>
      </c>
      <c r="C71" s="104"/>
      <c r="D71" s="149" t="s">
        <v>139</v>
      </c>
      <c r="E71" s="149"/>
      <c r="F71" s="149"/>
      <c r="G71" s="149"/>
      <c r="H71" s="149"/>
      <c r="I71" s="149"/>
      <c r="J71" s="149"/>
      <c r="K71" s="149"/>
      <c r="L71" s="149"/>
      <c r="M71" s="149"/>
      <c r="N71" s="149"/>
      <c r="O71" s="150"/>
      <c r="P71" s="144"/>
      <c r="Q71" s="106"/>
      <c r="R71" s="106"/>
      <c r="S71" s="131"/>
      <c r="T71" s="131"/>
      <c r="U71" s="151"/>
      <c r="V71" s="152"/>
      <c r="W71" s="106"/>
      <c r="X71" s="106"/>
      <c r="Y71" s="104"/>
      <c r="Z71" s="104"/>
      <c r="AA71" s="104"/>
      <c r="AB71" s="104"/>
      <c r="AC71" s="104"/>
      <c r="AD71" s="104"/>
      <c r="AE71" s="104"/>
      <c r="AF71" s="104"/>
      <c r="AG71" s="104"/>
      <c r="AH71" s="104"/>
      <c r="AI71" s="104"/>
      <c r="AJ71" s="104"/>
      <c r="AK71" s="106"/>
      <c r="AL71" s="106"/>
      <c r="AM71" s="106"/>
      <c r="AN71" s="104"/>
      <c r="AO71" s="104"/>
      <c r="AP71" s="145"/>
      <c r="AQ71" s="146"/>
      <c r="AR71" s="104"/>
      <c r="AS71" s="104"/>
      <c r="AT71" s="104"/>
      <c r="AU71" s="104"/>
      <c r="AV71" s="104"/>
      <c r="AW71" s="104"/>
      <c r="AX71" s="104"/>
      <c r="AY71" s="104"/>
      <c r="AZ71" s="104"/>
      <c r="BA71" s="104"/>
      <c r="BB71" s="145"/>
      <c r="BC71" s="146"/>
      <c r="BD71" s="104"/>
      <c r="BE71" s="104"/>
      <c r="BF71" s="104"/>
      <c r="BG71" s="104"/>
      <c r="BH71" s="104"/>
      <c r="BI71" s="104"/>
      <c r="BJ71" s="104"/>
      <c r="BK71" s="104"/>
      <c r="BL71" s="104"/>
      <c r="BM71" s="104"/>
      <c r="BN71" s="145"/>
      <c r="BO71" s="148">
        <f t="shared" si="30"/>
        <v>0</v>
      </c>
      <c r="BP71" s="105"/>
      <c r="BQ71" s="105"/>
      <c r="BR71" s="105"/>
      <c r="BS71" s="71" t="e">
        <f t="shared" si="40"/>
        <v>#DIV/0!</v>
      </c>
      <c r="BT71" s="71" t="e">
        <f t="shared" si="41"/>
        <v>#DIV/0!</v>
      </c>
      <c r="BU71" s="71">
        <f t="shared" si="42"/>
        <v>0</v>
      </c>
      <c r="BV71" s="15">
        <f t="shared" si="34"/>
        <v>1</v>
      </c>
      <c r="BW71" s="15" t="str">
        <f t="shared" si="35"/>
        <v>тўғри</v>
      </c>
      <c r="BX71" s="71">
        <f t="shared" si="36"/>
        <v>0</v>
      </c>
      <c r="BY71" s="15">
        <f t="shared" si="37"/>
        <v>1</v>
      </c>
      <c r="BZ71" s="15" t="str">
        <f t="shared" si="38"/>
        <v>тўғри</v>
      </c>
    </row>
    <row r="72" spans="1:78" ht="14.25" customHeight="1" x14ac:dyDescent="0.25">
      <c r="A72" s="85" t="s">
        <v>12</v>
      </c>
      <c r="B72" s="104"/>
      <c r="C72" s="104"/>
      <c r="D72" s="178" t="s">
        <v>131</v>
      </c>
      <c r="E72" s="178"/>
      <c r="F72" s="178"/>
      <c r="G72" s="178"/>
      <c r="H72" s="178"/>
      <c r="I72" s="178"/>
      <c r="J72" s="178"/>
      <c r="K72" s="178"/>
      <c r="L72" s="178"/>
      <c r="M72" s="178"/>
      <c r="N72" s="178"/>
      <c r="O72" s="179"/>
      <c r="P72" s="144">
        <f>SUM(V72+AN72)</f>
        <v>90</v>
      </c>
      <c r="Q72" s="106"/>
      <c r="R72" s="106"/>
      <c r="S72" s="131"/>
      <c r="T72" s="131"/>
      <c r="U72" s="151"/>
      <c r="V72" s="152">
        <f t="shared" ref="V72" si="45">SUM(AQ72+AT72+AW72+AZ72)*15</f>
        <v>30</v>
      </c>
      <c r="W72" s="106"/>
      <c r="X72" s="106"/>
      <c r="Y72" s="104">
        <v>10</v>
      </c>
      <c r="Z72" s="104"/>
      <c r="AA72" s="104"/>
      <c r="AB72" s="104">
        <v>10</v>
      </c>
      <c r="AC72" s="104"/>
      <c r="AD72" s="104"/>
      <c r="AE72" s="104"/>
      <c r="AF72" s="104"/>
      <c r="AG72" s="104"/>
      <c r="AH72" s="104">
        <v>10</v>
      </c>
      <c r="AI72" s="104"/>
      <c r="AJ72" s="104"/>
      <c r="AK72" s="106"/>
      <c r="AL72" s="106"/>
      <c r="AM72" s="106"/>
      <c r="AN72" s="104">
        <v>60</v>
      </c>
      <c r="AO72" s="104"/>
      <c r="AP72" s="145"/>
      <c r="AQ72" s="146"/>
      <c r="AR72" s="104"/>
      <c r="AS72" s="104"/>
      <c r="AT72" s="104"/>
      <c r="AU72" s="104"/>
      <c r="AV72" s="104"/>
      <c r="AW72" s="104">
        <v>2</v>
      </c>
      <c r="AX72" s="104"/>
      <c r="AY72" s="104"/>
      <c r="AZ72" s="104"/>
      <c r="BA72" s="104"/>
      <c r="BB72" s="145"/>
      <c r="BC72" s="146"/>
      <c r="BD72" s="104"/>
      <c r="BE72" s="104"/>
      <c r="BF72" s="104"/>
      <c r="BG72" s="104"/>
      <c r="BH72" s="104"/>
      <c r="BI72" s="104">
        <v>3</v>
      </c>
      <c r="BJ72" s="104"/>
      <c r="BK72" s="104"/>
      <c r="BL72" s="104"/>
      <c r="BM72" s="104"/>
      <c r="BN72" s="145"/>
      <c r="BO72" s="148">
        <f t="shared" si="30"/>
        <v>3</v>
      </c>
      <c r="BP72" s="105"/>
      <c r="BQ72" s="105"/>
      <c r="BR72" s="105"/>
      <c r="BS72" s="71">
        <f t="shared" si="40"/>
        <v>33.333333333333329</v>
      </c>
      <c r="BT72" s="71">
        <f t="shared" si="41"/>
        <v>66.666666666666657</v>
      </c>
      <c r="BU72" s="71">
        <f t="shared" si="42"/>
        <v>30</v>
      </c>
      <c r="BV72" s="15">
        <f t="shared" si="34"/>
        <v>1</v>
      </c>
      <c r="BW72" s="15" t="str">
        <f t="shared" si="35"/>
        <v>тўғри</v>
      </c>
      <c r="BX72" s="71">
        <f t="shared" si="36"/>
        <v>3</v>
      </c>
      <c r="BY72" s="15">
        <f t="shared" si="37"/>
        <v>1</v>
      </c>
      <c r="BZ72" s="15" t="str">
        <f t="shared" si="38"/>
        <v>тўғри</v>
      </c>
    </row>
    <row r="73" spans="1:78" ht="14.25" customHeight="1" x14ac:dyDescent="0.25">
      <c r="A73" s="71">
        <v>1</v>
      </c>
      <c r="B73" s="104" t="s">
        <v>32</v>
      </c>
      <c r="C73" s="104"/>
      <c r="D73" s="149" t="s">
        <v>247</v>
      </c>
      <c r="E73" s="149"/>
      <c r="F73" s="149"/>
      <c r="G73" s="149"/>
      <c r="H73" s="149"/>
      <c r="I73" s="149"/>
      <c r="J73" s="149"/>
      <c r="K73" s="149"/>
      <c r="L73" s="149"/>
      <c r="M73" s="149"/>
      <c r="N73" s="149"/>
      <c r="O73" s="150"/>
      <c r="P73" s="144"/>
      <c r="Q73" s="106"/>
      <c r="R73" s="106"/>
      <c r="S73" s="131"/>
      <c r="T73" s="131"/>
      <c r="U73" s="151"/>
      <c r="V73" s="152"/>
      <c r="W73" s="106"/>
      <c r="X73" s="106"/>
      <c r="Y73" s="104"/>
      <c r="Z73" s="104"/>
      <c r="AA73" s="104"/>
      <c r="AB73" s="104"/>
      <c r="AC73" s="104"/>
      <c r="AD73" s="104"/>
      <c r="AE73" s="104"/>
      <c r="AF73" s="104"/>
      <c r="AG73" s="104"/>
      <c r="AH73" s="104"/>
      <c r="AI73" s="104"/>
      <c r="AJ73" s="104"/>
      <c r="AK73" s="106"/>
      <c r="AL73" s="106"/>
      <c r="AM73" s="106"/>
      <c r="AN73" s="104"/>
      <c r="AO73" s="104"/>
      <c r="AP73" s="145"/>
      <c r="AQ73" s="146"/>
      <c r="AR73" s="104"/>
      <c r="AS73" s="104"/>
      <c r="AT73" s="104"/>
      <c r="AU73" s="104"/>
      <c r="AV73" s="104"/>
      <c r="AW73" s="104"/>
      <c r="AX73" s="104"/>
      <c r="AY73" s="104"/>
      <c r="AZ73" s="104"/>
      <c r="BA73" s="104"/>
      <c r="BB73" s="145"/>
      <c r="BC73" s="146"/>
      <c r="BD73" s="104"/>
      <c r="BE73" s="104"/>
      <c r="BF73" s="104"/>
      <c r="BG73" s="104"/>
      <c r="BH73" s="104"/>
      <c r="BI73" s="104"/>
      <c r="BJ73" s="104"/>
      <c r="BK73" s="104"/>
      <c r="BL73" s="104"/>
      <c r="BM73" s="104"/>
      <c r="BN73" s="145"/>
      <c r="BO73" s="148">
        <f t="shared" si="30"/>
        <v>0</v>
      </c>
      <c r="BP73" s="105"/>
      <c r="BQ73" s="105"/>
      <c r="BR73" s="105"/>
      <c r="BS73" s="71" t="e">
        <f t="shared" si="40"/>
        <v>#DIV/0!</v>
      </c>
      <c r="BT73" s="71" t="e">
        <f t="shared" si="41"/>
        <v>#DIV/0!</v>
      </c>
      <c r="BU73" s="71">
        <f t="shared" si="42"/>
        <v>0</v>
      </c>
      <c r="BV73" s="15">
        <f t="shared" si="34"/>
        <v>1</v>
      </c>
      <c r="BW73" s="15" t="str">
        <f t="shared" si="35"/>
        <v>тўғри</v>
      </c>
      <c r="BX73" s="71">
        <f t="shared" si="36"/>
        <v>0</v>
      </c>
      <c r="BY73" s="15">
        <f t="shared" si="37"/>
        <v>1</v>
      </c>
      <c r="BZ73" s="15" t="str">
        <f t="shared" si="38"/>
        <v>тўғри</v>
      </c>
    </row>
    <row r="74" spans="1:78" ht="14.25" customHeight="1" x14ac:dyDescent="0.25">
      <c r="A74" s="71">
        <v>2</v>
      </c>
      <c r="B74" s="104" t="s">
        <v>33</v>
      </c>
      <c r="C74" s="104"/>
      <c r="D74" s="149" t="s">
        <v>140</v>
      </c>
      <c r="E74" s="149"/>
      <c r="F74" s="149"/>
      <c r="G74" s="149"/>
      <c r="H74" s="149"/>
      <c r="I74" s="149"/>
      <c r="J74" s="149"/>
      <c r="K74" s="149"/>
      <c r="L74" s="149"/>
      <c r="M74" s="149"/>
      <c r="N74" s="149"/>
      <c r="O74" s="150"/>
      <c r="P74" s="144"/>
      <c r="Q74" s="106"/>
      <c r="R74" s="106"/>
      <c r="S74" s="131"/>
      <c r="T74" s="131"/>
      <c r="U74" s="151"/>
      <c r="V74" s="152"/>
      <c r="W74" s="106"/>
      <c r="X74" s="106"/>
      <c r="Y74" s="104"/>
      <c r="Z74" s="104"/>
      <c r="AA74" s="104"/>
      <c r="AB74" s="104"/>
      <c r="AC74" s="104"/>
      <c r="AD74" s="104"/>
      <c r="AE74" s="104"/>
      <c r="AF74" s="104"/>
      <c r="AG74" s="104"/>
      <c r="AH74" s="104"/>
      <c r="AI74" s="104"/>
      <c r="AJ74" s="104"/>
      <c r="AK74" s="106"/>
      <c r="AL74" s="106"/>
      <c r="AM74" s="106"/>
      <c r="AN74" s="104"/>
      <c r="AO74" s="104"/>
      <c r="AP74" s="145"/>
      <c r="AQ74" s="146"/>
      <c r="AR74" s="104"/>
      <c r="AS74" s="104"/>
      <c r="AT74" s="104"/>
      <c r="AU74" s="104"/>
      <c r="AV74" s="104"/>
      <c r="AW74" s="104"/>
      <c r="AX74" s="104"/>
      <c r="AY74" s="104"/>
      <c r="AZ74" s="104"/>
      <c r="BA74" s="104"/>
      <c r="BB74" s="145"/>
      <c r="BC74" s="146"/>
      <c r="BD74" s="104"/>
      <c r="BE74" s="104"/>
      <c r="BF74" s="104"/>
      <c r="BG74" s="104"/>
      <c r="BH74" s="104"/>
      <c r="BI74" s="104"/>
      <c r="BJ74" s="104"/>
      <c r="BK74" s="104"/>
      <c r="BL74" s="104"/>
      <c r="BM74" s="104"/>
      <c r="BN74" s="145"/>
      <c r="BO74" s="148">
        <f t="shared" si="30"/>
        <v>0</v>
      </c>
      <c r="BP74" s="105"/>
      <c r="BQ74" s="105"/>
      <c r="BR74" s="105"/>
      <c r="BS74" s="71" t="e">
        <f t="shared" si="40"/>
        <v>#DIV/0!</v>
      </c>
      <c r="BT74" s="71" t="e">
        <f t="shared" si="41"/>
        <v>#DIV/0!</v>
      </c>
      <c r="BU74" s="71">
        <f t="shared" si="42"/>
        <v>0</v>
      </c>
      <c r="BV74" s="15">
        <f t="shared" si="34"/>
        <v>1</v>
      </c>
      <c r="BW74" s="15" t="str">
        <f t="shared" si="35"/>
        <v>тўғри</v>
      </c>
      <c r="BX74" s="71">
        <f t="shared" si="36"/>
        <v>0</v>
      </c>
      <c r="BY74" s="15">
        <f t="shared" si="37"/>
        <v>1</v>
      </c>
      <c r="BZ74" s="15" t="str">
        <f t="shared" si="38"/>
        <v>тўғри</v>
      </c>
    </row>
    <row r="75" spans="1:78" ht="14.25" customHeight="1" x14ac:dyDescent="0.25">
      <c r="A75" s="71"/>
      <c r="B75" s="104"/>
      <c r="C75" s="104"/>
      <c r="D75" s="184" t="s">
        <v>133</v>
      </c>
      <c r="E75" s="184"/>
      <c r="F75" s="184"/>
      <c r="G75" s="184"/>
      <c r="H75" s="184"/>
      <c r="I75" s="184"/>
      <c r="J75" s="184"/>
      <c r="K75" s="184"/>
      <c r="L75" s="184"/>
      <c r="M75" s="184"/>
      <c r="N75" s="184"/>
      <c r="O75" s="185"/>
      <c r="P75" s="144">
        <f>SUM(V75+AN75)</f>
        <v>1800</v>
      </c>
      <c r="Q75" s="106"/>
      <c r="R75" s="106"/>
      <c r="S75" s="131">
        <f>P75/3600*100</f>
        <v>50</v>
      </c>
      <c r="T75" s="131"/>
      <c r="U75" s="151"/>
      <c r="V75" s="152">
        <f t="shared" ref="V75" si="46">SUM(AQ75+AT75+AW75+AZ75)*15</f>
        <v>690</v>
      </c>
      <c r="W75" s="106"/>
      <c r="X75" s="106"/>
      <c r="Y75" s="106">
        <f>SUM(Y65+Y57)</f>
        <v>106</v>
      </c>
      <c r="Z75" s="106"/>
      <c r="AA75" s="106"/>
      <c r="AB75" s="106">
        <f>SUM(AB65+AB57)</f>
        <v>272</v>
      </c>
      <c r="AC75" s="106"/>
      <c r="AD75" s="106"/>
      <c r="AE75" s="106">
        <f>SUM(AE65+AE57)</f>
        <v>270</v>
      </c>
      <c r="AF75" s="106"/>
      <c r="AG75" s="106"/>
      <c r="AH75" s="106">
        <f>SUM(AH65+AH57)</f>
        <v>42</v>
      </c>
      <c r="AI75" s="106"/>
      <c r="AJ75" s="106"/>
      <c r="AK75" s="106"/>
      <c r="AL75" s="106"/>
      <c r="AM75" s="106"/>
      <c r="AN75" s="106">
        <f>SUM(AN65+AN57)</f>
        <v>1110</v>
      </c>
      <c r="AO75" s="106"/>
      <c r="AP75" s="147"/>
      <c r="AQ75" s="144">
        <f>SUM(AQ65+AQ57)</f>
        <v>18</v>
      </c>
      <c r="AR75" s="106"/>
      <c r="AS75" s="106"/>
      <c r="AT75" s="106">
        <f>SUM(AT65+AT57)</f>
        <v>10</v>
      </c>
      <c r="AU75" s="106"/>
      <c r="AV75" s="106"/>
      <c r="AW75" s="106">
        <f>SUM(AW65+AW57)</f>
        <v>12</v>
      </c>
      <c r="AX75" s="106"/>
      <c r="AY75" s="106"/>
      <c r="AZ75" s="106">
        <f>SUM(AZ65+AZ57)</f>
        <v>6</v>
      </c>
      <c r="BA75" s="106"/>
      <c r="BB75" s="147"/>
      <c r="BC75" s="144">
        <f>SUM(BC65+BC57)</f>
        <v>24</v>
      </c>
      <c r="BD75" s="106"/>
      <c r="BE75" s="106"/>
      <c r="BF75" s="106">
        <f>SUM(BF65+BF57)</f>
        <v>13</v>
      </c>
      <c r="BG75" s="106"/>
      <c r="BH75" s="106"/>
      <c r="BI75" s="106">
        <f>SUM(BI65+BI57)</f>
        <v>15</v>
      </c>
      <c r="BJ75" s="106"/>
      <c r="BK75" s="106"/>
      <c r="BL75" s="106">
        <f>SUM(BL65+BL57)</f>
        <v>8</v>
      </c>
      <c r="BM75" s="106"/>
      <c r="BN75" s="147"/>
      <c r="BO75" s="148">
        <f>SUM(P75/30)</f>
        <v>60</v>
      </c>
      <c r="BP75" s="105"/>
      <c r="BQ75" s="105"/>
      <c r="BR75" s="105"/>
      <c r="BS75" s="71">
        <f>SUM(V75/P75)*100</f>
        <v>38.333333333333336</v>
      </c>
      <c r="BT75" s="71">
        <f t="shared" si="32"/>
        <v>61.666666666666671</v>
      </c>
      <c r="BU75" s="71">
        <f t="shared" si="33"/>
        <v>690</v>
      </c>
      <c r="BV75" s="15">
        <f t="shared" si="34"/>
        <v>1</v>
      </c>
      <c r="BW75" s="15" t="str">
        <f t="shared" si="35"/>
        <v>тўғри</v>
      </c>
      <c r="BX75" s="71">
        <f t="shared" si="36"/>
        <v>60</v>
      </c>
      <c r="BY75" s="15">
        <f t="shared" si="37"/>
        <v>1</v>
      </c>
      <c r="BZ75" s="15" t="str">
        <f>IF(BY75=1,"тўғри","хато")</f>
        <v>тўғри</v>
      </c>
    </row>
    <row r="76" spans="1:78" ht="14.25" customHeight="1" x14ac:dyDescent="0.25">
      <c r="A76" s="72" t="s">
        <v>49</v>
      </c>
      <c r="B76" s="104"/>
      <c r="C76" s="104"/>
      <c r="D76" s="182" t="s">
        <v>132</v>
      </c>
      <c r="E76" s="182"/>
      <c r="F76" s="182"/>
      <c r="G76" s="182"/>
      <c r="H76" s="182"/>
      <c r="I76" s="182"/>
      <c r="J76" s="182"/>
      <c r="K76" s="182"/>
      <c r="L76" s="182"/>
      <c r="M76" s="182"/>
      <c r="N76" s="182"/>
      <c r="O76" s="183"/>
      <c r="P76" s="144">
        <f>SUM(V76+AN76)</f>
        <v>1800</v>
      </c>
      <c r="Q76" s="106"/>
      <c r="R76" s="106"/>
      <c r="S76" s="131">
        <f>P76/3600*100</f>
        <v>50</v>
      </c>
      <c r="T76" s="131"/>
      <c r="U76" s="151"/>
      <c r="V76" s="152">
        <f>SUM(V77:X79)</f>
        <v>750</v>
      </c>
      <c r="W76" s="106"/>
      <c r="X76" s="106"/>
      <c r="Y76" s="106"/>
      <c r="Z76" s="106"/>
      <c r="AA76" s="106"/>
      <c r="AB76" s="106"/>
      <c r="AC76" s="106"/>
      <c r="AD76" s="106"/>
      <c r="AE76" s="106"/>
      <c r="AF76" s="106"/>
      <c r="AG76" s="106"/>
      <c r="AH76" s="106"/>
      <c r="AI76" s="106"/>
      <c r="AJ76" s="106"/>
      <c r="AK76" s="106"/>
      <c r="AL76" s="106"/>
      <c r="AM76" s="106"/>
      <c r="AN76" s="106">
        <f>SUM(AN77:AP79)</f>
        <v>1050</v>
      </c>
      <c r="AO76" s="106"/>
      <c r="AP76" s="147"/>
      <c r="AQ76" s="144">
        <f>SUM(AQ77:AS79)</f>
        <v>6</v>
      </c>
      <c r="AR76" s="106"/>
      <c r="AS76" s="106"/>
      <c r="AT76" s="106">
        <f>SUM(AT77:AV79)</f>
        <v>14</v>
      </c>
      <c r="AU76" s="106"/>
      <c r="AV76" s="106"/>
      <c r="AW76" s="106">
        <f>SUM(AW77:AY79)</f>
        <v>12</v>
      </c>
      <c r="AX76" s="106"/>
      <c r="AY76" s="106"/>
      <c r="AZ76" s="106">
        <f>SUM(AZ77:BB79)</f>
        <v>18</v>
      </c>
      <c r="BA76" s="106"/>
      <c r="BB76" s="147"/>
      <c r="BC76" s="144">
        <f>SUM(BC77:BE79)</f>
        <v>6</v>
      </c>
      <c r="BD76" s="106"/>
      <c r="BE76" s="106"/>
      <c r="BF76" s="106">
        <f>SUM(BF77:BH79)</f>
        <v>17</v>
      </c>
      <c r="BG76" s="106"/>
      <c r="BH76" s="106"/>
      <c r="BI76" s="106">
        <f>SUM(BI77:BK79)</f>
        <v>15</v>
      </c>
      <c r="BJ76" s="106"/>
      <c r="BK76" s="106"/>
      <c r="BL76" s="106">
        <f>SUM(BL77:BN79)</f>
        <v>22</v>
      </c>
      <c r="BM76" s="106"/>
      <c r="BN76" s="147"/>
      <c r="BO76" s="148">
        <f>SUM(P76/30)</f>
        <v>60</v>
      </c>
      <c r="BP76" s="105"/>
      <c r="BQ76" s="105"/>
      <c r="BR76" s="105"/>
      <c r="BS76" s="71">
        <f>SUM(V76/P76)*100</f>
        <v>41.666666666666671</v>
      </c>
      <c r="BT76" s="71">
        <f t="shared" si="32"/>
        <v>58.333333333333336</v>
      </c>
      <c r="BU76" s="71"/>
      <c r="BV76" s="15"/>
      <c r="BW76" s="15"/>
      <c r="BX76" s="71">
        <f>SUM(BC76:BN76)</f>
        <v>60</v>
      </c>
      <c r="BY76" s="15">
        <f t="shared" si="37"/>
        <v>1</v>
      </c>
      <c r="BZ76" s="15" t="str">
        <f t="shared" ref="BZ76:BZ78" si="47">IF(BY76=1,"тўғри","хато")</f>
        <v>тўғри</v>
      </c>
    </row>
    <row r="77" spans="1:78" ht="28.5" customHeight="1" x14ac:dyDescent="0.25">
      <c r="A77" s="14" t="s">
        <v>50</v>
      </c>
      <c r="B77" s="104"/>
      <c r="C77" s="104"/>
      <c r="D77" s="180" t="s">
        <v>99</v>
      </c>
      <c r="E77" s="180"/>
      <c r="F77" s="180"/>
      <c r="G77" s="180"/>
      <c r="H77" s="180"/>
      <c r="I77" s="180"/>
      <c r="J77" s="180"/>
      <c r="K77" s="180"/>
      <c r="L77" s="180"/>
      <c r="M77" s="180"/>
      <c r="N77" s="180"/>
      <c r="O77" s="181"/>
      <c r="P77" s="144">
        <f>SUM(V77+AN77)</f>
        <v>1080</v>
      </c>
      <c r="Q77" s="106"/>
      <c r="R77" s="106"/>
      <c r="S77" s="106"/>
      <c r="T77" s="106"/>
      <c r="U77" s="147"/>
      <c r="V77" s="152">
        <f t="shared" ref="V77:V79" si="48">SUM(AQ77+AT77+AW77+AZ77)*15</f>
        <v>480</v>
      </c>
      <c r="W77" s="106"/>
      <c r="X77" s="106"/>
      <c r="Y77" s="106"/>
      <c r="Z77" s="106"/>
      <c r="AA77" s="106"/>
      <c r="AB77" s="106"/>
      <c r="AC77" s="106"/>
      <c r="AD77" s="106"/>
      <c r="AE77" s="106"/>
      <c r="AF77" s="106"/>
      <c r="AG77" s="106"/>
      <c r="AH77" s="106"/>
      <c r="AI77" s="106"/>
      <c r="AJ77" s="106"/>
      <c r="AK77" s="106"/>
      <c r="AL77" s="106"/>
      <c r="AM77" s="106"/>
      <c r="AN77" s="104">
        <v>600</v>
      </c>
      <c r="AO77" s="104"/>
      <c r="AP77" s="145"/>
      <c r="AQ77" s="146">
        <v>4</v>
      </c>
      <c r="AR77" s="104"/>
      <c r="AS77" s="104"/>
      <c r="AT77" s="104">
        <v>6</v>
      </c>
      <c r="AU77" s="104"/>
      <c r="AV77" s="104"/>
      <c r="AW77" s="104">
        <v>10</v>
      </c>
      <c r="AX77" s="104"/>
      <c r="AY77" s="104"/>
      <c r="AZ77" s="104">
        <v>12</v>
      </c>
      <c r="BA77" s="104"/>
      <c r="BB77" s="145"/>
      <c r="BC77" s="146">
        <v>4</v>
      </c>
      <c r="BD77" s="104"/>
      <c r="BE77" s="104"/>
      <c r="BF77" s="104">
        <v>6</v>
      </c>
      <c r="BG77" s="104"/>
      <c r="BH77" s="104"/>
      <c r="BI77" s="104">
        <v>12</v>
      </c>
      <c r="BJ77" s="104"/>
      <c r="BK77" s="104"/>
      <c r="BL77" s="104">
        <v>14</v>
      </c>
      <c r="BM77" s="104"/>
      <c r="BN77" s="145"/>
      <c r="BO77" s="148">
        <f t="shared" ref="BO77:BO79" si="49">SUM(P77/30)</f>
        <v>36</v>
      </c>
      <c r="BP77" s="105"/>
      <c r="BQ77" s="105"/>
      <c r="BR77" s="105"/>
      <c r="BS77" s="71">
        <f t="shared" ref="BS77:BS79" si="50">SUM(V77/P77)*100</f>
        <v>44.444444444444443</v>
      </c>
      <c r="BT77" s="71">
        <f t="shared" ref="BT77:BT79" si="51">SUM(AN77/P77)*100</f>
        <v>55.555555555555557</v>
      </c>
      <c r="BU77" s="71"/>
      <c r="BV77" s="15"/>
      <c r="BW77" s="15" t="str">
        <f>IF(BV77=1,"тўғри","хато")</f>
        <v>хато</v>
      </c>
      <c r="BX77" s="71">
        <f>SUM(BC77:BN77)</f>
        <v>36</v>
      </c>
      <c r="BY77" s="15">
        <f t="shared" si="37"/>
        <v>1</v>
      </c>
      <c r="BZ77" s="15" t="str">
        <f t="shared" si="47"/>
        <v>тўғри</v>
      </c>
    </row>
    <row r="78" spans="1:78" ht="14.25" customHeight="1" x14ac:dyDescent="0.25">
      <c r="A78" s="14" t="s">
        <v>51</v>
      </c>
      <c r="B78" s="104"/>
      <c r="C78" s="104"/>
      <c r="D78" s="149" t="s">
        <v>134</v>
      </c>
      <c r="E78" s="149"/>
      <c r="F78" s="149"/>
      <c r="G78" s="149"/>
      <c r="H78" s="149"/>
      <c r="I78" s="149"/>
      <c r="J78" s="149"/>
      <c r="K78" s="149"/>
      <c r="L78" s="149"/>
      <c r="M78" s="149"/>
      <c r="N78" s="149"/>
      <c r="O78" s="150"/>
      <c r="P78" s="144">
        <f t="shared" ref="P78:P79" si="52">SUM(V78+AN78)</f>
        <v>240</v>
      </c>
      <c r="Q78" s="106"/>
      <c r="R78" s="106"/>
      <c r="S78" s="106"/>
      <c r="T78" s="106"/>
      <c r="U78" s="147"/>
      <c r="V78" s="152">
        <f t="shared" si="48"/>
        <v>90</v>
      </c>
      <c r="W78" s="106"/>
      <c r="X78" s="106"/>
      <c r="Y78" s="106"/>
      <c r="Z78" s="106"/>
      <c r="AA78" s="106"/>
      <c r="AB78" s="106"/>
      <c r="AC78" s="106"/>
      <c r="AD78" s="106"/>
      <c r="AE78" s="106"/>
      <c r="AF78" s="106"/>
      <c r="AG78" s="106"/>
      <c r="AH78" s="106"/>
      <c r="AI78" s="106"/>
      <c r="AJ78" s="106"/>
      <c r="AK78" s="106"/>
      <c r="AL78" s="106"/>
      <c r="AM78" s="106"/>
      <c r="AN78" s="104">
        <v>150</v>
      </c>
      <c r="AO78" s="104"/>
      <c r="AP78" s="145"/>
      <c r="AQ78" s="146">
        <v>2</v>
      </c>
      <c r="AR78" s="104"/>
      <c r="AS78" s="104"/>
      <c r="AT78" s="104">
        <v>2</v>
      </c>
      <c r="AU78" s="104"/>
      <c r="AV78" s="104"/>
      <c r="AW78" s="104">
        <v>2</v>
      </c>
      <c r="AX78" s="104"/>
      <c r="AY78" s="104"/>
      <c r="AZ78" s="104"/>
      <c r="BA78" s="104"/>
      <c r="BB78" s="145"/>
      <c r="BC78" s="146">
        <v>2</v>
      </c>
      <c r="BD78" s="104"/>
      <c r="BE78" s="104"/>
      <c r="BF78" s="104">
        <v>3</v>
      </c>
      <c r="BG78" s="104"/>
      <c r="BH78" s="104"/>
      <c r="BI78" s="104">
        <v>3</v>
      </c>
      <c r="BJ78" s="104"/>
      <c r="BK78" s="104"/>
      <c r="BL78" s="104"/>
      <c r="BM78" s="104"/>
      <c r="BN78" s="145"/>
      <c r="BO78" s="148">
        <f t="shared" si="49"/>
        <v>8</v>
      </c>
      <c r="BP78" s="105"/>
      <c r="BQ78" s="105"/>
      <c r="BR78" s="105"/>
      <c r="BS78" s="71">
        <f t="shared" si="50"/>
        <v>37.5</v>
      </c>
      <c r="BT78" s="71">
        <f t="shared" si="51"/>
        <v>62.5</v>
      </c>
      <c r="BU78" s="71"/>
      <c r="BV78" s="15"/>
      <c r="BW78" s="15" t="str">
        <f t="shared" ref="BW78:BW79" si="53">IF(BV78=1,"тўғри","хато")</f>
        <v>хато</v>
      </c>
      <c r="BX78" s="71">
        <f t="shared" ref="BX78:BX79" si="54">SUM(BC78:BN78)</f>
        <v>8</v>
      </c>
      <c r="BY78" s="15">
        <f t="shared" si="37"/>
        <v>1</v>
      </c>
      <c r="BZ78" s="15" t="str">
        <f t="shared" si="47"/>
        <v>тўғри</v>
      </c>
    </row>
    <row r="79" spans="1:78" ht="14.25" customHeight="1" x14ac:dyDescent="0.25">
      <c r="A79" s="14" t="s">
        <v>52</v>
      </c>
      <c r="B79" s="104"/>
      <c r="C79" s="104"/>
      <c r="D79" s="149" t="s">
        <v>135</v>
      </c>
      <c r="E79" s="149"/>
      <c r="F79" s="149"/>
      <c r="G79" s="149"/>
      <c r="H79" s="149"/>
      <c r="I79" s="149"/>
      <c r="J79" s="149"/>
      <c r="K79" s="149"/>
      <c r="L79" s="149"/>
      <c r="M79" s="149"/>
      <c r="N79" s="149"/>
      <c r="O79" s="150"/>
      <c r="P79" s="144">
        <f t="shared" si="52"/>
        <v>480</v>
      </c>
      <c r="Q79" s="106"/>
      <c r="R79" s="106"/>
      <c r="S79" s="106"/>
      <c r="T79" s="106"/>
      <c r="U79" s="147"/>
      <c r="V79" s="152">
        <f t="shared" si="48"/>
        <v>180</v>
      </c>
      <c r="W79" s="106"/>
      <c r="X79" s="106"/>
      <c r="Y79" s="106"/>
      <c r="Z79" s="106"/>
      <c r="AA79" s="106"/>
      <c r="AB79" s="106"/>
      <c r="AC79" s="106"/>
      <c r="AD79" s="106"/>
      <c r="AE79" s="106"/>
      <c r="AF79" s="106"/>
      <c r="AG79" s="106"/>
      <c r="AH79" s="106"/>
      <c r="AI79" s="106"/>
      <c r="AJ79" s="106"/>
      <c r="AK79" s="106"/>
      <c r="AL79" s="106"/>
      <c r="AM79" s="106"/>
      <c r="AN79" s="104">
        <v>300</v>
      </c>
      <c r="AO79" s="104"/>
      <c r="AP79" s="145"/>
      <c r="AQ79" s="146"/>
      <c r="AR79" s="104"/>
      <c r="AS79" s="104"/>
      <c r="AT79" s="104">
        <v>6</v>
      </c>
      <c r="AU79" s="104"/>
      <c r="AV79" s="104"/>
      <c r="AW79" s="104"/>
      <c r="AX79" s="104"/>
      <c r="AY79" s="104"/>
      <c r="AZ79" s="104">
        <v>6</v>
      </c>
      <c r="BA79" s="104"/>
      <c r="BB79" s="145"/>
      <c r="BC79" s="146"/>
      <c r="BD79" s="104"/>
      <c r="BE79" s="104"/>
      <c r="BF79" s="104">
        <v>8</v>
      </c>
      <c r="BG79" s="104"/>
      <c r="BH79" s="104"/>
      <c r="BI79" s="104"/>
      <c r="BJ79" s="104"/>
      <c r="BK79" s="104"/>
      <c r="BL79" s="104">
        <v>8</v>
      </c>
      <c r="BM79" s="104"/>
      <c r="BN79" s="145"/>
      <c r="BO79" s="148">
        <f t="shared" si="49"/>
        <v>16</v>
      </c>
      <c r="BP79" s="105"/>
      <c r="BQ79" s="105"/>
      <c r="BR79" s="105"/>
      <c r="BS79" s="71">
        <f t="shared" si="50"/>
        <v>37.5</v>
      </c>
      <c r="BT79" s="71">
        <f t="shared" si="51"/>
        <v>62.5</v>
      </c>
      <c r="BU79" s="71"/>
      <c r="BV79" s="15"/>
      <c r="BW79" s="15" t="str">
        <f t="shared" si="53"/>
        <v>хато</v>
      </c>
      <c r="BX79" s="71">
        <f t="shared" si="54"/>
        <v>16</v>
      </c>
      <c r="BY79" s="15">
        <f t="shared" si="37"/>
        <v>1</v>
      </c>
      <c r="BZ79" s="15" t="str">
        <f>IF(BY79=1,"тўғри","хато")</f>
        <v>тўғри</v>
      </c>
    </row>
    <row r="80" spans="1:78" ht="14.25" customHeight="1" x14ac:dyDescent="0.25">
      <c r="A80" s="71"/>
      <c r="B80" s="130"/>
      <c r="C80" s="130"/>
      <c r="D80" s="184" t="s">
        <v>133</v>
      </c>
      <c r="E80" s="184"/>
      <c r="F80" s="184"/>
      <c r="G80" s="184"/>
      <c r="H80" s="184"/>
      <c r="I80" s="184"/>
      <c r="J80" s="184"/>
      <c r="K80" s="184"/>
      <c r="L80" s="184"/>
      <c r="M80" s="184"/>
      <c r="N80" s="184"/>
      <c r="O80" s="185"/>
      <c r="P80" s="144">
        <f>SUM(P76,P75)</f>
        <v>3600</v>
      </c>
      <c r="Q80" s="106"/>
      <c r="R80" s="106"/>
      <c r="S80" s="131">
        <f>P80/3600*100</f>
        <v>100</v>
      </c>
      <c r="T80" s="131"/>
      <c r="U80" s="151"/>
      <c r="V80" s="152">
        <f>SUM(V76+V74)</f>
        <v>750</v>
      </c>
      <c r="W80" s="106"/>
      <c r="X80" s="106"/>
      <c r="Y80" s="106"/>
      <c r="Z80" s="106"/>
      <c r="AA80" s="106"/>
      <c r="AB80" s="106"/>
      <c r="AC80" s="106"/>
      <c r="AD80" s="106"/>
      <c r="AE80" s="106"/>
      <c r="AF80" s="106"/>
      <c r="AG80" s="106"/>
      <c r="AH80" s="106"/>
      <c r="AI80" s="106"/>
      <c r="AJ80" s="106"/>
      <c r="AK80" s="106"/>
      <c r="AL80" s="106"/>
      <c r="AM80" s="106"/>
      <c r="AN80" s="106">
        <f>SUM(AN76+AN75)</f>
        <v>2160</v>
      </c>
      <c r="AO80" s="106"/>
      <c r="AP80" s="147"/>
      <c r="AQ80" s="144">
        <f>SUM(AQ76+AQ75)</f>
        <v>24</v>
      </c>
      <c r="AR80" s="106"/>
      <c r="AS80" s="106"/>
      <c r="AT80" s="106">
        <f>SUM(AT76+AT75)</f>
        <v>24</v>
      </c>
      <c r="AU80" s="106"/>
      <c r="AV80" s="106"/>
      <c r="AW80" s="106">
        <f>SUM(AW76+AW75)</f>
        <v>24</v>
      </c>
      <c r="AX80" s="106"/>
      <c r="AY80" s="106"/>
      <c r="AZ80" s="106">
        <f>SUM(AZ76+AZ75)</f>
        <v>24</v>
      </c>
      <c r="BA80" s="106"/>
      <c r="BB80" s="147"/>
      <c r="BC80" s="144">
        <f>SUM(BC76+BC75)</f>
        <v>30</v>
      </c>
      <c r="BD80" s="106"/>
      <c r="BE80" s="106"/>
      <c r="BF80" s="106">
        <f>SUM(BF76+BF75)</f>
        <v>30</v>
      </c>
      <c r="BG80" s="106"/>
      <c r="BH80" s="106"/>
      <c r="BI80" s="106">
        <f>SUM(BI76+BI75)</f>
        <v>30</v>
      </c>
      <c r="BJ80" s="106"/>
      <c r="BK80" s="106"/>
      <c r="BL80" s="106">
        <f>SUM(BL76+BL75)</f>
        <v>30</v>
      </c>
      <c r="BM80" s="106"/>
      <c r="BN80" s="147"/>
      <c r="BO80" s="148">
        <f>SUM(P80/30)</f>
        <v>120</v>
      </c>
      <c r="BP80" s="105"/>
      <c r="BQ80" s="105"/>
      <c r="BR80" s="105"/>
      <c r="BS80" s="71">
        <f>SUM(V80/P80)*100</f>
        <v>20.833333333333336</v>
      </c>
      <c r="BT80" s="71">
        <f t="shared" si="32"/>
        <v>60</v>
      </c>
      <c r="BU80" s="71"/>
      <c r="BV80" s="15"/>
      <c r="BW80" s="15"/>
      <c r="BX80" s="71">
        <f t="shared" si="36"/>
        <v>120</v>
      </c>
      <c r="BY80" s="15">
        <f t="shared" si="37"/>
        <v>1</v>
      </c>
      <c r="BZ80" s="15" t="str">
        <f t="shared" si="38"/>
        <v>тўғри</v>
      </c>
    </row>
    <row r="81" spans="1:78" ht="14.25" customHeight="1" x14ac:dyDescent="0.25">
      <c r="A81" s="1"/>
      <c r="B81" s="16"/>
      <c r="C81" s="16"/>
      <c r="D81" s="17"/>
      <c r="E81" s="17"/>
      <c r="F81" s="17"/>
      <c r="G81" s="17"/>
      <c r="H81" s="17"/>
      <c r="I81" s="17"/>
      <c r="J81" s="17"/>
      <c r="K81" s="17"/>
      <c r="L81" s="17"/>
      <c r="M81" s="17"/>
      <c r="N81" s="17"/>
      <c r="O81" s="17"/>
      <c r="P81" s="18"/>
      <c r="Q81" s="18"/>
      <c r="R81" s="18"/>
      <c r="S81" s="18"/>
      <c r="T81" s="18"/>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
      <c r="BC81" s="1"/>
      <c r="BD81" s="1"/>
      <c r="BE81" s="1"/>
      <c r="BF81" s="1"/>
      <c r="BG81" s="1"/>
      <c r="BH81" s="1"/>
      <c r="BI81" s="1"/>
      <c r="BJ81" s="1"/>
      <c r="BK81" s="1"/>
      <c r="BL81" s="1"/>
      <c r="BM81" s="1"/>
      <c r="BN81" s="1"/>
      <c r="BO81" s="20"/>
      <c r="BP81" s="20"/>
      <c r="BQ81" s="20"/>
      <c r="BR81" s="20"/>
    </row>
    <row r="82" spans="1:78" ht="14.25" customHeight="1" thickBot="1" x14ac:dyDescent="0.3">
      <c r="A82" s="1"/>
      <c r="B82" s="16"/>
      <c r="C82" s="16"/>
      <c r="D82" s="17"/>
      <c r="E82" s="17"/>
      <c r="F82" s="17"/>
      <c r="G82" s="17"/>
      <c r="H82" s="17"/>
      <c r="I82" s="17"/>
      <c r="J82" s="17"/>
      <c r="K82" s="17"/>
      <c r="L82" s="17"/>
      <c r="M82" s="17"/>
      <c r="N82" s="17"/>
      <c r="O82" s="17"/>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
      <c r="BC82" s="1"/>
      <c r="BD82" s="1"/>
      <c r="BE82" s="1"/>
      <c r="BF82" s="1"/>
      <c r="BG82" s="1"/>
      <c r="BH82" s="1"/>
      <c r="BI82" s="1"/>
      <c r="BJ82" s="1"/>
      <c r="BK82" s="1"/>
      <c r="BL82" s="1"/>
      <c r="BM82" s="1"/>
      <c r="BN82" s="1"/>
      <c r="BO82" s="20"/>
      <c r="BP82" s="20"/>
      <c r="BQ82" s="20"/>
      <c r="BR82" s="20"/>
    </row>
    <row r="83" spans="1:78" s="24" customFormat="1" ht="14.25" customHeight="1" x14ac:dyDescent="0.35">
      <c r="A83" s="21"/>
      <c r="B83" s="16"/>
      <c r="C83" s="16"/>
      <c r="D83" s="74"/>
      <c r="E83" s="74"/>
      <c r="F83" s="74"/>
      <c r="G83" s="74"/>
      <c r="H83" s="74"/>
      <c r="I83" s="74"/>
      <c r="J83" s="74"/>
      <c r="K83" s="74"/>
      <c r="L83" s="74"/>
      <c r="M83" s="74"/>
      <c r="N83" s="74"/>
      <c r="O83" s="74"/>
      <c r="P83" s="22"/>
      <c r="Q83" s="22"/>
      <c r="R83" s="22"/>
      <c r="S83" s="22"/>
      <c r="T83" s="22"/>
      <c r="U83" s="22"/>
      <c r="V83" s="191" t="s">
        <v>129</v>
      </c>
      <c r="W83" s="192"/>
      <c r="X83" s="192"/>
      <c r="Y83" s="192"/>
      <c r="Z83" s="192"/>
      <c r="AA83" s="192"/>
      <c r="AB83" s="192"/>
      <c r="AC83" s="192"/>
      <c r="AD83" s="192"/>
      <c r="AE83" s="192"/>
      <c r="AF83" s="192"/>
      <c r="AG83" s="192"/>
      <c r="AH83" s="192"/>
      <c r="AI83" s="192"/>
      <c r="AJ83" s="192"/>
      <c r="AK83" s="192"/>
      <c r="AL83" s="192"/>
      <c r="AM83" s="192"/>
      <c r="AN83" s="192"/>
      <c r="AO83" s="192"/>
      <c r="AP83" s="192"/>
      <c r="AQ83" s="192"/>
      <c r="AR83" s="192"/>
      <c r="AS83" s="192"/>
      <c r="AT83" s="192"/>
      <c r="AU83" s="192"/>
      <c r="AV83" s="192"/>
      <c r="AW83" s="192"/>
      <c r="AX83" s="192"/>
      <c r="AY83" s="192"/>
      <c r="AZ83" s="193"/>
      <c r="BA83" s="22"/>
      <c r="BB83" s="22"/>
      <c r="BC83" s="22"/>
      <c r="BD83" s="22"/>
      <c r="BE83" s="22"/>
      <c r="BF83" s="22"/>
      <c r="BG83" s="22"/>
      <c r="BH83" s="22"/>
      <c r="BI83" s="22"/>
      <c r="BJ83" s="22"/>
      <c r="BK83" s="22"/>
      <c r="BL83" s="22"/>
      <c r="BM83" s="22"/>
      <c r="BN83" s="22"/>
      <c r="BO83" s="23"/>
      <c r="BP83" s="23"/>
      <c r="BQ83" s="23"/>
      <c r="BR83" s="23"/>
      <c r="BS83" s="1"/>
      <c r="BT83" s="1"/>
      <c r="BU83" s="1"/>
      <c r="BV83" s="1"/>
      <c r="BW83" s="1"/>
      <c r="BX83" s="1"/>
      <c r="BY83" s="1"/>
      <c r="BZ83" s="1"/>
    </row>
    <row r="84" spans="1:78" s="24" customFormat="1" ht="14.25" customHeight="1" x14ac:dyDescent="0.35">
      <c r="A84" s="21"/>
      <c r="B84" s="16"/>
      <c r="C84" s="16"/>
      <c r="D84" s="74"/>
      <c r="E84" s="74"/>
      <c r="F84" s="74"/>
      <c r="G84" s="74"/>
      <c r="H84" s="74"/>
      <c r="I84" s="74"/>
      <c r="J84" s="74"/>
      <c r="K84" s="74"/>
      <c r="L84" s="74"/>
      <c r="M84" s="74"/>
      <c r="N84" s="74"/>
      <c r="O84" s="74"/>
      <c r="P84" s="22"/>
      <c r="Q84" s="22"/>
      <c r="R84" s="22"/>
      <c r="S84" s="22"/>
      <c r="T84" s="22"/>
      <c r="U84" s="22"/>
      <c r="V84" s="194"/>
      <c r="W84" s="195"/>
      <c r="X84" s="195"/>
      <c r="Y84" s="195"/>
      <c r="Z84" s="195"/>
      <c r="AA84" s="195"/>
      <c r="AB84" s="195"/>
      <c r="AC84" s="195"/>
      <c r="AD84" s="195"/>
      <c r="AE84" s="195"/>
      <c r="AF84" s="195"/>
      <c r="AG84" s="195"/>
      <c r="AH84" s="195"/>
      <c r="AI84" s="195"/>
      <c r="AJ84" s="195"/>
      <c r="AK84" s="195"/>
      <c r="AL84" s="195"/>
      <c r="AM84" s="195"/>
      <c r="AN84" s="195"/>
      <c r="AO84" s="195"/>
      <c r="AP84" s="195"/>
      <c r="AQ84" s="195"/>
      <c r="AR84" s="195"/>
      <c r="AS84" s="195"/>
      <c r="AT84" s="195"/>
      <c r="AU84" s="195"/>
      <c r="AV84" s="195"/>
      <c r="AW84" s="195"/>
      <c r="AX84" s="195"/>
      <c r="AY84" s="195"/>
      <c r="AZ84" s="196"/>
      <c r="BA84" s="22"/>
      <c r="BB84" s="22"/>
      <c r="BC84" s="22"/>
      <c r="BD84" s="22"/>
      <c r="BE84" s="22"/>
      <c r="BF84" s="22"/>
      <c r="BG84" s="22"/>
      <c r="BH84" s="22"/>
      <c r="BI84" s="22"/>
      <c r="BJ84" s="22"/>
      <c r="BK84" s="22"/>
      <c r="BL84" s="22"/>
      <c r="BM84" s="22"/>
      <c r="BN84" s="22"/>
      <c r="BO84" s="23"/>
      <c r="BP84" s="23"/>
      <c r="BQ84" s="23"/>
      <c r="BR84" s="23"/>
      <c r="BS84" s="1"/>
      <c r="BT84" s="1"/>
      <c r="BU84" s="1"/>
      <c r="BV84" s="1"/>
      <c r="BW84" s="1"/>
      <c r="BX84" s="1"/>
      <c r="BY84" s="1"/>
      <c r="BZ84" s="1"/>
    </row>
    <row r="85" spans="1:78" s="24" customFormat="1" ht="14.25" customHeight="1" x14ac:dyDescent="0.35">
      <c r="A85" s="21"/>
      <c r="B85" s="16"/>
      <c r="C85" s="16"/>
      <c r="D85" s="74"/>
      <c r="E85" s="74"/>
      <c r="F85" s="74"/>
      <c r="G85" s="74"/>
      <c r="H85" s="74"/>
      <c r="I85" s="74"/>
      <c r="J85" s="74"/>
      <c r="K85" s="74"/>
      <c r="L85" s="74"/>
      <c r="M85" s="74"/>
      <c r="N85" s="74"/>
      <c r="O85" s="74"/>
      <c r="P85" s="22"/>
      <c r="Q85" s="22"/>
      <c r="R85" s="22"/>
      <c r="S85" s="22"/>
      <c r="T85" s="22"/>
      <c r="U85" s="22"/>
      <c r="V85" s="197" t="s">
        <v>141</v>
      </c>
      <c r="W85" s="198"/>
      <c r="X85" s="198"/>
      <c r="Y85" s="198"/>
      <c r="Z85" s="198"/>
      <c r="AA85" s="198"/>
      <c r="AB85" s="198"/>
      <c r="AC85" s="198"/>
      <c r="AD85" s="198"/>
      <c r="AE85" s="198"/>
      <c r="AF85" s="198"/>
      <c r="AG85" s="198"/>
      <c r="AH85" s="198"/>
      <c r="AI85" s="198"/>
      <c r="AJ85" s="198"/>
      <c r="AK85" s="198"/>
      <c r="AL85" s="198"/>
      <c r="AM85" s="198"/>
      <c r="AN85" s="198"/>
      <c r="AO85" s="198"/>
      <c r="AP85" s="198"/>
      <c r="AQ85" s="198"/>
      <c r="AR85" s="198"/>
      <c r="AS85" s="198"/>
      <c r="AT85" s="198"/>
      <c r="AU85" s="198"/>
      <c r="AV85" s="198"/>
      <c r="AW85" s="198"/>
      <c r="AX85" s="198"/>
      <c r="AY85" s="198"/>
      <c r="AZ85" s="199"/>
      <c r="BA85" s="22"/>
      <c r="BB85" s="22"/>
      <c r="BC85" s="22"/>
      <c r="BD85" s="22"/>
      <c r="BE85" s="22"/>
      <c r="BF85" s="22"/>
      <c r="BG85" s="22"/>
      <c r="BH85" s="22"/>
      <c r="BI85" s="22"/>
      <c r="BJ85" s="22"/>
      <c r="BK85" s="22"/>
      <c r="BL85" s="22"/>
      <c r="BM85" s="22"/>
      <c r="BN85" s="22"/>
      <c r="BO85" s="23"/>
      <c r="BP85" s="23"/>
      <c r="BQ85" s="23"/>
      <c r="BR85" s="23"/>
      <c r="BS85" s="1"/>
      <c r="BT85" s="1"/>
      <c r="BU85" s="1"/>
      <c r="BV85" s="1"/>
      <c r="BW85" s="1"/>
      <c r="BX85" s="1"/>
      <c r="BY85" s="1"/>
      <c r="BZ85" s="1"/>
    </row>
    <row r="86" spans="1:78" ht="14.25" customHeight="1" thickBot="1" x14ac:dyDescent="0.3">
      <c r="A86" s="1"/>
      <c r="B86" s="16"/>
      <c r="C86" s="16"/>
      <c r="D86" s="18"/>
      <c r="E86" s="18"/>
      <c r="F86" s="18"/>
      <c r="G86" s="18"/>
      <c r="H86" s="18"/>
      <c r="I86" s="18"/>
      <c r="J86" s="18"/>
      <c r="K86" s="18"/>
      <c r="L86" s="18"/>
      <c r="M86" s="18"/>
      <c r="N86" s="18"/>
      <c r="O86" s="18"/>
      <c r="P86" s="25"/>
      <c r="Q86" s="25"/>
      <c r="R86" s="25"/>
      <c r="S86" s="25"/>
      <c r="T86" s="25"/>
      <c r="U86" s="25"/>
      <c r="V86" s="200"/>
      <c r="W86" s="201"/>
      <c r="X86" s="201"/>
      <c r="Y86" s="201"/>
      <c r="Z86" s="201"/>
      <c r="AA86" s="201"/>
      <c r="AB86" s="201"/>
      <c r="AC86" s="201"/>
      <c r="AD86" s="201"/>
      <c r="AE86" s="201"/>
      <c r="AF86" s="201"/>
      <c r="AG86" s="201"/>
      <c r="AH86" s="201"/>
      <c r="AI86" s="201"/>
      <c r="AJ86" s="201"/>
      <c r="AK86" s="201"/>
      <c r="AL86" s="201"/>
      <c r="AM86" s="201"/>
      <c r="AN86" s="201"/>
      <c r="AO86" s="201"/>
      <c r="AP86" s="201"/>
      <c r="AQ86" s="201"/>
      <c r="AR86" s="201"/>
      <c r="AS86" s="201"/>
      <c r="AT86" s="201"/>
      <c r="AU86" s="201"/>
      <c r="AV86" s="201"/>
      <c r="AW86" s="201"/>
      <c r="AX86" s="201"/>
      <c r="AY86" s="201"/>
      <c r="AZ86" s="202"/>
      <c r="BA86" s="25"/>
      <c r="BB86" s="25"/>
      <c r="BC86" s="25"/>
      <c r="BD86" s="25"/>
      <c r="BE86" s="25"/>
      <c r="BF86" s="25"/>
      <c r="BG86" s="25"/>
      <c r="BH86" s="25"/>
      <c r="BI86" s="25"/>
      <c r="BJ86" s="25"/>
      <c r="BK86" s="25"/>
      <c r="BL86" s="25"/>
      <c r="BM86" s="25"/>
      <c r="BN86" s="25"/>
      <c r="BO86" s="26"/>
      <c r="BP86" s="26"/>
      <c r="BQ86" s="26"/>
      <c r="BR86" s="26"/>
    </row>
    <row r="87" spans="1:78" ht="14.25" customHeight="1" x14ac:dyDescent="0.25">
      <c r="A87" s="1"/>
      <c r="B87" s="16"/>
      <c r="C87" s="16"/>
      <c r="D87" s="18"/>
      <c r="E87" s="18"/>
      <c r="F87" s="18"/>
      <c r="G87" s="18"/>
      <c r="H87" s="18"/>
      <c r="I87" s="18"/>
      <c r="J87" s="18"/>
      <c r="K87" s="18"/>
      <c r="L87" s="18"/>
      <c r="M87" s="18"/>
      <c r="N87" s="18"/>
      <c r="O87" s="18"/>
      <c r="P87" s="25"/>
      <c r="Q87" s="25"/>
      <c r="R87" s="25"/>
      <c r="S87" s="25"/>
      <c r="T87" s="25"/>
      <c r="U87" s="25"/>
      <c r="V87" s="80"/>
      <c r="W87" s="80"/>
      <c r="X87" s="80"/>
      <c r="Y87" s="80"/>
      <c r="Z87" s="80"/>
      <c r="AA87" s="80"/>
      <c r="AB87" s="80"/>
      <c r="AC87" s="80"/>
      <c r="AD87" s="80"/>
      <c r="AE87" s="80"/>
      <c r="AF87" s="80"/>
      <c r="AG87" s="80"/>
      <c r="AH87" s="80"/>
      <c r="AI87" s="80"/>
      <c r="AJ87" s="80"/>
      <c r="AK87" s="80"/>
      <c r="AL87" s="80"/>
      <c r="AM87" s="80"/>
      <c r="AN87" s="80"/>
      <c r="AO87" s="80"/>
      <c r="AP87" s="80"/>
      <c r="AQ87" s="80"/>
      <c r="AR87" s="80"/>
      <c r="AS87" s="80"/>
      <c r="AT87" s="80"/>
      <c r="AU87" s="80"/>
      <c r="AV87" s="80"/>
      <c r="AW87" s="80"/>
      <c r="AX87" s="80"/>
      <c r="AY87" s="80"/>
      <c r="AZ87" s="80"/>
      <c r="BA87" s="25"/>
      <c r="BB87" s="25"/>
      <c r="BC87" s="25"/>
      <c r="BD87" s="25"/>
      <c r="BE87" s="25"/>
      <c r="BF87" s="25"/>
      <c r="BG87" s="25"/>
      <c r="BH87" s="25"/>
      <c r="BI87" s="25"/>
      <c r="BJ87" s="25"/>
      <c r="BK87" s="25"/>
      <c r="BL87" s="25"/>
      <c r="BM87" s="25"/>
      <c r="BN87" s="25"/>
      <c r="BO87" s="26"/>
      <c r="BP87" s="26"/>
      <c r="BQ87" s="26"/>
      <c r="BR87" s="26"/>
    </row>
    <row r="88" spans="1:78" ht="14.25" customHeight="1" x14ac:dyDescent="0.25">
      <c r="A88" s="27" t="s">
        <v>149</v>
      </c>
      <c r="B88" s="59"/>
      <c r="C88" s="5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c r="AZ88" s="29"/>
      <c r="BA88" s="29"/>
      <c r="BB88" s="29"/>
      <c r="BC88" s="29"/>
      <c r="BD88" s="29"/>
      <c r="BE88" s="29"/>
      <c r="BF88" s="29"/>
      <c r="BG88" s="29"/>
      <c r="BH88" s="29"/>
      <c r="BI88" s="29"/>
      <c r="BJ88" s="29"/>
      <c r="BK88" s="29"/>
      <c r="BL88" s="29"/>
      <c r="BM88" s="29"/>
      <c r="BN88" s="29"/>
      <c r="BO88" s="30"/>
      <c r="BP88" s="30"/>
      <c r="BQ88" s="60"/>
      <c r="BR88" s="60"/>
    </row>
    <row r="89" spans="1:78" ht="14.25" customHeight="1" x14ac:dyDescent="0.25">
      <c r="A89" s="31" t="s">
        <v>13</v>
      </c>
      <c r="B89" s="207" t="s">
        <v>144</v>
      </c>
      <c r="C89" s="207"/>
      <c r="D89" s="207"/>
      <c r="E89" s="207"/>
      <c r="F89" s="207"/>
      <c r="G89" s="207"/>
      <c r="H89" s="207"/>
      <c r="I89" s="207"/>
      <c r="J89" s="207"/>
      <c r="K89" s="207"/>
      <c r="L89" s="207"/>
      <c r="M89" s="207"/>
      <c r="N89" s="207"/>
      <c r="O89" s="207"/>
      <c r="P89" s="207"/>
      <c r="Q89" s="207"/>
      <c r="R89" s="207"/>
      <c r="S89" s="207"/>
      <c r="T89" s="207"/>
      <c r="U89" s="207"/>
      <c r="V89" s="207"/>
      <c r="W89" s="207"/>
      <c r="X89" s="207"/>
      <c r="Y89" s="207"/>
      <c r="Z89" s="207"/>
      <c r="AA89" s="207"/>
      <c r="AB89" s="207"/>
      <c r="AC89" s="207"/>
      <c r="AD89" s="207"/>
      <c r="AE89" s="207"/>
      <c r="AF89" s="207"/>
      <c r="AG89" s="207"/>
      <c r="AH89" s="207"/>
      <c r="AI89" s="207"/>
      <c r="AJ89" s="207"/>
      <c r="AK89" s="207"/>
      <c r="AL89" s="207"/>
      <c r="AM89" s="207"/>
      <c r="AN89" s="207"/>
      <c r="AO89" s="207"/>
      <c r="AP89" s="207"/>
      <c r="AQ89" s="207"/>
      <c r="AR89" s="207"/>
      <c r="AS89" s="207"/>
      <c r="AT89" s="207"/>
      <c r="AU89" s="207"/>
      <c r="AV89" s="207"/>
      <c r="AW89" s="207"/>
      <c r="AX89" s="207"/>
      <c r="AY89" s="207"/>
      <c r="AZ89" s="207"/>
      <c r="BA89" s="207"/>
      <c r="BB89" s="207"/>
      <c r="BC89" s="207"/>
      <c r="BD89" s="207"/>
      <c r="BE89" s="207"/>
      <c r="BF89" s="207"/>
      <c r="BG89" s="207"/>
      <c r="BH89" s="207"/>
      <c r="BI89" s="207"/>
      <c r="BJ89" s="207"/>
      <c r="BK89" s="207"/>
      <c r="BL89" s="207"/>
      <c r="BM89" s="207"/>
      <c r="BN89" s="207"/>
      <c r="BO89" s="207"/>
      <c r="BP89" s="207"/>
      <c r="BQ89" s="255"/>
      <c r="BR89" s="255"/>
    </row>
    <row r="90" spans="1:78" ht="14.25" customHeight="1" x14ac:dyDescent="0.25">
      <c r="A90" s="31" t="s">
        <v>14</v>
      </c>
      <c r="B90" s="207" t="s">
        <v>145</v>
      </c>
      <c r="C90" s="207"/>
      <c r="D90" s="207"/>
      <c r="E90" s="207"/>
      <c r="F90" s="207"/>
      <c r="G90" s="207"/>
      <c r="H90" s="207"/>
      <c r="I90" s="207"/>
      <c r="J90" s="207"/>
      <c r="K90" s="207"/>
      <c r="L90" s="207"/>
      <c r="M90" s="207"/>
      <c r="N90" s="207"/>
      <c r="O90" s="207"/>
      <c r="P90" s="207"/>
      <c r="Q90" s="207"/>
      <c r="R90" s="207"/>
      <c r="S90" s="207"/>
      <c r="T90" s="207"/>
      <c r="U90" s="207"/>
      <c r="V90" s="207"/>
      <c r="W90" s="207"/>
      <c r="X90" s="207"/>
      <c r="Y90" s="207"/>
      <c r="Z90" s="207"/>
      <c r="AA90" s="207"/>
      <c r="AB90" s="207"/>
      <c r="AC90" s="207"/>
      <c r="AD90" s="207"/>
      <c r="AE90" s="207"/>
      <c r="AF90" s="207"/>
      <c r="AG90" s="207"/>
      <c r="AH90" s="207"/>
      <c r="AI90" s="207"/>
      <c r="AJ90" s="207"/>
      <c r="AK90" s="207"/>
      <c r="AL90" s="207"/>
      <c r="AM90" s="207"/>
      <c r="AN90" s="207"/>
      <c r="AO90" s="207"/>
      <c r="AP90" s="207"/>
      <c r="AQ90" s="207"/>
      <c r="AR90" s="207"/>
      <c r="AS90" s="207"/>
      <c r="AT90" s="207"/>
      <c r="AU90" s="207"/>
      <c r="AV90" s="207"/>
      <c r="AW90" s="207"/>
      <c r="AX90" s="207"/>
      <c r="AY90" s="207"/>
      <c r="AZ90" s="207"/>
      <c r="BA90" s="207"/>
      <c r="BB90" s="207"/>
      <c r="BC90" s="207"/>
      <c r="BD90" s="207"/>
      <c r="BE90" s="207"/>
      <c r="BF90" s="207"/>
      <c r="BG90" s="207"/>
      <c r="BH90" s="207"/>
      <c r="BI90" s="207"/>
      <c r="BJ90" s="207"/>
      <c r="BK90" s="207"/>
      <c r="BL90" s="207"/>
      <c r="BM90" s="207"/>
      <c r="BN90" s="207"/>
      <c r="BO90" s="207"/>
      <c r="BP90" s="207"/>
      <c r="BQ90" s="255"/>
      <c r="BR90" s="255"/>
    </row>
    <row r="91" spans="1:78" ht="14.25" customHeight="1" x14ac:dyDescent="0.25">
      <c r="A91" s="31" t="s">
        <v>15</v>
      </c>
      <c r="B91" s="207" t="s">
        <v>146</v>
      </c>
      <c r="C91" s="207"/>
      <c r="D91" s="207"/>
      <c r="E91" s="207"/>
      <c r="F91" s="207"/>
      <c r="G91" s="207"/>
      <c r="H91" s="207"/>
      <c r="I91" s="207"/>
      <c r="J91" s="207"/>
      <c r="K91" s="207"/>
      <c r="L91" s="207"/>
      <c r="M91" s="207"/>
      <c r="N91" s="207"/>
      <c r="O91" s="207"/>
      <c r="P91" s="207"/>
      <c r="Q91" s="207"/>
      <c r="R91" s="207"/>
      <c r="S91" s="207"/>
      <c r="T91" s="207"/>
      <c r="U91" s="207"/>
      <c r="V91" s="207"/>
      <c r="W91" s="207"/>
      <c r="X91" s="207"/>
      <c r="Y91" s="207"/>
      <c r="Z91" s="207"/>
      <c r="AA91" s="207"/>
      <c r="AB91" s="207"/>
      <c r="AC91" s="207"/>
      <c r="AD91" s="207"/>
      <c r="AE91" s="207"/>
      <c r="AF91" s="207"/>
      <c r="AG91" s="207"/>
      <c r="AH91" s="207"/>
      <c r="AI91" s="207"/>
      <c r="AJ91" s="207"/>
      <c r="AK91" s="207"/>
      <c r="AL91" s="207"/>
      <c r="AM91" s="207"/>
      <c r="AN91" s="207"/>
      <c r="AO91" s="207"/>
      <c r="AP91" s="207"/>
      <c r="AQ91" s="207"/>
      <c r="AR91" s="207"/>
      <c r="AS91" s="207"/>
      <c r="AT91" s="207"/>
      <c r="AU91" s="207"/>
      <c r="AV91" s="207"/>
      <c r="AW91" s="207"/>
      <c r="AX91" s="207"/>
      <c r="AY91" s="207"/>
      <c r="AZ91" s="207"/>
      <c r="BA91" s="207"/>
      <c r="BB91" s="207"/>
      <c r="BC91" s="207"/>
      <c r="BD91" s="207"/>
      <c r="BE91" s="207"/>
      <c r="BF91" s="207"/>
      <c r="BG91" s="207"/>
      <c r="BH91" s="207"/>
      <c r="BI91" s="207"/>
      <c r="BJ91" s="207"/>
      <c r="BK91" s="207"/>
      <c r="BL91" s="207"/>
      <c r="BM91" s="207"/>
      <c r="BN91" s="207"/>
      <c r="BO91" s="207"/>
      <c r="BP91" s="207"/>
      <c r="BQ91" s="23"/>
      <c r="BR91" s="23"/>
    </row>
    <row r="92" spans="1:78" ht="14.25" customHeight="1" x14ac:dyDescent="0.25">
      <c r="A92" s="31" t="s">
        <v>16</v>
      </c>
      <c r="B92" s="207" t="s">
        <v>188</v>
      </c>
      <c r="C92" s="207"/>
      <c r="D92" s="207"/>
      <c r="E92" s="207"/>
      <c r="F92" s="207"/>
      <c r="G92" s="207"/>
      <c r="H92" s="207"/>
      <c r="I92" s="207"/>
      <c r="J92" s="207"/>
      <c r="K92" s="207"/>
      <c r="L92" s="207"/>
      <c r="M92" s="207"/>
      <c r="N92" s="207"/>
      <c r="O92" s="207"/>
      <c r="P92" s="207"/>
      <c r="Q92" s="207"/>
      <c r="R92" s="207"/>
      <c r="S92" s="207"/>
      <c r="T92" s="207"/>
      <c r="U92" s="207"/>
      <c r="V92" s="207"/>
      <c r="W92" s="207"/>
      <c r="X92" s="207"/>
      <c r="Y92" s="207"/>
      <c r="Z92" s="207"/>
      <c r="AA92" s="207"/>
      <c r="AB92" s="207"/>
      <c r="AC92" s="207"/>
      <c r="AD92" s="207"/>
      <c r="AE92" s="207"/>
      <c r="AF92" s="207"/>
      <c r="AG92" s="207"/>
      <c r="AH92" s="207"/>
      <c r="AI92" s="207"/>
      <c r="AJ92" s="207"/>
      <c r="AK92" s="207"/>
      <c r="AL92" s="207"/>
      <c r="AM92" s="207"/>
      <c r="AN92" s="207"/>
      <c r="AO92" s="207"/>
      <c r="AP92" s="207"/>
      <c r="AQ92" s="207"/>
      <c r="AR92" s="207"/>
      <c r="AS92" s="207"/>
      <c r="AT92" s="207"/>
      <c r="AU92" s="207"/>
      <c r="AV92" s="207"/>
      <c r="AW92" s="207"/>
      <c r="AX92" s="207"/>
      <c r="AY92" s="207"/>
      <c r="AZ92" s="207"/>
      <c r="BA92" s="207"/>
      <c r="BB92" s="207"/>
      <c r="BC92" s="207"/>
      <c r="BD92" s="207"/>
      <c r="BE92" s="207"/>
      <c r="BF92" s="207"/>
      <c r="BG92" s="207"/>
      <c r="BH92" s="207"/>
      <c r="BI92" s="207"/>
      <c r="BJ92" s="207"/>
      <c r="BK92" s="207"/>
      <c r="BL92" s="207"/>
      <c r="BM92" s="207"/>
      <c r="BN92" s="207"/>
      <c r="BO92" s="207"/>
      <c r="BP92" s="207"/>
      <c r="BQ92" s="26"/>
      <c r="BR92" s="26"/>
    </row>
    <row r="93" spans="1:78" ht="14.25" customHeight="1" x14ac:dyDescent="0.25">
      <c r="A93" s="31" t="s">
        <v>17</v>
      </c>
      <c r="B93" s="207" t="s">
        <v>189</v>
      </c>
      <c r="C93" s="207"/>
      <c r="D93" s="207"/>
      <c r="E93" s="207"/>
      <c r="F93" s="207"/>
      <c r="G93" s="207"/>
      <c r="H93" s="207"/>
      <c r="I93" s="207"/>
      <c r="J93" s="207"/>
      <c r="K93" s="207"/>
      <c r="L93" s="207"/>
      <c r="M93" s="207"/>
      <c r="N93" s="207"/>
      <c r="O93" s="207"/>
      <c r="P93" s="207"/>
      <c r="Q93" s="207"/>
      <c r="R93" s="207"/>
      <c r="S93" s="207"/>
      <c r="T93" s="207"/>
      <c r="U93" s="207"/>
      <c r="V93" s="207"/>
      <c r="W93" s="207"/>
      <c r="X93" s="207"/>
      <c r="Y93" s="207"/>
      <c r="Z93" s="207"/>
      <c r="AA93" s="207"/>
      <c r="AB93" s="207"/>
      <c r="AC93" s="207"/>
      <c r="AD93" s="207"/>
      <c r="AE93" s="207"/>
      <c r="AF93" s="207"/>
      <c r="AG93" s="207"/>
      <c r="AH93" s="207"/>
      <c r="AI93" s="207"/>
      <c r="AJ93" s="207"/>
      <c r="AK93" s="207"/>
      <c r="AL93" s="207"/>
      <c r="AM93" s="207"/>
      <c r="AN93" s="207"/>
      <c r="AO93" s="207"/>
      <c r="AP93" s="207"/>
      <c r="AQ93" s="207"/>
      <c r="AR93" s="207"/>
      <c r="AS93" s="207"/>
      <c r="AT93" s="207"/>
      <c r="AU93" s="207"/>
      <c r="AV93" s="207"/>
      <c r="AW93" s="207"/>
      <c r="AX93" s="207"/>
      <c r="AY93" s="207"/>
      <c r="AZ93" s="207"/>
      <c r="BA93" s="207"/>
      <c r="BB93" s="207"/>
      <c r="BC93" s="207"/>
      <c r="BD93" s="207"/>
      <c r="BE93" s="207"/>
      <c r="BF93" s="207"/>
      <c r="BG93" s="207"/>
      <c r="BH93" s="207"/>
      <c r="BI93" s="207"/>
      <c r="BJ93" s="207"/>
      <c r="BK93" s="207"/>
      <c r="BL93" s="207"/>
      <c r="BM93" s="207"/>
      <c r="BN93" s="207"/>
      <c r="BO93" s="207"/>
      <c r="BP93" s="207"/>
      <c r="BQ93" s="84"/>
      <c r="BR93" s="84"/>
    </row>
    <row r="94" spans="1:78" ht="14.25" customHeight="1" x14ac:dyDescent="0.25">
      <c r="A94" s="31" t="s">
        <v>18</v>
      </c>
      <c r="B94" s="207" t="s">
        <v>158</v>
      </c>
      <c r="C94" s="207"/>
      <c r="D94" s="207"/>
      <c r="E94" s="207"/>
      <c r="F94" s="207"/>
      <c r="G94" s="207"/>
      <c r="H94" s="207"/>
      <c r="I94" s="207"/>
      <c r="J94" s="207"/>
      <c r="K94" s="207"/>
      <c r="L94" s="207"/>
      <c r="M94" s="207"/>
      <c r="N94" s="207"/>
      <c r="O94" s="207"/>
      <c r="P94" s="207"/>
      <c r="Q94" s="207"/>
      <c r="R94" s="207"/>
      <c r="S94" s="207"/>
      <c r="T94" s="207"/>
      <c r="U94" s="207"/>
      <c r="V94" s="207"/>
      <c r="W94" s="207"/>
      <c r="X94" s="207"/>
      <c r="Y94" s="207"/>
      <c r="Z94" s="207"/>
      <c r="AA94" s="207"/>
      <c r="AB94" s="207"/>
      <c r="AC94" s="207"/>
      <c r="AD94" s="207"/>
      <c r="AE94" s="207"/>
      <c r="AF94" s="207"/>
      <c r="AG94" s="207"/>
      <c r="AH94" s="207"/>
      <c r="AI94" s="207"/>
      <c r="AJ94" s="207"/>
      <c r="AK94" s="207"/>
      <c r="AL94" s="207"/>
      <c r="AM94" s="207"/>
      <c r="AN94" s="207"/>
      <c r="AO94" s="207"/>
      <c r="AP94" s="207"/>
      <c r="AQ94" s="207"/>
      <c r="AR94" s="207"/>
      <c r="AS94" s="207"/>
      <c r="AT94" s="207"/>
      <c r="AU94" s="207"/>
      <c r="AV94" s="207"/>
      <c r="AW94" s="207"/>
      <c r="AX94" s="207"/>
      <c r="AY94" s="207"/>
      <c r="AZ94" s="207"/>
      <c r="BA94" s="207"/>
      <c r="BB94" s="207"/>
      <c r="BC94" s="207"/>
      <c r="BD94" s="207"/>
      <c r="BE94" s="207"/>
      <c r="BF94" s="207"/>
      <c r="BG94" s="207"/>
      <c r="BH94" s="207"/>
      <c r="BI94" s="207"/>
      <c r="BJ94" s="207"/>
      <c r="BK94" s="207"/>
      <c r="BL94" s="207"/>
      <c r="BM94" s="207"/>
      <c r="BN94" s="207"/>
      <c r="BO94" s="207"/>
      <c r="BP94" s="207"/>
    </row>
    <row r="95" spans="1:78" ht="14.25" customHeight="1" x14ac:dyDescent="0.25">
      <c r="A95" s="31" t="s">
        <v>19</v>
      </c>
      <c r="B95" s="207" t="s">
        <v>167</v>
      </c>
      <c r="C95" s="207"/>
      <c r="D95" s="207"/>
      <c r="E95" s="207"/>
      <c r="F95" s="207"/>
      <c r="G95" s="207"/>
      <c r="H95" s="207"/>
      <c r="I95" s="207"/>
      <c r="J95" s="207"/>
      <c r="K95" s="207"/>
      <c r="L95" s="207"/>
      <c r="M95" s="207"/>
      <c r="N95" s="207"/>
      <c r="O95" s="207"/>
      <c r="P95" s="207"/>
      <c r="Q95" s="207"/>
      <c r="R95" s="207"/>
      <c r="S95" s="207"/>
      <c r="T95" s="207"/>
      <c r="U95" s="207"/>
      <c r="V95" s="207"/>
      <c r="W95" s="207"/>
      <c r="X95" s="207"/>
      <c r="Y95" s="207"/>
      <c r="Z95" s="207"/>
      <c r="AA95" s="207"/>
      <c r="AB95" s="207"/>
      <c r="AC95" s="207"/>
      <c r="AD95" s="207"/>
      <c r="AE95" s="207"/>
      <c r="AF95" s="207"/>
      <c r="AG95" s="207"/>
      <c r="AH95" s="207"/>
      <c r="AI95" s="207"/>
      <c r="AJ95" s="207"/>
      <c r="AK95" s="207"/>
      <c r="AL95" s="207"/>
      <c r="AM95" s="207"/>
      <c r="AN95" s="207"/>
      <c r="AO95" s="207"/>
      <c r="AP95" s="207"/>
      <c r="AQ95" s="207"/>
      <c r="AR95" s="207"/>
      <c r="AS95" s="207"/>
      <c r="AT95" s="207"/>
      <c r="AU95" s="207"/>
      <c r="AV95" s="207"/>
      <c r="AW95" s="207"/>
      <c r="AX95" s="207"/>
      <c r="AY95" s="207"/>
      <c r="AZ95" s="207"/>
      <c r="BA95" s="207"/>
      <c r="BB95" s="207"/>
      <c r="BC95" s="207"/>
      <c r="BD95" s="207"/>
      <c r="BE95" s="207"/>
      <c r="BF95" s="207"/>
      <c r="BG95" s="207"/>
      <c r="BH95" s="207"/>
      <c r="BI95" s="207"/>
      <c r="BJ95" s="207"/>
      <c r="BK95" s="207"/>
      <c r="BL95" s="207"/>
      <c r="BM95" s="207"/>
      <c r="BN95" s="207"/>
      <c r="BO95" s="207"/>
      <c r="BP95" s="207"/>
    </row>
    <row r="96" spans="1:78" ht="14.25" customHeight="1" x14ac:dyDescent="0.25">
      <c r="A96" s="31"/>
      <c r="B96" s="79"/>
      <c r="C96" s="79"/>
      <c r="D96" s="79"/>
      <c r="E96" s="79"/>
      <c r="F96" s="79"/>
      <c r="G96" s="79"/>
      <c r="H96" s="79"/>
      <c r="I96" s="79"/>
      <c r="J96" s="79"/>
      <c r="K96" s="79"/>
      <c r="L96" s="79"/>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79"/>
      <c r="AZ96" s="79"/>
      <c r="BA96" s="79"/>
      <c r="BB96" s="79"/>
      <c r="BC96" s="79"/>
      <c r="BD96" s="79"/>
      <c r="BE96" s="79"/>
      <c r="BF96" s="79"/>
      <c r="BG96" s="79"/>
      <c r="BH96" s="79"/>
      <c r="BI96" s="79"/>
      <c r="BJ96" s="79"/>
      <c r="BK96" s="79"/>
      <c r="BL96" s="79"/>
      <c r="BM96" s="79"/>
      <c r="BN96" s="79"/>
      <c r="BO96" s="79"/>
      <c r="BP96" s="79"/>
    </row>
    <row r="97" spans="1:70" ht="14.25" customHeight="1" x14ac:dyDescent="0.25">
      <c r="A97" s="31"/>
      <c r="B97" s="79"/>
      <c r="C97" s="79"/>
      <c r="D97" s="79"/>
      <c r="E97" s="79"/>
      <c r="F97" s="79"/>
      <c r="G97" s="79"/>
      <c r="H97" s="79"/>
      <c r="I97" s="79"/>
      <c r="J97" s="79"/>
      <c r="K97" s="79"/>
      <c r="L97" s="79"/>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79"/>
      <c r="AZ97" s="79"/>
      <c r="BA97" s="79"/>
      <c r="BB97" s="79"/>
      <c r="BC97" s="79"/>
      <c r="BD97" s="79"/>
      <c r="BE97" s="79"/>
      <c r="BF97" s="79"/>
      <c r="BG97" s="79"/>
      <c r="BH97" s="79"/>
      <c r="BI97" s="79"/>
      <c r="BJ97" s="79"/>
      <c r="BK97" s="79"/>
      <c r="BL97" s="79"/>
      <c r="BM97" s="79"/>
      <c r="BN97" s="79"/>
      <c r="BO97" s="79"/>
      <c r="BP97" s="79"/>
    </row>
    <row r="98" spans="1:70" ht="14.25" customHeight="1" x14ac:dyDescent="0.25">
      <c r="A98" s="143"/>
      <c r="B98" s="143"/>
      <c r="C98" s="143"/>
      <c r="D98" s="143"/>
      <c r="E98" s="143"/>
      <c r="F98" s="143"/>
      <c r="G98" s="143"/>
      <c r="H98" s="143"/>
      <c r="I98" s="143"/>
      <c r="J98" s="143"/>
      <c r="K98" s="143"/>
      <c r="L98" s="143"/>
      <c r="M98" s="143"/>
      <c r="N98" s="143"/>
      <c r="O98" s="143"/>
      <c r="P98" s="143"/>
      <c r="Q98" s="143"/>
      <c r="R98" s="143"/>
      <c r="S98" s="143"/>
      <c r="T98" s="143"/>
      <c r="U98" s="143"/>
      <c r="V98" s="143"/>
      <c r="W98" s="143"/>
      <c r="X98" s="143"/>
      <c r="Y98" s="32"/>
      <c r="Z98" s="32"/>
      <c r="AA98" s="32"/>
      <c r="AB98" s="32"/>
      <c r="AC98" s="32"/>
      <c r="AD98" s="32"/>
      <c r="AE98" s="32"/>
      <c r="AF98" s="32"/>
      <c r="AG98" s="32"/>
      <c r="AH98" s="32"/>
      <c r="AI98" s="32"/>
      <c r="AJ98" s="142" t="s">
        <v>71</v>
      </c>
      <c r="AK98" s="142"/>
      <c r="AL98" s="142"/>
      <c r="AM98" s="142"/>
      <c r="AN98" s="142"/>
      <c r="AO98" s="142"/>
      <c r="AP98" s="142"/>
      <c r="AQ98" s="142"/>
      <c r="AR98" s="142"/>
      <c r="AS98" s="142"/>
      <c r="AT98" s="142"/>
      <c r="AU98" s="142"/>
      <c r="AV98" s="142"/>
      <c r="AW98" s="142"/>
      <c r="AX98" s="142"/>
      <c r="AY98" s="142"/>
      <c r="AZ98" s="142"/>
      <c r="BA98" s="142"/>
      <c r="BB98" s="142"/>
      <c r="BC98" s="142"/>
      <c r="BD98" s="142"/>
      <c r="BE98" s="142"/>
      <c r="BF98" s="142"/>
      <c r="BG98" s="142"/>
      <c r="BH98" s="142"/>
      <c r="BI98" s="142"/>
      <c r="BJ98" s="142"/>
      <c r="BK98" s="142"/>
      <c r="BL98" s="142"/>
      <c r="BM98" s="142"/>
      <c r="BN98" s="142"/>
      <c r="BO98" s="142"/>
      <c r="BP98" s="142"/>
      <c r="BQ98" s="142"/>
      <c r="BR98" s="142"/>
    </row>
    <row r="99" spans="1:70" ht="14.25" customHeight="1" x14ac:dyDescent="0.25">
      <c r="A99" s="33"/>
      <c r="B99" s="34"/>
      <c r="C99" s="34"/>
      <c r="D99" s="33"/>
      <c r="E99" s="33"/>
      <c r="F99" s="33"/>
      <c r="G99" s="33"/>
      <c r="H99" s="33"/>
      <c r="I99" s="33"/>
      <c r="J99" s="33"/>
      <c r="K99" s="33"/>
      <c r="L99" s="33"/>
      <c r="M99" s="33"/>
      <c r="N99" s="33"/>
      <c r="O99" s="33"/>
      <c r="P99" s="33"/>
      <c r="Q99" s="33"/>
      <c r="R99" s="33"/>
      <c r="S99" s="33"/>
      <c r="T99" s="35"/>
      <c r="U99" s="35"/>
      <c r="V99" s="35"/>
      <c r="W99" s="35"/>
      <c r="X99" s="35"/>
      <c r="Y99" s="36"/>
      <c r="Z99" s="36"/>
      <c r="AA99" s="36"/>
      <c r="AB99" s="36"/>
      <c r="AC99" s="36"/>
      <c r="AD99" s="36"/>
      <c r="AE99" s="36"/>
      <c r="AF99" s="36"/>
      <c r="AG99" s="36"/>
      <c r="AH99" s="36"/>
      <c r="AI99" s="36"/>
      <c r="AJ99" s="142"/>
      <c r="AK99" s="142"/>
      <c r="AL99" s="142"/>
      <c r="AM99" s="142"/>
      <c r="AN99" s="142"/>
      <c r="AO99" s="142"/>
      <c r="AP99" s="142"/>
      <c r="AQ99" s="142"/>
      <c r="AR99" s="142"/>
      <c r="AS99" s="142"/>
      <c r="AT99" s="142"/>
      <c r="AU99" s="142"/>
      <c r="AV99" s="142"/>
      <c r="AW99" s="142"/>
      <c r="AX99" s="142"/>
      <c r="AY99" s="142"/>
      <c r="AZ99" s="142"/>
      <c r="BA99" s="142"/>
      <c r="BB99" s="142"/>
      <c r="BC99" s="142"/>
      <c r="BD99" s="142"/>
      <c r="BE99" s="142"/>
      <c r="BF99" s="142"/>
      <c r="BG99" s="142"/>
      <c r="BH99" s="142"/>
      <c r="BI99" s="142"/>
      <c r="BJ99" s="142"/>
      <c r="BK99" s="142"/>
      <c r="BL99" s="142"/>
      <c r="BM99" s="142"/>
      <c r="BN99" s="142"/>
      <c r="BO99" s="142"/>
      <c r="BP99" s="142"/>
      <c r="BQ99" s="142"/>
      <c r="BR99" s="142"/>
    </row>
    <row r="100" spans="1:70" ht="14.25" customHeight="1" x14ac:dyDescent="0.25">
      <c r="A100" s="33"/>
      <c r="B100" s="34"/>
      <c r="C100" s="34"/>
      <c r="D100" s="33"/>
      <c r="E100" s="33"/>
      <c r="F100" s="33"/>
      <c r="G100" s="33"/>
      <c r="H100" s="33"/>
      <c r="I100" s="33"/>
      <c r="J100" s="33"/>
      <c r="K100" s="33"/>
      <c r="L100" s="33"/>
      <c r="M100" s="33"/>
      <c r="N100" s="33"/>
      <c r="O100" s="33"/>
      <c r="P100" s="33"/>
      <c r="Q100" s="33"/>
      <c r="R100" s="33"/>
      <c r="S100" s="33"/>
      <c r="T100" s="35"/>
      <c r="U100" s="35"/>
      <c r="V100" s="35"/>
      <c r="W100" s="35"/>
      <c r="X100" s="35"/>
      <c r="Y100" s="36"/>
      <c r="Z100" s="36"/>
      <c r="AA100" s="36"/>
      <c r="AB100" s="36"/>
      <c r="AC100" s="36"/>
      <c r="AD100" s="36"/>
      <c r="AE100" s="36"/>
      <c r="AF100" s="36"/>
      <c r="AG100" s="36"/>
      <c r="AH100" s="36"/>
      <c r="AI100" s="36"/>
      <c r="AJ100" s="142"/>
      <c r="AK100" s="142"/>
      <c r="AL100" s="142"/>
      <c r="AM100" s="142"/>
      <c r="AN100" s="142"/>
      <c r="AO100" s="142"/>
      <c r="AP100" s="142"/>
      <c r="AQ100" s="142"/>
      <c r="AR100" s="142"/>
      <c r="AS100" s="142"/>
      <c r="AT100" s="142"/>
      <c r="AU100" s="142"/>
      <c r="AV100" s="142"/>
      <c r="AW100" s="142"/>
      <c r="AX100" s="142"/>
      <c r="AY100" s="142"/>
      <c r="AZ100" s="142"/>
      <c r="BA100" s="142"/>
      <c r="BB100" s="142"/>
      <c r="BC100" s="142"/>
      <c r="BD100" s="142"/>
      <c r="BE100" s="142"/>
      <c r="BF100" s="142"/>
      <c r="BG100" s="142"/>
      <c r="BH100" s="142"/>
      <c r="BI100" s="142"/>
      <c r="BJ100" s="142"/>
      <c r="BK100" s="142"/>
      <c r="BL100" s="142"/>
      <c r="BM100" s="142"/>
      <c r="BN100" s="142"/>
      <c r="BO100" s="142"/>
      <c r="BP100" s="142"/>
      <c r="BQ100" s="142"/>
      <c r="BR100" s="142"/>
    </row>
    <row r="101" spans="1:70" ht="14.25" customHeight="1" x14ac:dyDescent="0.25">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6"/>
      <c r="AG101" s="36"/>
      <c r="AH101" s="36"/>
      <c r="AI101" s="36"/>
      <c r="AJ101" s="142"/>
      <c r="AK101" s="142"/>
      <c r="AL101" s="142"/>
      <c r="AM101" s="142"/>
      <c r="AN101" s="142"/>
      <c r="AO101" s="142"/>
      <c r="AP101" s="142"/>
      <c r="AQ101" s="142"/>
      <c r="AR101" s="142"/>
      <c r="AS101" s="142"/>
      <c r="AT101" s="142"/>
      <c r="AU101" s="142"/>
      <c r="AV101" s="142"/>
      <c r="AW101" s="142"/>
      <c r="AX101" s="142"/>
      <c r="AY101" s="142"/>
      <c r="AZ101" s="142"/>
      <c r="BA101" s="142"/>
      <c r="BB101" s="142"/>
      <c r="BC101" s="142"/>
      <c r="BD101" s="142"/>
      <c r="BE101" s="142"/>
      <c r="BF101" s="142"/>
      <c r="BG101" s="142"/>
      <c r="BH101" s="142"/>
      <c r="BI101" s="142"/>
      <c r="BJ101" s="142"/>
      <c r="BK101" s="142"/>
      <c r="BL101" s="142"/>
      <c r="BM101" s="142"/>
      <c r="BN101" s="142"/>
      <c r="BO101" s="142"/>
      <c r="BP101" s="142"/>
      <c r="BQ101" s="142"/>
      <c r="BR101" s="142"/>
    </row>
    <row r="102" spans="1:70" ht="14.25" customHeight="1" x14ac:dyDescent="0.25">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6"/>
      <c r="AG102" s="36"/>
      <c r="AH102" s="36"/>
      <c r="AI102" s="36"/>
      <c r="AJ102" s="142"/>
      <c r="AK102" s="142"/>
      <c r="AL102" s="142"/>
      <c r="AM102" s="142"/>
      <c r="AN102" s="142"/>
      <c r="AO102" s="142"/>
      <c r="AP102" s="142"/>
      <c r="AQ102" s="142"/>
      <c r="AR102" s="142"/>
      <c r="AS102" s="142"/>
      <c r="AT102" s="142"/>
      <c r="AU102" s="142"/>
      <c r="AV102" s="142"/>
      <c r="AW102" s="142"/>
      <c r="AX102" s="142"/>
      <c r="AY102" s="142"/>
      <c r="AZ102" s="142"/>
      <c r="BA102" s="142"/>
      <c r="BB102" s="142"/>
      <c r="BC102" s="142"/>
      <c r="BD102" s="142"/>
      <c r="BE102" s="142"/>
      <c r="BF102" s="142"/>
      <c r="BG102" s="142"/>
      <c r="BH102" s="142"/>
      <c r="BI102" s="142"/>
      <c r="BJ102" s="142"/>
      <c r="BK102" s="142"/>
      <c r="BL102" s="142"/>
      <c r="BM102" s="142"/>
      <c r="BN102" s="142"/>
      <c r="BO102" s="142"/>
      <c r="BP102" s="142"/>
      <c r="BQ102" s="142"/>
      <c r="BR102" s="142"/>
    </row>
    <row r="103" spans="1:70" ht="14.25" customHeight="1" x14ac:dyDescent="0.25">
      <c r="A103" s="38"/>
      <c r="B103" s="16"/>
      <c r="C103" s="16"/>
      <c r="D103" s="38"/>
      <c r="E103" s="38"/>
      <c r="F103" s="38"/>
      <c r="G103" s="38"/>
      <c r="H103" s="38"/>
      <c r="I103" s="38"/>
      <c r="J103" s="38"/>
      <c r="K103" s="38"/>
      <c r="L103" s="38"/>
      <c r="M103" s="38"/>
      <c r="N103" s="38"/>
      <c r="O103" s="38"/>
      <c r="P103" s="38"/>
      <c r="Q103" s="38"/>
      <c r="R103" s="38"/>
      <c r="S103" s="38"/>
      <c r="T103" s="39"/>
      <c r="U103" s="39"/>
      <c r="V103" s="39"/>
      <c r="W103" s="39"/>
      <c r="X103" s="39"/>
      <c r="Y103" s="38"/>
      <c r="Z103" s="38"/>
      <c r="AA103" s="38"/>
      <c r="AB103" s="38"/>
      <c r="AC103" s="38"/>
      <c r="AD103" s="38"/>
      <c r="AE103" s="38"/>
      <c r="AF103" s="36"/>
      <c r="AG103" s="36"/>
      <c r="AH103" s="36"/>
      <c r="AI103" s="36"/>
      <c r="AJ103" s="142"/>
      <c r="AK103" s="142"/>
      <c r="AL103" s="142"/>
      <c r="AM103" s="142"/>
      <c r="AN103" s="142"/>
      <c r="AO103" s="142"/>
      <c r="AP103" s="142"/>
      <c r="AQ103" s="142"/>
      <c r="AR103" s="142"/>
      <c r="AS103" s="142"/>
      <c r="AT103" s="142"/>
      <c r="AU103" s="142"/>
      <c r="AV103" s="142"/>
      <c r="AW103" s="142"/>
      <c r="AX103" s="142"/>
      <c r="AY103" s="142"/>
      <c r="AZ103" s="142"/>
      <c r="BA103" s="142"/>
      <c r="BB103" s="142"/>
      <c r="BC103" s="142"/>
      <c r="BD103" s="142"/>
      <c r="BE103" s="142"/>
      <c r="BF103" s="142"/>
      <c r="BG103" s="142"/>
      <c r="BH103" s="142"/>
      <c r="BI103" s="142"/>
      <c r="BJ103" s="142"/>
      <c r="BK103" s="142"/>
      <c r="BL103" s="142"/>
      <c r="BM103" s="142"/>
      <c r="BN103" s="142"/>
      <c r="BO103" s="142"/>
      <c r="BP103" s="142"/>
      <c r="BQ103" s="142"/>
      <c r="BR103" s="142"/>
    </row>
    <row r="104" spans="1:70" ht="14.25" customHeight="1" x14ac:dyDescent="0.25">
      <c r="A104" s="70"/>
      <c r="B104" s="16"/>
      <c r="C104" s="16"/>
      <c r="D104" s="70"/>
      <c r="E104" s="70"/>
      <c r="F104" s="70"/>
      <c r="G104" s="70"/>
      <c r="H104" s="70"/>
      <c r="I104" s="70"/>
      <c r="J104" s="70"/>
      <c r="K104" s="70"/>
      <c r="L104" s="70"/>
      <c r="M104" s="70"/>
      <c r="N104" s="70"/>
      <c r="O104" s="70"/>
      <c r="P104" s="70"/>
      <c r="Q104" s="70"/>
      <c r="R104" s="70"/>
      <c r="S104" s="70"/>
      <c r="T104" s="40"/>
      <c r="U104" s="40"/>
      <c r="V104" s="40"/>
      <c r="W104" s="40"/>
      <c r="X104" s="40"/>
      <c r="Y104" s="38"/>
      <c r="Z104" s="38"/>
      <c r="AA104" s="38"/>
      <c r="AB104" s="38"/>
      <c r="AC104" s="38"/>
      <c r="AD104" s="38"/>
      <c r="AE104" s="38"/>
      <c r="AF104" s="36"/>
      <c r="AG104" s="36"/>
      <c r="AH104" s="36"/>
      <c r="AI104" s="36"/>
      <c r="AJ104" s="142"/>
      <c r="AK104" s="142"/>
      <c r="AL104" s="142"/>
      <c r="AM104" s="142"/>
      <c r="AN104" s="142"/>
      <c r="AO104" s="142"/>
      <c r="AP104" s="142"/>
      <c r="AQ104" s="142"/>
      <c r="AR104" s="142"/>
      <c r="AS104" s="142"/>
      <c r="AT104" s="142"/>
      <c r="AU104" s="142"/>
      <c r="AV104" s="142"/>
      <c r="AW104" s="142"/>
      <c r="AX104" s="142"/>
      <c r="AY104" s="142"/>
      <c r="AZ104" s="142"/>
      <c r="BA104" s="142"/>
      <c r="BB104" s="142"/>
      <c r="BC104" s="142"/>
      <c r="BD104" s="142"/>
      <c r="BE104" s="142"/>
      <c r="BF104" s="142"/>
      <c r="BG104" s="142"/>
      <c r="BH104" s="142"/>
      <c r="BI104" s="142"/>
      <c r="BJ104" s="142"/>
      <c r="BK104" s="142"/>
      <c r="BL104" s="142"/>
      <c r="BM104" s="142"/>
      <c r="BN104" s="142"/>
      <c r="BO104" s="142"/>
      <c r="BP104" s="142"/>
      <c r="BQ104" s="142"/>
      <c r="BR104" s="142"/>
    </row>
    <row r="105" spans="1:70" ht="14.25" customHeight="1" x14ac:dyDescent="0.3">
      <c r="A105" s="70"/>
      <c r="B105" s="16"/>
      <c r="C105" s="16"/>
      <c r="D105" s="70"/>
      <c r="E105" s="70"/>
      <c r="F105" s="70"/>
      <c r="G105" s="70"/>
      <c r="H105" s="70"/>
      <c r="I105" s="70"/>
      <c r="J105" s="70"/>
      <c r="K105" s="70"/>
      <c r="L105" s="70"/>
      <c r="M105" s="70"/>
      <c r="N105" s="70"/>
      <c r="O105" s="70"/>
      <c r="P105" s="70"/>
      <c r="Q105" s="70"/>
      <c r="R105" s="70"/>
      <c r="S105" s="70"/>
      <c r="T105" s="40"/>
      <c r="U105" s="40"/>
      <c r="V105" s="40"/>
      <c r="W105" s="40"/>
      <c r="X105" s="40"/>
      <c r="Y105" s="38"/>
      <c r="Z105" s="38"/>
      <c r="AA105" s="38"/>
      <c r="AB105" s="38"/>
      <c r="AC105" s="38"/>
      <c r="AD105" s="38"/>
      <c r="AE105" s="38"/>
      <c r="AF105" s="36"/>
      <c r="AG105" s="36"/>
      <c r="AH105" s="36"/>
      <c r="AI105" s="36"/>
      <c r="AJ105" s="36"/>
      <c r="AK105" s="41"/>
      <c r="AL105" s="69"/>
      <c r="AM105" s="69"/>
      <c r="AN105" s="69"/>
      <c r="AO105" s="69"/>
      <c r="AP105" s="69"/>
      <c r="AQ105" s="69"/>
      <c r="AR105" s="69"/>
      <c r="AS105" s="69"/>
      <c r="AT105" s="69"/>
      <c r="AU105" s="69"/>
      <c r="AV105" s="69"/>
      <c r="AW105" s="69"/>
      <c r="AX105" s="69"/>
      <c r="AY105" s="69"/>
      <c r="AZ105" s="69"/>
      <c r="BA105" s="69"/>
      <c r="BB105" s="69"/>
      <c r="BC105" s="69"/>
      <c r="BD105" s="69"/>
      <c r="BE105" s="69"/>
      <c r="BF105" s="69"/>
      <c r="BG105" s="69"/>
      <c r="BH105" s="69"/>
      <c r="BI105" s="69"/>
      <c r="BJ105" s="69"/>
      <c r="BK105" s="69"/>
      <c r="BL105" s="69"/>
      <c r="BM105" s="69"/>
      <c r="BN105" s="69"/>
      <c r="BO105" s="69"/>
      <c r="BP105" s="69"/>
    </row>
    <row r="106" spans="1:70" ht="14.25" customHeight="1" x14ac:dyDescent="0.3">
      <c r="A106" s="70"/>
      <c r="B106" s="16"/>
      <c r="C106" s="16"/>
      <c r="D106" s="70"/>
      <c r="E106" s="70"/>
      <c r="F106" s="70"/>
      <c r="G106" s="70"/>
      <c r="H106" s="70"/>
      <c r="I106" s="70"/>
      <c r="J106" s="70"/>
      <c r="K106" s="70"/>
      <c r="L106" s="70"/>
      <c r="M106" s="70"/>
      <c r="N106" s="70"/>
      <c r="O106" s="70"/>
      <c r="P106" s="70"/>
      <c r="Q106" s="70"/>
      <c r="R106" s="70"/>
      <c r="S106" s="70"/>
      <c r="T106" s="40"/>
      <c r="U106" s="40"/>
      <c r="V106" s="40"/>
      <c r="W106" s="40"/>
      <c r="X106" s="40"/>
      <c r="Y106" s="38"/>
      <c r="Z106" s="38"/>
      <c r="AA106" s="38"/>
      <c r="AB106" s="38"/>
      <c r="AC106" s="38"/>
      <c r="AD106" s="38"/>
      <c r="AE106" s="38"/>
      <c r="AF106" s="36"/>
      <c r="AG106" s="36"/>
      <c r="AH106" s="36"/>
      <c r="AI106" s="36"/>
      <c r="AJ106" s="36"/>
      <c r="AK106" s="41"/>
      <c r="AL106" s="69"/>
      <c r="AM106" s="69"/>
      <c r="AN106" s="69"/>
      <c r="AO106" s="69"/>
      <c r="AP106" s="69"/>
      <c r="AQ106" s="69"/>
      <c r="AR106" s="69"/>
      <c r="AS106" s="69"/>
      <c r="AT106" s="69"/>
      <c r="AU106" s="69"/>
      <c r="AV106" s="69"/>
      <c r="AW106" s="69"/>
      <c r="AX106" s="69"/>
      <c r="AY106" s="69"/>
      <c r="AZ106" s="69"/>
      <c r="BA106" s="69"/>
      <c r="BB106" s="69"/>
      <c r="BC106" s="69"/>
      <c r="BD106" s="69"/>
      <c r="BE106" s="69"/>
      <c r="BF106" s="69"/>
      <c r="BG106" s="69"/>
      <c r="BH106" s="69"/>
      <c r="BI106" s="69"/>
      <c r="BJ106" s="69"/>
      <c r="BK106" s="69"/>
      <c r="BL106" s="69"/>
      <c r="BM106" s="69"/>
      <c r="BN106" s="69"/>
      <c r="BO106" s="69"/>
      <c r="BP106" s="69"/>
    </row>
    <row r="107" spans="1:70" ht="14.25" customHeight="1" x14ac:dyDescent="0.25">
      <c r="A107" s="141" t="s">
        <v>67</v>
      </c>
      <c r="B107" s="141"/>
      <c r="C107" s="141"/>
      <c r="D107" s="141"/>
      <c r="E107" s="141"/>
      <c r="F107" s="141"/>
      <c r="G107" s="141"/>
      <c r="H107" s="141"/>
      <c r="I107" s="141"/>
      <c r="J107" s="141"/>
      <c r="K107" s="141"/>
      <c r="L107" s="141"/>
      <c r="M107" s="141"/>
      <c r="N107" s="141"/>
      <c r="O107" s="141"/>
      <c r="P107" s="142" t="s">
        <v>21</v>
      </c>
      <c r="Q107" s="142"/>
      <c r="R107" s="142"/>
      <c r="S107" s="142"/>
      <c r="T107" s="142"/>
      <c r="U107" s="142"/>
      <c r="V107" s="142"/>
      <c r="W107" s="142"/>
      <c r="X107" s="142"/>
      <c r="Y107" s="141" t="s">
        <v>68</v>
      </c>
      <c r="Z107" s="141"/>
      <c r="AA107" s="141"/>
      <c r="AB107" s="141"/>
      <c r="AC107" s="141"/>
      <c r="AD107" s="141"/>
      <c r="AE107" s="141"/>
      <c r="AF107" s="42"/>
      <c r="AG107" s="42"/>
      <c r="AH107" s="43"/>
      <c r="AI107" s="43"/>
      <c r="AJ107" s="203" t="s">
        <v>238</v>
      </c>
      <c r="AK107" s="203"/>
      <c r="AL107" s="203"/>
      <c r="AM107" s="203"/>
      <c r="AN107" s="203"/>
      <c r="AO107" s="203"/>
      <c r="AP107" s="203"/>
      <c r="AQ107" s="203"/>
      <c r="AR107" s="203"/>
      <c r="AS107" s="203"/>
      <c r="AT107" s="203"/>
      <c r="AU107" s="203"/>
      <c r="AV107" s="203"/>
      <c r="AW107" s="203"/>
      <c r="AX107" s="203"/>
      <c r="AY107" s="142" t="s">
        <v>21</v>
      </c>
      <c r="AZ107" s="142"/>
      <c r="BA107" s="142"/>
      <c r="BB107" s="142"/>
      <c r="BC107" s="142"/>
      <c r="BD107" s="142"/>
      <c r="BE107" s="142"/>
      <c r="BF107" s="142"/>
      <c r="BG107" s="142"/>
      <c r="BH107" s="203" t="s">
        <v>241</v>
      </c>
      <c r="BI107" s="203"/>
      <c r="BJ107" s="203"/>
      <c r="BK107" s="203"/>
      <c r="BL107" s="203"/>
      <c r="BM107" s="203"/>
      <c r="BN107" s="203"/>
      <c r="BO107" s="203"/>
      <c r="BP107" s="203"/>
      <c r="BQ107" s="203"/>
      <c r="BR107" s="203"/>
    </row>
    <row r="108" spans="1:70" ht="14.25" customHeight="1" x14ac:dyDescent="0.25">
      <c r="A108" s="141"/>
      <c r="B108" s="141"/>
      <c r="C108" s="141"/>
      <c r="D108" s="141"/>
      <c r="E108" s="141"/>
      <c r="F108" s="141"/>
      <c r="G108" s="141"/>
      <c r="H108" s="141"/>
      <c r="I108" s="141"/>
      <c r="J108" s="141"/>
      <c r="K108" s="141"/>
      <c r="L108" s="141"/>
      <c r="M108" s="141"/>
      <c r="N108" s="141"/>
      <c r="O108" s="141"/>
      <c r="P108" s="142"/>
      <c r="Q108" s="142"/>
      <c r="R108" s="142"/>
      <c r="S108" s="142"/>
      <c r="T108" s="142"/>
      <c r="U108" s="142"/>
      <c r="V108" s="142"/>
      <c r="W108" s="142"/>
      <c r="X108" s="142"/>
      <c r="Y108" s="141"/>
      <c r="Z108" s="141"/>
      <c r="AA108" s="141"/>
      <c r="AB108" s="141"/>
      <c r="AC108" s="141"/>
      <c r="AD108" s="141"/>
      <c r="AE108" s="141"/>
      <c r="AF108" s="42"/>
      <c r="AG108" s="42"/>
      <c r="AH108" s="43"/>
      <c r="AI108" s="43"/>
      <c r="AJ108" s="203"/>
      <c r="AK108" s="203"/>
      <c r="AL108" s="203"/>
      <c r="AM108" s="203"/>
      <c r="AN108" s="203"/>
      <c r="AO108" s="203"/>
      <c r="AP108" s="203"/>
      <c r="AQ108" s="203"/>
      <c r="AR108" s="203"/>
      <c r="AS108" s="203"/>
      <c r="AT108" s="203"/>
      <c r="AU108" s="203"/>
      <c r="AV108" s="203"/>
      <c r="AW108" s="203"/>
      <c r="AX108" s="203"/>
      <c r="AY108" s="142"/>
      <c r="AZ108" s="142"/>
      <c r="BA108" s="142"/>
      <c r="BB108" s="142"/>
      <c r="BC108" s="142"/>
      <c r="BD108" s="142"/>
      <c r="BE108" s="142"/>
      <c r="BF108" s="142"/>
      <c r="BG108" s="142"/>
      <c r="BH108" s="203"/>
      <c r="BI108" s="203"/>
      <c r="BJ108" s="203"/>
      <c r="BK108" s="203"/>
      <c r="BL108" s="203"/>
      <c r="BM108" s="203"/>
      <c r="BN108" s="203"/>
      <c r="BO108" s="203"/>
      <c r="BP108" s="203"/>
      <c r="BQ108" s="203"/>
      <c r="BR108" s="203"/>
    </row>
    <row r="109" spans="1:70" ht="14.25" customHeight="1" x14ac:dyDescent="0.25">
      <c r="A109" s="141"/>
      <c r="B109" s="141"/>
      <c r="C109" s="141"/>
      <c r="D109" s="141"/>
      <c r="E109" s="141"/>
      <c r="F109" s="141"/>
      <c r="G109" s="141"/>
      <c r="H109" s="141"/>
      <c r="I109" s="141"/>
      <c r="J109" s="141"/>
      <c r="K109" s="141"/>
      <c r="L109" s="141"/>
      <c r="M109" s="141"/>
      <c r="N109" s="141"/>
      <c r="O109" s="141"/>
      <c r="P109" s="142"/>
      <c r="Q109" s="142"/>
      <c r="R109" s="142"/>
      <c r="S109" s="142"/>
      <c r="T109" s="142"/>
      <c r="U109" s="142"/>
      <c r="V109" s="142"/>
      <c r="W109" s="142"/>
      <c r="X109" s="142"/>
      <c r="Y109" s="141"/>
      <c r="Z109" s="141"/>
      <c r="AA109" s="141"/>
      <c r="AB109" s="141"/>
      <c r="AC109" s="141"/>
      <c r="AD109" s="141"/>
      <c r="AE109" s="141"/>
      <c r="AF109" s="42"/>
      <c r="AG109" s="42"/>
      <c r="AH109" s="43"/>
      <c r="AI109" s="43"/>
      <c r="AJ109" s="203"/>
      <c r="AK109" s="203"/>
      <c r="AL109" s="203"/>
      <c r="AM109" s="203"/>
      <c r="AN109" s="203"/>
      <c r="AO109" s="203"/>
      <c r="AP109" s="203"/>
      <c r="AQ109" s="203"/>
      <c r="AR109" s="203"/>
      <c r="AS109" s="203"/>
      <c r="AT109" s="203"/>
      <c r="AU109" s="203"/>
      <c r="AV109" s="203"/>
      <c r="AW109" s="203"/>
      <c r="AX109" s="203"/>
      <c r="AY109" s="142"/>
      <c r="AZ109" s="142"/>
      <c r="BA109" s="142"/>
      <c r="BB109" s="142"/>
      <c r="BC109" s="142"/>
      <c r="BD109" s="142"/>
      <c r="BE109" s="142"/>
      <c r="BF109" s="142"/>
      <c r="BG109" s="142"/>
      <c r="BH109" s="203"/>
      <c r="BI109" s="203"/>
      <c r="BJ109" s="203"/>
      <c r="BK109" s="203"/>
      <c r="BL109" s="203"/>
      <c r="BM109" s="203"/>
      <c r="BN109" s="203"/>
      <c r="BO109" s="203"/>
      <c r="BP109" s="203"/>
      <c r="BQ109" s="203"/>
      <c r="BR109" s="203"/>
    </row>
    <row r="110" spans="1:70" ht="14.25" customHeight="1" x14ac:dyDescent="0.25">
      <c r="A110" s="141"/>
      <c r="B110" s="141"/>
      <c r="C110" s="141"/>
      <c r="D110" s="141"/>
      <c r="E110" s="141"/>
      <c r="F110" s="141"/>
      <c r="G110" s="141"/>
      <c r="H110" s="141"/>
      <c r="I110" s="141"/>
      <c r="J110" s="141"/>
      <c r="K110" s="141"/>
      <c r="L110" s="141"/>
      <c r="M110" s="141"/>
      <c r="N110" s="141"/>
      <c r="O110" s="141"/>
      <c r="P110" s="142"/>
      <c r="Q110" s="142"/>
      <c r="R110" s="142"/>
      <c r="S110" s="142"/>
      <c r="T110" s="142"/>
      <c r="U110" s="142"/>
      <c r="V110" s="142"/>
      <c r="W110" s="142"/>
      <c r="X110" s="142"/>
      <c r="Y110" s="141"/>
      <c r="Z110" s="141"/>
      <c r="AA110" s="141"/>
      <c r="AB110" s="141"/>
      <c r="AC110" s="141"/>
      <c r="AD110" s="141"/>
      <c r="AE110" s="141"/>
      <c r="AF110" s="42"/>
      <c r="AG110" s="42"/>
      <c r="AH110" s="43"/>
      <c r="AI110" s="43"/>
      <c r="AJ110" s="203"/>
      <c r="AK110" s="203"/>
      <c r="AL110" s="203"/>
      <c r="AM110" s="203"/>
      <c r="AN110" s="203"/>
      <c r="AO110" s="203"/>
      <c r="AP110" s="203"/>
      <c r="AQ110" s="203"/>
      <c r="AR110" s="203"/>
      <c r="AS110" s="203"/>
      <c r="AT110" s="203"/>
      <c r="AU110" s="203"/>
      <c r="AV110" s="203"/>
      <c r="AW110" s="203"/>
      <c r="AX110" s="203"/>
      <c r="AY110" s="142"/>
      <c r="AZ110" s="142"/>
      <c r="BA110" s="142"/>
      <c r="BB110" s="142"/>
      <c r="BC110" s="142"/>
      <c r="BD110" s="142"/>
      <c r="BE110" s="142"/>
      <c r="BF110" s="142"/>
      <c r="BG110" s="142"/>
      <c r="BH110" s="203"/>
      <c r="BI110" s="203"/>
      <c r="BJ110" s="203"/>
      <c r="BK110" s="203"/>
      <c r="BL110" s="203"/>
      <c r="BM110" s="203"/>
      <c r="BN110" s="203"/>
      <c r="BO110" s="203"/>
      <c r="BP110" s="203"/>
      <c r="BQ110" s="203"/>
      <c r="BR110" s="203"/>
    </row>
    <row r="111" spans="1:70" ht="14.25" customHeight="1" x14ac:dyDescent="0.25">
      <c r="A111" s="68"/>
      <c r="B111" s="68"/>
      <c r="C111" s="68"/>
      <c r="D111" s="68"/>
      <c r="E111" s="68"/>
      <c r="F111" s="68"/>
      <c r="G111" s="68"/>
      <c r="H111" s="68"/>
      <c r="I111" s="68"/>
      <c r="J111" s="68"/>
      <c r="K111" s="68"/>
      <c r="L111" s="68"/>
      <c r="M111" s="68"/>
      <c r="N111" s="68"/>
      <c r="O111" s="68"/>
      <c r="P111" s="69"/>
      <c r="Q111" s="69"/>
      <c r="R111" s="69"/>
      <c r="S111" s="69"/>
      <c r="T111" s="69"/>
      <c r="U111" s="69"/>
      <c r="V111" s="69"/>
      <c r="W111" s="69"/>
      <c r="X111" s="69"/>
      <c r="Y111" s="68"/>
      <c r="Z111" s="68"/>
      <c r="AA111" s="68"/>
      <c r="AB111" s="68"/>
      <c r="AC111" s="68"/>
      <c r="AD111" s="68"/>
      <c r="AE111" s="68"/>
      <c r="AF111" s="42"/>
      <c r="AG111" s="42"/>
      <c r="AH111" s="43"/>
      <c r="AI111" s="43"/>
      <c r="AJ111" s="68"/>
      <c r="AK111" s="68"/>
      <c r="AL111" s="68"/>
      <c r="AM111" s="68"/>
      <c r="AN111" s="68"/>
      <c r="AO111" s="68"/>
      <c r="AP111" s="68"/>
      <c r="AQ111" s="68"/>
      <c r="AR111" s="68"/>
      <c r="AS111" s="68"/>
      <c r="AT111" s="68"/>
      <c r="AU111" s="68"/>
      <c r="AV111" s="68"/>
      <c r="AW111" s="68"/>
      <c r="AX111" s="68"/>
      <c r="AY111" s="69"/>
      <c r="AZ111" s="69"/>
      <c r="BA111" s="69"/>
      <c r="BB111" s="69"/>
      <c r="BC111" s="69"/>
      <c r="BD111" s="69"/>
      <c r="BE111" s="69"/>
      <c r="BF111" s="69"/>
      <c r="BG111" s="69"/>
      <c r="BH111" s="81"/>
      <c r="BI111" s="81"/>
      <c r="BJ111" s="81"/>
      <c r="BK111" s="81"/>
      <c r="BL111" s="81"/>
      <c r="BM111" s="81"/>
      <c r="BN111" s="81"/>
      <c r="BO111" s="81"/>
      <c r="BP111" s="81"/>
      <c r="BQ111" s="81"/>
      <c r="BR111" s="81"/>
    </row>
    <row r="112" spans="1:70" ht="14.25" customHeight="1" x14ac:dyDescent="0.3">
      <c r="A112" s="68"/>
      <c r="B112" s="68"/>
      <c r="C112" s="68"/>
      <c r="D112" s="68"/>
      <c r="E112" s="68"/>
      <c r="F112" s="68"/>
      <c r="G112" s="68"/>
      <c r="H112" s="68"/>
      <c r="I112" s="68"/>
      <c r="J112" s="68"/>
      <c r="K112" s="68"/>
      <c r="L112" s="68"/>
      <c r="M112" s="68"/>
      <c r="N112" s="68"/>
      <c r="O112" s="68"/>
      <c r="P112" s="68"/>
      <c r="Q112" s="42"/>
      <c r="R112" s="42"/>
      <c r="S112" s="42"/>
      <c r="T112" s="68"/>
      <c r="U112" s="68"/>
      <c r="V112" s="44"/>
      <c r="W112" s="44"/>
      <c r="X112" s="44"/>
      <c r="Y112" s="81"/>
      <c r="Z112" s="81"/>
      <c r="AA112" s="81"/>
      <c r="AB112" s="81"/>
      <c r="AC112" s="81"/>
      <c r="AD112" s="81"/>
      <c r="AE112" s="81"/>
      <c r="AF112" s="81"/>
      <c r="AG112" s="81"/>
      <c r="AH112" s="81"/>
      <c r="AI112" s="43"/>
      <c r="AJ112" s="68"/>
      <c r="AK112" s="68"/>
      <c r="AL112" s="68"/>
      <c r="AM112" s="68"/>
      <c r="AN112" s="68"/>
      <c r="AO112" s="68"/>
      <c r="AP112" s="68"/>
      <c r="AQ112" s="68"/>
      <c r="AR112" s="68"/>
      <c r="AS112" s="68"/>
      <c r="AT112" s="68"/>
      <c r="AU112" s="68"/>
      <c r="AV112" s="68"/>
      <c r="AW112" s="68"/>
      <c r="AX112" s="68"/>
      <c r="AY112" s="68"/>
      <c r="AZ112" s="42"/>
      <c r="BA112" s="42"/>
      <c r="BB112" s="42"/>
      <c r="BC112" s="68"/>
      <c r="BD112" s="68"/>
      <c r="BE112" s="44"/>
      <c r="BF112" s="44"/>
      <c r="BG112" s="44"/>
      <c r="BH112" s="81"/>
      <c r="BI112" s="81"/>
      <c r="BJ112" s="81"/>
      <c r="BK112" s="81"/>
      <c r="BL112" s="81"/>
      <c r="BM112" s="81"/>
      <c r="BN112" s="81"/>
      <c r="BO112" s="45"/>
      <c r="BP112" s="45"/>
    </row>
    <row r="113" spans="1:70" ht="14.25" customHeight="1" x14ac:dyDescent="0.25">
      <c r="A113" s="141" t="s">
        <v>254</v>
      </c>
      <c r="B113" s="141"/>
      <c r="C113" s="141"/>
      <c r="D113" s="141"/>
      <c r="E113" s="141"/>
      <c r="F113" s="141"/>
      <c r="G113" s="141"/>
      <c r="H113" s="141"/>
      <c r="I113" s="141"/>
      <c r="J113" s="141"/>
      <c r="K113" s="141"/>
      <c r="L113" s="141"/>
      <c r="M113" s="141"/>
      <c r="N113" s="141"/>
      <c r="O113" s="141"/>
      <c r="P113" s="142" t="s">
        <v>21</v>
      </c>
      <c r="Q113" s="142"/>
      <c r="R113" s="142"/>
      <c r="S113" s="142"/>
      <c r="T113" s="142"/>
      <c r="U113" s="142"/>
      <c r="V113" s="142"/>
      <c r="W113" s="142"/>
      <c r="X113" s="142"/>
      <c r="Y113" s="141" t="s">
        <v>69</v>
      </c>
      <c r="Z113" s="141"/>
      <c r="AA113" s="141"/>
      <c r="AB113" s="141"/>
      <c r="AC113" s="141"/>
      <c r="AD113" s="141"/>
      <c r="AE113" s="141"/>
      <c r="AF113" s="42"/>
      <c r="AG113" s="42"/>
      <c r="AH113" s="43"/>
      <c r="AI113" s="43"/>
      <c r="AJ113" s="141" t="s">
        <v>242</v>
      </c>
      <c r="AK113" s="141"/>
      <c r="AL113" s="141"/>
      <c r="AM113" s="141"/>
      <c r="AN113" s="141"/>
      <c r="AO113" s="141"/>
      <c r="AP113" s="141"/>
      <c r="AQ113" s="141"/>
      <c r="AR113" s="141"/>
      <c r="AS113" s="141"/>
      <c r="AT113" s="141"/>
      <c r="AU113" s="141"/>
      <c r="AV113" s="141"/>
      <c r="AW113" s="141"/>
      <c r="AX113" s="141"/>
      <c r="AY113" s="142" t="s">
        <v>21</v>
      </c>
      <c r="AZ113" s="142"/>
      <c r="BA113" s="142"/>
      <c r="BB113" s="142"/>
      <c r="BC113" s="142"/>
      <c r="BD113" s="142"/>
      <c r="BE113" s="142"/>
      <c r="BF113" s="142"/>
      <c r="BG113" s="142"/>
      <c r="BH113" s="203" t="s">
        <v>243</v>
      </c>
      <c r="BI113" s="203"/>
      <c r="BJ113" s="203"/>
      <c r="BK113" s="203"/>
      <c r="BL113" s="203"/>
      <c r="BM113" s="203"/>
      <c r="BN113" s="203"/>
      <c r="BO113" s="203"/>
      <c r="BP113" s="203"/>
      <c r="BQ113" s="203"/>
      <c r="BR113" s="203"/>
    </row>
    <row r="114" spans="1:70" ht="14.25" customHeight="1" x14ac:dyDescent="0.25">
      <c r="A114" s="141"/>
      <c r="B114" s="141"/>
      <c r="C114" s="141"/>
      <c r="D114" s="141"/>
      <c r="E114" s="141"/>
      <c r="F114" s="141"/>
      <c r="G114" s="141"/>
      <c r="H114" s="141"/>
      <c r="I114" s="141"/>
      <c r="J114" s="141"/>
      <c r="K114" s="141"/>
      <c r="L114" s="141"/>
      <c r="M114" s="141"/>
      <c r="N114" s="141"/>
      <c r="O114" s="141"/>
      <c r="P114" s="142"/>
      <c r="Q114" s="142"/>
      <c r="R114" s="142"/>
      <c r="S114" s="142"/>
      <c r="T114" s="142"/>
      <c r="U114" s="142"/>
      <c r="V114" s="142"/>
      <c r="W114" s="142"/>
      <c r="X114" s="142"/>
      <c r="Y114" s="141"/>
      <c r="Z114" s="141"/>
      <c r="AA114" s="141"/>
      <c r="AB114" s="141"/>
      <c r="AC114" s="141"/>
      <c r="AD114" s="141"/>
      <c r="AE114" s="141"/>
      <c r="AF114" s="42"/>
      <c r="AG114" s="42"/>
      <c r="AH114" s="43"/>
      <c r="AI114" s="43"/>
      <c r="AJ114" s="141"/>
      <c r="AK114" s="141"/>
      <c r="AL114" s="141"/>
      <c r="AM114" s="141"/>
      <c r="AN114" s="141"/>
      <c r="AO114" s="141"/>
      <c r="AP114" s="141"/>
      <c r="AQ114" s="141"/>
      <c r="AR114" s="141"/>
      <c r="AS114" s="141"/>
      <c r="AT114" s="141"/>
      <c r="AU114" s="141"/>
      <c r="AV114" s="141"/>
      <c r="AW114" s="141"/>
      <c r="AX114" s="141"/>
      <c r="AY114" s="142"/>
      <c r="AZ114" s="142"/>
      <c r="BA114" s="142"/>
      <c r="BB114" s="142"/>
      <c r="BC114" s="142"/>
      <c r="BD114" s="142"/>
      <c r="BE114" s="142"/>
      <c r="BF114" s="142"/>
      <c r="BG114" s="142"/>
      <c r="BH114" s="203"/>
      <c r="BI114" s="203"/>
      <c r="BJ114" s="203"/>
      <c r="BK114" s="203"/>
      <c r="BL114" s="203"/>
      <c r="BM114" s="203"/>
      <c r="BN114" s="203"/>
      <c r="BO114" s="203"/>
      <c r="BP114" s="203"/>
      <c r="BQ114" s="203"/>
      <c r="BR114" s="203"/>
    </row>
    <row r="115" spans="1:70" ht="14.25" customHeight="1" x14ac:dyDescent="0.25">
      <c r="A115" s="141"/>
      <c r="B115" s="141"/>
      <c r="C115" s="141"/>
      <c r="D115" s="141"/>
      <c r="E115" s="141"/>
      <c r="F115" s="141"/>
      <c r="G115" s="141"/>
      <c r="H115" s="141"/>
      <c r="I115" s="141"/>
      <c r="J115" s="141"/>
      <c r="K115" s="141"/>
      <c r="L115" s="141"/>
      <c r="M115" s="141"/>
      <c r="N115" s="141"/>
      <c r="O115" s="141"/>
      <c r="P115" s="142"/>
      <c r="Q115" s="142"/>
      <c r="R115" s="142"/>
      <c r="S115" s="142"/>
      <c r="T115" s="142"/>
      <c r="U115" s="142"/>
      <c r="V115" s="142"/>
      <c r="W115" s="142"/>
      <c r="X115" s="142"/>
      <c r="Y115" s="141"/>
      <c r="Z115" s="141"/>
      <c r="AA115" s="141"/>
      <c r="AB115" s="141"/>
      <c r="AC115" s="141"/>
      <c r="AD115" s="141"/>
      <c r="AE115" s="141"/>
      <c r="AF115" s="42"/>
      <c r="AG115" s="42"/>
      <c r="AH115" s="43"/>
      <c r="AI115" s="43"/>
      <c r="AJ115" s="141"/>
      <c r="AK115" s="141"/>
      <c r="AL115" s="141"/>
      <c r="AM115" s="141"/>
      <c r="AN115" s="141"/>
      <c r="AO115" s="141"/>
      <c r="AP115" s="141"/>
      <c r="AQ115" s="141"/>
      <c r="AR115" s="141"/>
      <c r="AS115" s="141"/>
      <c r="AT115" s="141"/>
      <c r="AU115" s="141"/>
      <c r="AV115" s="141"/>
      <c r="AW115" s="141"/>
      <c r="AX115" s="141"/>
      <c r="AY115" s="142"/>
      <c r="AZ115" s="142"/>
      <c r="BA115" s="142"/>
      <c r="BB115" s="142"/>
      <c r="BC115" s="142"/>
      <c r="BD115" s="142"/>
      <c r="BE115" s="142"/>
      <c r="BF115" s="142"/>
      <c r="BG115" s="142"/>
      <c r="BH115" s="203"/>
      <c r="BI115" s="203"/>
      <c r="BJ115" s="203"/>
      <c r="BK115" s="203"/>
      <c r="BL115" s="203"/>
      <c r="BM115" s="203"/>
      <c r="BN115" s="203"/>
      <c r="BO115" s="203"/>
      <c r="BP115" s="203"/>
      <c r="BQ115" s="203"/>
      <c r="BR115" s="203"/>
    </row>
    <row r="116" spans="1:70" ht="14.25" customHeight="1" x14ac:dyDescent="0.25">
      <c r="A116" s="141"/>
      <c r="B116" s="141"/>
      <c r="C116" s="141"/>
      <c r="D116" s="141"/>
      <c r="E116" s="141"/>
      <c r="F116" s="141"/>
      <c r="G116" s="141"/>
      <c r="H116" s="141"/>
      <c r="I116" s="141"/>
      <c r="J116" s="141"/>
      <c r="K116" s="141"/>
      <c r="L116" s="141"/>
      <c r="M116" s="141"/>
      <c r="N116" s="141"/>
      <c r="O116" s="141"/>
      <c r="P116" s="142"/>
      <c r="Q116" s="142"/>
      <c r="R116" s="142"/>
      <c r="S116" s="142"/>
      <c r="T116" s="142"/>
      <c r="U116" s="142"/>
      <c r="V116" s="142"/>
      <c r="W116" s="142"/>
      <c r="X116" s="142"/>
      <c r="Y116" s="141"/>
      <c r="Z116" s="141"/>
      <c r="AA116" s="141"/>
      <c r="AB116" s="141"/>
      <c r="AC116" s="141"/>
      <c r="AD116" s="141"/>
      <c r="AE116" s="141"/>
      <c r="AF116" s="42"/>
      <c r="AG116" s="42"/>
      <c r="AH116" s="43"/>
      <c r="AI116" s="81"/>
      <c r="AJ116" s="141"/>
      <c r="AK116" s="141"/>
      <c r="AL116" s="141"/>
      <c r="AM116" s="141"/>
      <c r="AN116" s="141"/>
      <c r="AO116" s="141"/>
      <c r="AP116" s="141"/>
      <c r="AQ116" s="141"/>
      <c r="AR116" s="141"/>
      <c r="AS116" s="141"/>
      <c r="AT116" s="141"/>
      <c r="AU116" s="141"/>
      <c r="AV116" s="141"/>
      <c r="AW116" s="141"/>
      <c r="AX116" s="141"/>
      <c r="AY116" s="142"/>
      <c r="AZ116" s="142"/>
      <c r="BA116" s="142"/>
      <c r="BB116" s="142"/>
      <c r="BC116" s="142"/>
      <c r="BD116" s="142"/>
      <c r="BE116" s="142"/>
      <c r="BF116" s="142"/>
      <c r="BG116" s="142"/>
      <c r="BH116" s="203"/>
      <c r="BI116" s="203"/>
      <c r="BJ116" s="203"/>
      <c r="BK116" s="203"/>
      <c r="BL116" s="203"/>
      <c r="BM116" s="203"/>
      <c r="BN116" s="203"/>
      <c r="BO116" s="203"/>
      <c r="BP116" s="203"/>
      <c r="BQ116" s="203"/>
      <c r="BR116" s="203"/>
    </row>
    <row r="117" spans="1:70" ht="14.25" customHeight="1" x14ac:dyDescent="0.25">
      <c r="A117" s="68"/>
      <c r="B117" s="68"/>
      <c r="C117" s="68"/>
      <c r="D117" s="68"/>
      <c r="E117" s="68"/>
      <c r="F117" s="68"/>
      <c r="G117" s="68"/>
      <c r="H117" s="68"/>
      <c r="I117" s="68"/>
      <c r="J117" s="68"/>
      <c r="K117" s="68"/>
      <c r="L117" s="68"/>
      <c r="M117" s="68"/>
      <c r="N117" s="68"/>
      <c r="O117" s="68"/>
      <c r="P117" s="43"/>
      <c r="Q117" s="43"/>
      <c r="R117" s="43"/>
      <c r="S117" s="43"/>
      <c r="T117" s="43"/>
      <c r="U117" s="43"/>
      <c r="V117" s="43"/>
      <c r="W117" s="43"/>
      <c r="X117" s="43"/>
      <c r="Y117" s="81"/>
      <c r="Z117" s="81"/>
      <c r="AA117" s="81"/>
      <c r="AB117" s="81"/>
      <c r="AC117" s="81"/>
      <c r="AD117" s="81"/>
      <c r="AE117" s="81"/>
      <c r="AF117" s="81"/>
      <c r="AG117" s="81"/>
      <c r="AH117" s="43"/>
      <c r="AI117" s="81"/>
      <c r="AJ117" s="68"/>
      <c r="AK117" s="68"/>
      <c r="AL117" s="68"/>
      <c r="AM117" s="68"/>
      <c r="AN117" s="68"/>
      <c r="AO117" s="68"/>
      <c r="AP117" s="68"/>
      <c r="AQ117" s="68"/>
      <c r="AR117" s="68"/>
      <c r="AS117" s="68"/>
      <c r="AT117" s="68"/>
      <c r="AU117" s="68"/>
      <c r="AV117" s="68"/>
      <c r="AW117" s="68"/>
      <c r="AX117" s="68"/>
      <c r="AY117" s="43"/>
      <c r="AZ117" s="43"/>
      <c r="BA117" s="43"/>
      <c r="BB117" s="43"/>
      <c r="BC117" s="43"/>
      <c r="BD117" s="43"/>
      <c r="BE117" s="43"/>
      <c r="BF117" s="43"/>
      <c r="BG117" s="43"/>
      <c r="BH117" s="81"/>
      <c r="BI117" s="81"/>
      <c r="BJ117" s="81"/>
      <c r="BK117" s="81"/>
      <c r="BL117" s="81"/>
      <c r="BM117" s="81"/>
      <c r="BN117" s="81"/>
      <c r="BO117" s="61"/>
      <c r="BP117" s="61"/>
    </row>
    <row r="118" spans="1:70" ht="14.25" customHeight="1" x14ac:dyDescent="0.25">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3"/>
      <c r="Z118" s="43"/>
      <c r="AA118" s="43"/>
      <c r="AB118" s="43"/>
      <c r="AC118" s="43"/>
      <c r="AD118" s="43"/>
      <c r="AE118" s="43"/>
      <c r="AF118" s="42"/>
      <c r="AG118" s="42"/>
      <c r="AH118" s="43"/>
      <c r="AI118" s="43"/>
      <c r="AJ118" s="42"/>
      <c r="AK118" s="42"/>
      <c r="AL118" s="42"/>
      <c r="AM118" s="42"/>
      <c r="AN118" s="42"/>
      <c r="AO118" s="42"/>
      <c r="AP118" s="42"/>
      <c r="AQ118" s="42"/>
      <c r="AR118" s="42"/>
      <c r="AS118" s="42"/>
      <c r="AT118" s="42"/>
      <c r="AU118" s="42"/>
      <c r="AV118" s="42"/>
      <c r="AW118" s="42"/>
      <c r="AX118" s="42"/>
      <c r="AY118" s="42"/>
      <c r="AZ118" s="42"/>
      <c r="BA118" s="42"/>
      <c r="BB118" s="42"/>
      <c r="BC118" s="42"/>
      <c r="BD118" s="42"/>
      <c r="BE118" s="42"/>
      <c r="BF118" s="42"/>
      <c r="BG118" s="42"/>
      <c r="BH118" s="42"/>
      <c r="BI118" s="42"/>
      <c r="BJ118" s="42"/>
      <c r="BK118" s="42"/>
      <c r="BL118" s="42"/>
      <c r="BM118" s="42"/>
      <c r="BN118" s="42"/>
      <c r="BO118" s="61"/>
      <c r="BP118" s="61"/>
    </row>
    <row r="119" spans="1:70" ht="14.25" customHeight="1" x14ac:dyDescent="0.25">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3"/>
      <c r="Z119" s="43"/>
      <c r="AA119" s="43"/>
      <c r="AB119" s="43"/>
      <c r="AC119" s="43"/>
      <c r="AD119" s="43"/>
      <c r="AE119" s="43"/>
      <c r="AF119" s="42"/>
      <c r="AG119" s="42"/>
      <c r="AH119" s="43"/>
      <c r="AI119" s="43"/>
      <c r="AJ119" s="42"/>
      <c r="AK119" s="42"/>
      <c r="AL119" s="42"/>
      <c r="AM119" s="42"/>
      <c r="AN119" s="42"/>
      <c r="AO119" s="42"/>
      <c r="AP119" s="42"/>
      <c r="AQ119" s="42"/>
      <c r="AR119" s="42"/>
      <c r="AS119" s="42"/>
      <c r="AT119" s="42"/>
      <c r="AU119" s="42"/>
      <c r="AV119" s="42"/>
      <c r="AW119" s="42"/>
      <c r="AX119" s="42"/>
      <c r="AY119" s="42"/>
      <c r="AZ119" s="42"/>
      <c r="BA119" s="42"/>
      <c r="BB119" s="42"/>
      <c r="BC119" s="42"/>
      <c r="BD119" s="42"/>
      <c r="BE119" s="42"/>
      <c r="BF119" s="42"/>
      <c r="BG119" s="42"/>
      <c r="BH119" s="42"/>
      <c r="BI119" s="42"/>
      <c r="BJ119" s="42"/>
      <c r="BK119" s="42"/>
      <c r="BL119" s="42"/>
      <c r="BM119" s="42"/>
      <c r="BN119" s="42"/>
      <c r="BO119" s="61"/>
      <c r="BP119" s="61"/>
    </row>
    <row r="120" spans="1:70" ht="14.25" customHeight="1" x14ac:dyDescent="0.25">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3"/>
      <c r="Z120" s="43"/>
      <c r="AA120" s="43"/>
      <c r="AB120" s="43"/>
      <c r="AC120" s="43"/>
      <c r="AD120" s="43"/>
      <c r="AE120" s="43"/>
      <c r="AF120" s="42"/>
      <c r="AG120" s="42"/>
      <c r="AH120" s="43"/>
      <c r="AI120" s="43"/>
      <c r="AJ120" s="42"/>
      <c r="AK120" s="42"/>
      <c r="AL120" s="42"/>
      <c r="AM120" s="42"/>
      <c r="AN120" s="42"/>
      <c r="AO120" s="42"/>
      <c r="AP120" s="42"/>
      <c r="AQ120" s="42"/>
      <c r="AR120" s="42"/>
      <c r="AS120" s="42"/>
      <c r="AT120" s="42"/>
      <c r="AU120" s="42"/>
      <c r="AV120" s="42"/>
      <c r="AW120" s="42"/>
      <c r="AX120" s="42"/>
      <c r="AY120" s="42"/>
      <c r="AZ120" s="42"/>
      <c r="BA120" s="42"/>
      <c r="BB120" s="42"/>
      <c r="BC120" s="42"/>
      <c r="BD120" s="42"/>
      <c r="BE120" s="42"/>
      <c r="BF120" s="42"/>
      <c r="BG120" s="42"/>
      <c r="BH120" s="42"/>
      <c r="BI120" s="42"/>
      <c r="BJ120" s="42"/>
      <c r="BK120" s="42"/>
      <c r="BL120" s="42"/>
      <c r="BM120" s="42"/>
      <c r="BN120" s="42"/>
      <c r="BO120" s="61"/>
      <c r="BP120" s="61"/>
    </row>
    <row r="121" spans="1:70" ht="14.25" customHeight="1" x14ac:dyDescent="0.25">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3"/>
      <c r="Z121" s="43"/>
      <c r="AA121" s="43"/>
      <c r="AB121" s="43"/>
      <c r="AC121" s="43"/>
      <c r="AD121" s="43"/>
      <c r="AE121" s="43"/>
      <c r="AF121" s="42"/>
      <c r="AG121" s="42"/>
      <c r="AH121" s="43"/>
      <c r="AI121" s="37"/>
      <c r="AJ121" s="42"/>
      <c r="AK121" s="42"/>
      <c r="AL121" s="42"/>
      <c r="AM121" s="42"/>
      <c r="AN121" s="42"/>
      <c r="AO121" s="42"/>
      <c r="AP121" s="42"/>
      <c r="AQ121" s="42"/>
      <c r="AR121" s="42"/>
      <c r="AS121" s="42"/>
      <c r="AT121" s="42"/>
      <c r="AU121" s="42"/>
      <c r="AV121" s="42"/>
      <c r="AW121" s="42"/>
      <c r="AX121" s="42"/>
      <c r="AY121" s="42"/>
      <c r="AZ121" s="42"/>
      <c r="BA121" s="42"/>
      <c r="BB121" s="42"/>
      <c r="BC121" s="42"/>
      <c r="BD121" s="42"/>
      <c r="BE121" s="42"/>
      <c r="BF121" s="42"/>
      <c r="BG121" s="42"/>
      <c r="BH121" s="42"/>
      <c r="BI121" s="42"/>
      <c r="BJ121" s="42"/>
      <c r="BK121" s="42"/>
      <c r="BL121" s="42"/>
      <c r="BM121" s="42"/>
      <c r="BN121" s="42"/>
    </row>
    <row r="122" spans="1:70" ht="14.25" customHeight="1" x14ac:dyDescent="0.3">
      <c r="A122" s="68"/>
      <c r="B122" s="46"/>
      <c r="C122" s="46"/>
      <c r="D122" s="68"/>
      <c r="E122" s="68"/>
      <c r="F122" s="68"/>
      <c r="G122" s="68"/>
      <c r="H122" s="68"/>
      <c r="I122" s="68"/>
      <c r="J122" s="68"/>
      <c r="K122" s="68"/>
      <c r="L122" s="68"/>
      <c r="M122" s="68"/>
      <c r="N122" s="68"/>
      <c r="O122" s="68"/>
      <c r="P122" s="42"/>
      <c r="Q122" s="42"/>
      <c r="R122" s="42"/>
      <c r="S122" s="42"/>
      <c r="T122" s="42"/>
      <c r="U122" s="42"/>
      <c r="V122" s="42"/>
      <c r="W122" s="42"/>
      <c r="X122" s="42"/>
      <c r="Y122" s="43"/>
      <c r="Z122" s="43"/>
      <c r="AA122" s="43"/>
      <c r="AB122" s="43"/>
      <c r="AC122" s="43"/>
      <c r="AD122" s="43"/>
      <c r="AE122" s="43"/>
      <c r="AF122" s="47"/>
      <c r="AG122" s="47"/>
      <c r="AH122" s="48"/>
      <c r="AI122" s="47"/>
      <c r="AJ122" s="68"/>
      <c r="AK122" s="68"/>
      <c r="AL122" s="68"/>
      <c r="AM122" s="68"/>
      <c r="AN122" s="68"/>
      <c r="AO122" s="68"/>
      <c r="AP122" s="68"/>
      <c r="AQ122" s="68"/>
      <c r="AR122" s="68"/>
      <c r="AS122" s="68"/>
      <c r="AT122" s="68"/>
      <c r="AU122" s="68"/>
      <c r="AV122" s="68"/>
      <c r="AW122" s="68"/>
      <c r="AX122" s="68"/>
      <c r="AY122" s="187"/>
      <c r="AZ122" s="187"/>
      <c r="BA122" s="187"/>
      <c r="BB122" s="187"/>
      <c r="BC122" s="187"/>
      <c r="BD122" s="187"/>
      <c r="BE122" s="187"/>
      <c r="BF122" s="187"/>
      <c r="BG122" s="187"/>
      <c r="BH122" s="187"/>
      <c r="BI122" s="187"/>
      <c r="BJ122" s="187"/>
      <c r="BK122" s="187"/>
      <c r="BL122" s="187"/>
      <c r="BM122" s="187"/>
      <c r="BN122" s="187"/>
      <c r="BO122" s="187"/>
      <c r="BP122" s="187"/>
    </row>
    <row r="123" spans="1:70" ht="14.25" customHeight="1" x14ac:dyDescent="0.3">
      <c r="A123" s="68"/>
      <c r="B123" s="46"/>
      <c r="C123" s="46"/>
      <c r="D123" s="68"/>
      <c r="E123" s="68"/>
      <c r="F123" s="68"/>
      <c r="G123" s="68"/>
      <c r="H123" s="68"/>
      <c r="I123" s="68"/>
      <c r="J123" s="68"/>
      <c r="K123" s="68"/>
      <c r="L123" s="68"/>
      <c r="M123" s="68"/>
      <c r="N123" s="68"/>
      <c r="O123" s="68"/>
      <c r="P123" s="42"/>
      <c r="Q123" s="42"/>
      <c r="R123" s="42"/>
      <c r="S123" s="42"/>
      <c r="T123" s="42"/>
      <c r="U123" s="42"/>
      <c r="V123" s="42"/>
      <c r="W123" s="42"/>
      <c r="X123" s="42"/>
      <c r="Y123" s="43"/>
      <c r="Z123" s="43"/>
      <c r="AA123" s="43"/>
      <c r="AB123" s="43"/>
      <c r="AC123" s="43"/>
      <c r="AD123" s="43"/>
      <c r="AE123" s="43"/>
      <c r="AF123" s="47"/>
      <c r="AG123" s="47"/>
      <c r="AH123" s="48"/>
      <c r="AI123" s="47"/>
      <c r="AJ123" s="68"/>
      <c r="AK123" s="68"/>
      <c r="AL123" s="68"/>
      <c r="AM123" s="68"/>
      <c r="AN123" s="68"/>
      <c r="AO123" s="68"/>
      <c r="AP123" s="68"/>
      <c r="AQ123" s="68"/>
      <c r="AR123" s="68"/>
      <c r="AS123" s="68"/>
      <c r="AT123" s="68"/>
      <c r="AU123" s="68"/>
      <c r="AV123" s="68"/>
      <c r="AW123" s="68"/>
      <c r="AX123" s="68"/>
      <c r="AY123" s="78"/>
      <c r="AZ123" s="78"/>
      <c r="BA123" s="78"/>
      <c r="BB123" s="78"/>
      <c r="BC123" s="78"/>
      <c r="BD123" s="78"/>
      <c r="BE123" s="78"/>
      <c r="BF123" s="78"/>
      <c r="BG123" s="78"/>
      <c r="BH123" s="78"/>
      <c r="BI123" s="78"/>
      <c r="BJ123" s="78"/>
      <c r="BK123" s="78"/>
      <c r="BL123" s="78"/>
      <c r="BM123" s="78"/>
      <c r="BN123" s="78"/>
      <c r="BO123" s="78"/>
      <c r="BP123" s="78"/>
    </row>
    <row r="124" spans="1:70" ht="14.25" customHeight="1" x14ac:dyDescent="0.3">
      <c r="A124" s="68"/>
      <c r="B124" s="46"/>
      <c r="C124" s="46"/>
      <c r="D124" s="68"/>
      <c r="E124" s="68"/>
      <c r="F124" s="68"/>
      <c r="G124" s="68"/>
      <c r="H124" s="68"/>
      <c r="I124" s="68"/>
      <c r="J124" s="68"/>
      <c r="K124" s="68"/>
      <c r="L124" s="68"/>
      <c r="M124" s="68"/>
      <c r="N124" s="68"/>
      <c r="O124" s="68"/>
      <c r="P124" s="42"/>
      <c r="Q124" s="42"/>
      <c r="R124" s="42"/>
      <c r="S124" s="42"/>
      <c r="T124" s="42"/>
      <c r="U124" s="42"/>
      <c r="V124" s="42"/>
      <c r="W124" s="42"/>
      <c r="X124" s="42"/>
      <c r="Y124" s="43"/>
      <c r="Z124" s="43"/>
      <c r="AA124" s="43"/>
      <c r="AB124" s="43"/>
      <c r="AC124" s="43"/>
      <c r="AD124" s="43"/>
      <c r="AE124" s="43"/>
      <c r="AF124" s="47"/>
      <c r="AG124" s="47"/>
      <c r="AH124" s="48"/>
      <c r="AI124" s="47"/>
      <c r="AJ124" s="68"/>
      <c r="AK124" s="68"/>
      <c r="AL124" s="68"/>
      <c r="AM124" s="68"/>
      <c r="AN124" s="68"/>
      <c r="AO124" s="68"/>
      <c r="AP124" s="68"/>
      <c r="AQ124" s="68"/>
      <c r="AR124" s="68"/>
      <c r="AS124" s="68"/>
      <c r="AT124" s="68"/>
      <c r="AU124" s="68"/>
      <c r="AV124" s="68"/>
      <c r="AW124" s="68"/>
      <c r="AX124" s="68"/>
      <c r="AY124" s="78"/>
      <c r="AZ124" s="78"/>
      <c r="BA124" s="78"/>
      <c r="BB124" s="78"/>
      <c r="BC124" s="78"/>
      <c r="BD124" s="78"/>
      <c r="BE124" s="78"/>
      <c r="BF124" s="78"/>
      <c r="BG124" s="78"/>
      <c r="BH124" s="78"/>
      <c r="BI124" s="78"/>
      <c r="BJ124" s="78"/>
      <c r="BK124" s="78"/>
      <c r="BL124" s="78"/>
      <c r="BM124" s="78"/>
      <c r="BN124" s="78"/>
      <c r="BO124" s="78"/>
      <c r="BP124" s="78"/>
    </row>
    <row r="125" spans="1:70" ht="14.25" customHeight="1" x14ac:dyDescent="0.3">
      <c r="A125" s="45"/>
      <c r="B125" s="45"/>
      <c r="C125" s="45"/>
      <c r="D125" s="45"/>
      <c r="E125" s="45"/>
      <c r="F125" s="45"/>
      <c r="G125" s="45"/>
      <c r="H125" s="45"/>
      <c r="I125" s="45"/>
      <c r="J125" s="45"/>
      <c r="K125" s="45"/>
      <c r="L125" s="45"/>
      <c r="M125" s="45"/>
      <c r="N125" s="45"/>
      <c r="O125" s="45"/>
      <c r="P125" s="42"/>
      <c r="Q125" s="42"/>
      <c r="R125" s="42"/>
      <c r="S125" s="42"/>
      <c r="T125" s="42"/>
      <c r="U125" s="42"/>
      <c r="V125" s="42"/>
      <c r="W125" s="42"/>
      <c r="X125" s="42"/>
      <c r="Y125" s="43"/>
      <c r="Z125" s="43"/>
      <c r="AA125" s="43"/>
      <c r="AB125" s="43"/>
      <c r="AC125" s="43"/>
      <c r="AD125" s="43"/>
      <c r="AE125" s="43"/>
      <c r="AF125" s="45"/>
      <c r="AG125" s="45"/>
      <c r="AH125" s="48"/>
      <c r="AI125" s="48"/>
      <c r="AJ125" s="206"/>
      <c r="AK125" s="206"/>
      <c r="AL125" s="206"/>
      <c r="AM125" s="206"/>
      <c r="AN125" s="206"/>
      <c r="AO125" s="206"/>
      <c r="AP125" s="206"/>
      <c r="AQ125" s="206"/>
      <c r="AR125" s="206"/>
      <c r="AS125" s="206"/>
      <c r="AT125" s="206"/>
      <c r="AU125" s="206"/>
      <c r="AV125" s="206"/>
      <c r="AW125" s="206"/>
      <c r="AX125" s="206"/>
      <c r="AY125" s="187"/>
      <c r="AZ125" s="187"/>
      <c r="BA125" s="187"/>
      <c r="BB125" s="187"/>
      <c r="BC125" s="187"/>
      <c r="BD125" s="187"/>
      <c r="BE125" s="187"/>
      <c r="BF125" s="187"/>
      <c r="BG125" s="187"/>
      <c r="BH125" s="187"/>
      <c r="BI125" s="187"/>
      <c r="BJ125" s="187"/>
      <c r="BK125" s="187"/>
      <c r="BL125" s="187"/>
      <c r="BM125" s="187"/>
      <c r="BN125" s="187"/>
      <c r="BO125" s="187"/>
      <c r="BP125" s="187"/>
    </row>
    <row r="126" spans="1:70" ht="14.25" customHeight="1" x14ac:dyDescent="0.3">
      <c r="A126" s="45"/>
      <c r="B126" s="45"/>
      <c r="C126" s="45"/>
      <c r="D126" s="45"/>
      <c r="E126" s="45"/>
      <c r="F126" s="45"/>
      <c r="G126" s="45"/>
      <c r="H126" s="45"/>
      <c r="I126" s="45"/>
      <c r="J126" s="45"/>
      <c r="K126" s="45"/>
      <c r="L126" s="45"/>
      <c r="M126" s="45"/>
      <c r="N126" s="45"/>
      <c r="O126" s="45"/>
      <c r="P126" s="42"/>
      <c r="Q126" s="42"/>
      <c r="R126" s="42"/>
      <c r="S126" s="42"/>
      <c r="T126" s="42"/>
      <c r="U126" s="42"/>
      <c r="V126" s="42"/>
      <c r="W126" s="42"/>
      <c r="X126" s="42"/>
      <c r="Y126" s="43"/>
      <c r="Z126" s="43"/>
      <c r="AA126" s="43"/>
      <c r="AB126" s="43"/>
      <c r="AC126" s="43"/>
      <c r="AD126" s="43"/>
      <c r="AE126" s="43"/>
      <c r="AF126" s="45"/>
      <c r="AG126" s="45"/>
      <c r="AH126" s="48"/>
      <c r="AI126" s="37"/>
      <c r="AJ126" s="206"/>
      <c r="AK126" s="206"/>
      <c r="AL126" s="206"/>
      <c r="AM126" s="206"/>
      <c r="AN126" s="206"/>
      <c r="AO126" s="206"/>
      <c r="AP126" s="206"/>
      <c r="AQ126" s="206"/>
      <c r="AR126" s="206"/>
      <c r="AS126" s="206"/>
      <c r="AT126" s="206"/>
      <c r="AU126" s="206"/>
      <c r="AV126" s="206"/>
      <c r="AW126" s="206"/>
      <c r="AX126" s="206"/>
      <c r="AY126" s="45"/>
      <c r="AZ126" s="45"/>
      <c r="BA126" s="45"/>
      <c r="BB126" s="45"/>
      <c r="BC126" s="45"/>
      <c r="BD126" s="45"/>
      <c r="BE126" s="45"/>
      <c r="BF126" s="45"/>
      <c r="BG126" s="45"/>
    </row>
    <row r="127" spans="1:70" ht="14.25" customHeight="1" x14ac:dyDescent="0.3">
      <c r="A127" s="45"/>
      <c r="B127" s="45"/>
      <c r="C127" s="45"/>
      <c r="D127" s="45"/>
      <c r="E127" s="45"/>
      <c r="F127" s="45"/>
      <c r="G127" s="45"/>
      <c r="H127" s="45"/>
      <c r="I127" s="45"/>
      <c r="J127" s="45"/>
      <c r="K127" s="45"/>
      <c r="L127" s="45"/>
      <c r="M127" s="45"/>
      <c r="N127" s="45"/>
      <c r="O127" s="45"/>
      <c r="P127" s="42"/>
      <c r="Q127" s="42"/>
      <c r="R127" s="42"/>
      <c r="S127" s="42"/>
      <c r="T127" s="42"/>
      <c r="U127" s="42"/>
      <c r="V127" s="42"/>
      <c r="W127" s="42"/>
      <c r="X127" s="42"/>
      <c r="Y127" s="43"/>
      <c r="Z127" s="43"/>
      <c r="AA127" s="43"/>
      <c r="AB127" s="43"/>
      <c r="AC127" s="43"/>
      <c r="AD127" s="43"/>
      <c r="AE127" s="43"/>
      <c r="AF127" s="45"/>
      <c r="AG127" s="45"/>
      <c r="AH127" s="48"/>
      <c r="AI127" s="37"/>
      <c r="AJ127" s="83"/>
      <c r="AK127" s="83"/>
      <c r="AL127" s="83"/>
      <c r="AM127" s="83"/>
      <c r="AN127" s="83"/>
      <c r="AO127" s="83"/>
      <c r="AP127" s="83"/>
      <c r="AQ127" s="83"/>
      <c r="AR127" s="83"/>
      <c r="AS127" s="83"/>
      <c r="AT127" s="83"/>
      <c r="AU127" s="83"/>
      <c r="AV127" s="83"/>
      <c r="AW127" s="83"/>
      <c r="AX127" s="83"/>
      <c r="AY127" s="45"/>
      <c r="AZ127" s="45"/>
      <c r="BA127" s="45"/>
      <c r="BB127" s="45"/>
      <c r="BC127" s="45"/>
      <c r="BD127" s="45"/>
      <c r="BE127" s="45"/>
      <c r="BF127" s="45"/>
      <c r="BG127" s="45"/>
    </row>
    <row r="128" spans="1:70" ht="14.25" customHeight="1" x14ac:dyDescent="0.3">
      <c r="A128" s="45"/>
      <c r="B128" s="45"/>
      <c r="C128" s="45"/>
      <c r="D128" s="45"/>
      <c r="E128" s="45"/>
      <c r="F128" s="45"/>
      <c r="G128" s="45"/>
      <c r="H128" s="45"/>
      <c r="I128" s="45"/>
      <c r="J128" s="45"/>
      <c r="K128" s="45"/>
      <c r="L128" s="45"/>
      <c r="M128" s="45"/>
      <c r="N128" s="45"/>
      <c r="O128" s="45"/>
      <c r="P128" s="42"/>
      <c r="Q128" s="42"/>
      <c r="R128" s="42"/>
      <c r="S128" s="42"/>
      <c r="T128" s="42"/>
      <c r="U128" s="42"/>
      <c r="V128" s="42"/>
      <c r="W128" s="42"/>
      <c r="X128" s="42"/>
      <c r="Y128" s="43"/>
      <c r="Z128" s="43"/>
      <c r="AA128" s="43"/>
      <c r="AB128" s="43"/>
      <c r="AC128" s="43"/>
      <c r="AD128" s="43"/>
      <c r="AE128" s="43"/>
      <c r="AF128" s="45"/>
      <c r="AG128" s="45"/>
      <c r="AH128" s="48"/>
      <c r="AI128" s="37"/>
      <c r="AJ128" s="83"/>
      <c r="AK128" s="83"/>
      <c r="AL128" s="83"/>
      <c r="AM128" s="83"/>
      <c r="AN128" s="83"/>
      <c r="AO128" s="83"/>
      <c r="AP128" s="83"/>
      <c r="AQ128" s="83"/>
      <c r="AR128" s="83"/>
      <c r="AS128" s="83"/>
      <c r="AT128" s="83"/>
      <c r="AU128" s="83"/>
      <c r="AV128" s="83"/>
      <c r="AW128" s="83"/>
      <c r="AX128" s="83"/>
      <c r="AY128" s="45"/>
      <c r="AZ128" s="45"/>
      <c r="BA128" s="45"/>
      <c r="BB128" s="45"/>
      <c r="BC128" s="45"/>
      <c r="BD128" s="45"/>
      <c r="BE128" s="45"/>
      <c r="BF128" s="45"/>
      <c r="BG128" s="45"/>
    </row>
    <row r="129" spans="1:54" ht="14.25" customHeight="1" x14ac:dyDescent="0.3">
      <c r="A129" s="49"/>
      <c r="B129" s="49"/>
      <c r="C129" s="49"/>
      <c r="D129" s="49"/>
      <c r="E129" s="49"/>
      <c r="F129" s="49"/>
      <c r="G129" s="49"/>
      <c r="H129" s="49"/>
      <c r="I129" s="49"/>
      <c r="J129" s="49"/>
      <c r="K129" s="49"/>
      <c r="L129" s="49"/>
      <c r="M129" s="49"/>
      <c r="N129" s="49"/>
      <c r="O129" s="49"/>
      <c r="P129" s="42"/>
      <c r="Q129" s="42"/>
      <c r="R129" s="42"/>
      <c r="S129" s="42"/>
      <c r="T129" s="42"/>
      <c r="U129" s="42"/>
      <c r="V129" s="42"/>
      <c r="W129" s="42"/>
      <c r="X129" s="42"/>
      <c r="Y129" s="43"/>
      <c r="Z129" s="43"/>
      <c r="AA129" s="43"/>
      <c r="AB129" s="43"/>
      <c r="AC129" s="43"/>
      <c r="AD129" s="43"/>
      <c r="AE129" s="43"/>
      <c r="AF129" s="49"/>
      <c r="AG129" s="49"/>
      <c r="AH129" s="50"/>
      <c r="AI129" s="50"/>
      <c r="AJ129" s="62"/>
      <c r="AK129" s="62"/>
      <c r="AL129" s="62"/>
      <c r="AM129" s="62"/>
      <c r="AN129" s="62"/>
      <c r="AO129" s="62"/>
      <c r="AP129" s="62"/>
      <c r="AQ129" s="41"/>
      <c r="AR129" s="41"/>
      <c r="AS129" s="41"/>
      <c r="AT129" s="41"/>
      <c r="AU129" s="41"/>
      <c r="AV129" s="41"/>
      <c r="AW129" s="41"/>
      <c r="AX129" s="41"/>
      <c r="AY129" s="41"/>
      <c r="AZ129" s="41"/>
      <c r="BA129" s="41"/>
      <c r="BB129" s="41"/>
    </row>
    <row r="130" spans="1:54" ht="14.25" customHeight="1" x14ac:dyDescent="0.3">
      <c r="A130" s="49"/>
      <c r="B130" s="49"/>
      <c r="C130" s="49"/>
      <c r="D130" s="49"/>
      <c r="E130" s="49"/>
      <c r="F130" s="49"/>
      <c r="G130" s="49"/>
      <c r="H130" s="49"/>
      <c r="I130" s="49"/>
      <c r="J130" s="49"/>
      <c r="K130" s="49"/>
      <c r="L130" s="49"/>
      <c r="M130" s="49"/>
      <c r="N130" s="49"/>
      <c r="O130" s="49"/>
      <c r="P130" s="49"/>
      <c r="Q130" s="49"/>
      <c r="R130" s="49"/>
      <c r="S130" s="49"/>
      <c r="T130" s="82"/>
      <c r="U130" s="82"/>
      <c r="V130" s="82"/>
      <c r="W130" s="49"/>
      <c r="X130" s="49"/>
      <c r="Y130" s="49"/>
      <c r="Z130" s="49"/>
      <c r="AA130" s="49"/>
      <c r="AB130" s="49"/>
      <c r="AC130" s="49"/>
      <c r="AD130" s="49"/>
      <c r="AE130" s="49"/>
      <c r="AF130" s="49"/>
      <c r="AG130" s="49"/>
      <c r="AH130" s="50"/>
      <c r="AI130" s="50"/>
      <c r="AJ130" s="62"/>
      <c r="AK130" s="62"/>
      <c r="AL130" s="62"/>
      <c r="AM130" s="62"/>
      <c r="AN130" s="62"/>
      <c r="AO130" s="62"/>
      <c r="AP130" s="62"/>
    </row>
    <row r="131" spans="1:54" ht="14.25" customHeight="1" x14ac:dyDescent="0.25">
      <c r="A131" s="82"/>
      <c r="B131" s="51"/>
      <c r="C131" s="51"/>
      <c r="D131" s="82"/>
      <c r="E131" s="82"/>
      <c r="F131" s="82"/>
      <c r="G131" s="82"/>
      <c r="H131" s="82"/>
      <c r="I131" s="82"/>
      <c r="J131" s="82"/>
      <c r="K131" s="82"/>
      <c r="L131" s="82"/>
      <c r="M131" s="82"/>
      <c r="N131" s="82"/>
      <c r="O131" s="82"/>
      <c r="P131" s="82"/>
      <c r="Q131" s="82"/>
      <c r="R131" s="82"/>
      <c r="S131" s="82"/>
      <c r="T131" s="82"/>
      <c r="U131" s="82"/>
      <c r="V131" s="82"/>
      <c r="W131" s="82"/>
      <c r="X131" s="82"/>
      <c r="Y131" s="52"/>
      <c r="Z131" s="52"/>
      <c r="AA131" s="52"/>
      <c r="AB131" s="52"/>
      <c r="AC131" s="52"/>
      <c r="AD131" s="52"/>
      <c r="AE131" s="52"/>
      <c r="AF131" s="52"/>
      <c r="AG131" s="52"/>
      <c r="AH131" s="52"/>
      <c r="AI131" s="52"/>
      <c r="AJ131" s="52"/>
      <c r="AK131" s="52"/>
      <c r="AL131" s="52"/>
      <c r="AM131" s="52"/>
      <c r="AN131" s="52"/>
      <c r="AO131" s="52"/>
      <c r="AP131" s="52"/>
    </row>
    <row r="132" spans="1:54" ht="14.25" customHeight="1" x14ac:dyDescent="0.3">
      <c r="A132" s="49"/>
      <c r="B132" s="49"/>
      <c r="C132" s="49"/>
      <c r="D132" s="49"/>
      <c r="E132" s="49"/>
      <c r="F132" s="49"/>
      <c r="G132" s="49"/>
      <c r="H132" s="49"/>
      <c r="I132" s="49"/>
      <c r="J132" s="49"/>
      <c r="K132" s="49"/>
      <c r="L132" s="49"/>
      <c r="M132" s="49"/>
      <c r="N132" s="49"/>
      <c r="O132" s="49"/>
      <c r="P132" s="49"/>
      <c r="Q132" s="49"/>
      <c r="R132" s="49"/>
      <c r="S132" s="49"/>
      <c r="T132" s="53"/>
      <c r="U132" s="53"/>
      <c r="V132" s="54"/>
      <c r="W132" s="49"/>
      <c r="X132" s="49"/>
      <c r="Y132" s="49"/>
      <c r="Z132" s="49"/>
      <c r="AA132" s="49"/>
      <c r="AB132" s="49"/>
      <c r="AC132" s="49"/>
      <c r="AD132" s="49"/>
      <c r="AE132" s="49"/>
      <c r="AF132" s="49"/>
      <c r="AG132" s="49"/>
      <c r="AH132" s="55"/>
      <c r="AI132" s="55"/>
      <c r="AJ132" s="62"/>
      <c r="AK132" s="62"/>
      <c r="AL132" s="62"/>
      <c r="AM132" s="62"/>
      <c r="AN132" s="62"/>
      <c r="AO132" s="62"/>
      <c r="AP132" s="62"/>
    </row>
    <row r="133" spans="1:54" ht="14.25" customHeight="1" x14ac:dyDescent="0.25">
      <c r="A133" s="82"/>
      <c r="B133" s="51"/>
      <c r="C133" s="51"/>
      <c r="D133" s="82"/>
      <c r="E133" s="82"/>
      <c r="F133" s="82"/>
      <c r="G133" s="82"/>
      <c r="H133" s="82"/>
      <c r="I133" s="82"/>
      <c r="J133" s="82"/>
      <c r="K133" s="82"/>
      <c r="L133" s="82"/>
      <c r="M133" s="82"/>
      <c r="N133" s="82"/>
      <c r="O133" s="82"/>
      <c r="P133" s="82"/>
      <c r="Q133" s="49"/>
      <c r="R133" s="49"/>
      <c r="S133" s="49"/>
      <c r="T133" s="53"/>
      <c r="U133" s="53"/>
      <c r="V133" s="54"/>
      <c r="W133" s="54"/>
      <c r="X133" s="54"/>
      <c r="Y133" s="56"/>
      <c r="Z133" s="56"/>
      <c r="AA133" s="56"/>
      <c r="AB133" s="56"/>
      <c r="AC133" s="56"/>
      <c r="AD133" s="56"/>
      <c r="AE133" s="56"/>
      <c r="AF133" s="56"/>
      <c r="AG133" s="56"/>
      <c r="AH133" s="56"/>
      <c r="AI133" s="55"/>
      <c r="AJ133" s="56"/>
      <c r="AK133" s="56"/>
      <c r="AL133" s="56"/>
      <c r="AM133" s="56"/>
      <c r="AN133" s="56"/>
      <c r="AO133" s="56"/>
      <c r="AP133" s="56"/>
    </row>
    <row r="134" spans="1:54" ht="14.25" customHeight="1" x14ac:dyDescent="0.3">
      <c r="A134" s="49"/>
      <c r="B134" s="49"/>
      <c r="C134" s="49"/>
      <c r="D134" s="49"/>
      <c r="E134" s="49"/>
      <c r="F134" s="49"/>
      <c r="G134" s="49"/>
      <c r="H134" s="49"/>
      <c r="I134" s="49"/>
      <c r="J134" s="49"/>
      <c r="K134" s="49"/>
      <c r="L134" s="49"/>
      <c r="M134" s="49"/>
      <c r="N134" s="49"/>
      <c r="O134" s="49"/>
      <c r="P134" s="49"/>
      <c r="Q134" s="49"/>
      <c r="R134" s="49"/>
      <c r="S134" s="49"/>
      <c r="T134" s="52"/>
      <c r="U134" s="52"/>
      <c r="V134" s="54"/>
      <c r="W134" s="49"/>
      <c r="X134" s="49"/>
      <c r="Y134" s="49"/>
      <c r="Z134" s="49"/>
      <c r="AA134" s="49"/>
      <c r="AB134" s="49"/>
      <c r="AC134" s="49"/>
      <c r="AD134" s="49"/>
      <c r="AE134" s="49"/>
      <c r="AF134" s="49"/>
      <c r="AG134" s="49"/>
      <c r="AH134" s="55"/>
      <c r="AI134" s="55"/>
      <c r="AJ134" s="62"/>
      <c r="AK134" s="62"/>
      <c r="AL134" s="62"/>
      <c r="AM134" s="62"/>
      <c r="AN134" s="62"/>
      <c r="AO134" s="62"/>
      <c r="AP134" s="62"/>
    </row>
    <row r="135" spans="1:54" ht="14.25" customHeight="1" x14ac:dyDescent="0.25">
      <c r="A135" s="82"/>
      <c r="B135" s="51"/>
      <c r="C135" s="51"/>
      <c r="D135" s="82"/>
      <c r="E135" s="82"/>
      <c r="F135" s="82"/>
      <c r="G135" s="82"/>
      <c r="H135" s="82"/>
      <c r="I135" s="82"/>
      <c r="J135" s="82"/>
      <c r="K135" s="82"/>
      <c r="L135" s="82"/>
      <c r="M135" s="82"/>
      <c r="N135" s="82"/>
      <c r="O135" s="82"/>
      <c r="P135" s="82"/>
      <c r="Q135" s="82"/>
      <c r="R135" s="82"/>
      <c r="S135" s="82"/>
      <c r="T135" s="52"/>
      <c r="U135" s="52"/>
      <c r="V135" s="54"/>
      <c r="W135" s="54"/>
      <c r="X135" s="57"/>
      <c r="Y135" s="56"/>
      <c r="Z135" s="56"/>
      <c r="AA135" s="56"/>
      <c r="AB135" s="56"/>
      <c r="AC135" s="56"/>
      <c r="AD135" s="56"/>
      <c r="AE135" s="56"/>
      <c r="AF135" s="56"/>
      <c r="AG135" s="56"/>
      <c r="AH135" s="56"/>
      <c r="AI135" s="56"/>
      <c r="AJ135" s="56"/>
      <c r="AK135" s="56"/>
      <c r="AL135" s="56"/>
      <c r="AM135" s="56"/>
      <c r="AN135" s="56"/>
      <c r="AO135" s="56"/>
      <c r="AP135" s="56"/>
    </row>
    <row r="136" spans="1:54" ht="14.25" customHeight="1" x14ac:dyDescent="0.3">
      <c r="A136" s="49"/>
      <c r="B136" s="55"/>
      <c r="C136" s="55"/>
      <c r="D136" s="55"/>
      <c r="E136" s="55"/>
      <c r="F136" s="55"/>
      <c r="G136" s="55"/>
      <c r="H136" s="55"/>
      <c r="I136" s="55"/>
      <c r="J136" s="55"/>
      <c r="K136" s="55"/>
      <c r="L136" s="55"/>
      <c r="M136" s="55"/>
      <c r="N136" s="55"/>
      <c r="O136" s="55"/>
      <c r="P136" s="55"/>
      <c r="Q136" s="55"/>
      <c r="R136" s="55"/>
      <c r="S136" s="55"/>
      <c r="T136" s="55"/>
      <c r="U136" s="52"/>
      <c r="V136" s="54"/>
      <c r="W136" s="49"/>
      <c r="X136" s="49"/>
      <c r="Y136" s="49"/>
      <c r="Z136" s="49"/>
      <c r="AA136" s="49"/>
      <c r="AB136" s="49"/>
      <c r="AC136" s="49"/>
      <c r="AD136" s="49"/>
      <c r="AE136" s="49"/>
      <c r="AF136" s="49"/>
      <c r="AG136" s="49"/>
      <c r="AH136" s="56"/>
      <c r="AI136" s="56"/>
      <c r="AJ136" s="62"/>
      <c r="AK136" s="62"/>
      <c r="AL136" s="62"/>
      <c r="AM136" s="62"/>
      <c r="AN136" s="62"/>
      <c r="AO136" s="62"/>
      <c r="AP136" s="62"/>
    </row>
    <row r="137" spans="1:54" ht="14.25" customHeight="1" x14ac:dyDescent="0.25">
      <c r="A137" s="55"/>
      <c r="B137" s="55"/>
      <c r="C137" s="55"/>
      <c r="D137" s="55"/>
      <c r="E137" s="55"/>
      <c r="F137" s="55"/>
      <c r="G137" s="55"/>
      <c r="H137" s="55"/>
      <c r="I137" s="55"/>
      <c r="J137" s="55"/>
      <c r="K137" s="55"/>
      <c r="L137" s="55"/>
      <c r="M137" s="55"/>
      <c r="N137" s="55"/>
      <c r="O137" s="55"/>
      <c r="P137" s="55"/>
      <c r="Q137" s="55"/>
      <c r="R137" s="55"/>
      <c r="S137" s="56"/>
      <c r="T137" s="52"/>
      <c r="U137" s="52"/>
      <c r="V137" s="54"/>
      <c r="W137" s="54"/>
      <c r="X137" s="57"/>
      <c r="Y137" s="56"/>
      <c r="Z137" s="55"/>
      <c r="AA137" s="55"/>
      <c r="AB137" s="55"/>
      <c r="AC137" s="55"/>
      <c r="AD137" s="55"/>
      <c r="AE137" s="55"/>
      <c r="AF137" s="55"/>
      <c r="AG137" s="55"/>
      <c r="AH137" s="56"/>
      <c r="AI137" s="56"/>
      <c r="AJ137" s="55"/>
      <c r="AK137" s="55"/>
      <c r="AL137" s="55"/>
      <c r="AM137" s="55"/>
      <c r="AN137" s="55"/>
      <c r="AO137" s="55"/>
      <c r="AP137" s="55"/>
    </row>
    <row r="138" spans="1:54" ht="14.25" customHeight="1" x14ac:dyDescent="0.25">
      <c r="A138" s="55"/>
      <c r="B138" s="55"/>
      <c r="C138" s="55"/>
      <c r="D138" s="55"/>
      <c r="E138" s="55"/>
      <c r="F138" s="55"/>
      <c r="G138" s="55"/>
      <c r="H138" s="55"/>
      <c r="I138" s="55"/>
      <c r="J138" s="55"/>
      <c r="K138" s="55"/>
      <c r="L138" s="55"/>
      <c r="M138" s="55"/>
      <c r="N138" s="55"/>
      <c r="O138" s="55"/>
      <c r="P138" s="55"/>
      <c r="Q138" s="55"/>
      <c r="R138" s="55"/>
      <c r="S138" s="55"/>
      <c r="T138" s="56"/>
      <c r="U138" s="52"/>
      <c r="V138" s="54"/>
      <c r="W138" s="54"/>
      <c r="X138" s="52"/>
      <c r="Y138" s="55"/>
      <c r="Z138" s="55"/>
      <c r="AA138" s="55"/>
      <c r="AB138" s="55"/>
      <c r="AC138" s="55"/>
      <c r="AD138" s="55"/>
      <c r="AE138" s="55"/>
      <c r="AF138" s="55"/>
      <c r="AG138" s="55"/>
      <c r="AH138" s="55"/>
      <c r="AI138" s="55"/>
      <c r="AJ138" s="55"/>
      <c r="AK138" s="55"/>
      <c r="AL138" s="55"/>
      <c r="AM138" s="55"/>
      <c r="AN138" s="55"/>
      <c r="AO138" s="55"/>
      <c r="AP138" s="55"/>
    </row>
    <row r="139" spans="1:54" ht="14.25" customHeight="1" x14ac:dyDescent="0.3">
      <c r="A139" s="49"/>
      <c r="B139" s="49"/>
      <c r="C139" s="49"/>
      <c r="D139" s="49"/>
      <c r="E139" s="49"/>
      <c r="F139" s="49"/>
      <c r="G139" s="49"/>
      <c r="H139" s="49"/>
      <c r="I139" s="49"/>
      <c r="J139" s="49"/>
      <c r="K139" s="49"/>
      <c r="L139" s="49"/>
      <c r="M139" s="49"/>
      <c r="N139" s="49"/>
      <c r="O139" s="49"/>
      <c r="P139" s="49"/>
      <c r="Q139" s="49"/>
      <c r="R139" s="49"/>
      <c r="S139" s="49"/>
      <c r="T139" s="49"/>
      <c r="U139" s="49"/>
      <c r="V139" s="54"/>
      <c r="W139" s="49"/>
      <c r="X139" s="49"/>
      <c r="Y139" s="49"/>
      <c r="Z139" s="49"/>
      <c r="AA139" s="49"/>
      <c r="AB139" s="49"/>
      <c r="AC139" s="49"/>
      <c r="AD139" s="49"/>
      <c r="AE139" s="49"/>
      <c r="AF139" s="49"/>
      <c r="AG139" s="49"/>
      <c r="AH139" s="50"/>
      <c r="AI139" s="50"/>
      <c r="AJ139" s="62"/>
      <c r="AK139" s="62"/>
      <c r="AL139" s="62"/>
      <c r="AM139" s="62"/>
      <c r="AN139" s="62"/>
      <c r="AO139" s="62"/>
      <c r="AP139" s="62"/>
    </row>
    <row r="140" spans="1:54" ht="14.25" customHeight="1" x14ac:dyDescent="0.25">
      <c r="A140" s="82"/>
      <c r="B140" s="51"/>
      <c r="C140" s="51"/>
      <c r="D140" s="82"/>
      <c r="E140" s="82"/>
      <c r="F140" s="82"/>
      <c r="G140" s="82"/>
      <c r="H140" s="82"/>
      <c r="I140" s="82"/>
      <c r="J140" s="82"/>
      <c r="K140" s="82"/>
      <c r="L140" s="82"/>
      <c r="M140" s="82"/>
      <c r="N140" s="82"/>
      <c r="O140" s="82"/>
      <c r="P140" s="82"/>
      <c r="Q140" s="82"/>
      <c r="R140" s="82"/>
      <c r="S140" s="82"/>
      <c r="T140" s="82"/>
      <c r="U140" s="82"/>
      <c r="V140" s="54"/>
      <c r="W140" s="54"/>
      <c r="X140" s="52"/>
      <c r="Y140" s="50"/>
      <c r="Z140" s="50"/>
      <c r="AA140" s="50"/>
      <c r="AB140" s="77"/>
      <c r="AC140" s="77"/>
      <c r="AD140" s="77"/>
      <c r="AE140" s="77"/>
      <c r="AF140" s="77"/>
      <c r="AG140" s="77"/>
      <c r="AH140" s="77"/>
      <c r="AI140" s="77"/>
      <c r="AJ140" s="50"/>
      <c r="AK140" s="77"/>
      <c r="AL140" s="77"/>
      <c r="AM140" s="77"/>
      <c r="AN140" s="77"/>
      <c r="AO140" s="77"/>
      <c r="AP140" s="77"/>
    </row>
    <row r="141" spans="1:54" ht="14.25" customHeight="1" x14ac:dyDescent="0.3">
      <c r="A141" s="204"/>
      <c r="B141" s="204"/>
      <c r="C141" s="204"/>
      <c r="D141" s="204"/>
      <c r="E141" s="204"/>
      <c r="F141" s="204"/>
      <c r="G141" s="204"/>
      <c r="H141" s="204"/>
      <c r="I141" s="204"/>
      <c r="J141" s="204"/>
      <c r="K141" s="204"/>
      <c r="L141" s="204"/>
      <c r="M141" s="204"/>
      <c r="N141" s="204"/>
      <c r="O141" s="204"/>
      <c r="P141" s="204"/>
      <c r="Q141" s="204"/>
      <c r="R141" s="204"/>
      <c r="S141" s="204"/>
      <c r="T141" s="204"/>
      <c r="U141" s="204"/>
      <c r="V141" s="54"/>
      <c r="W141" s="205"/>
      <c r="X141" s="205"/>
      <c r="Y141" s="205"/>
      <c r="Z141" s="205"/>
      <c r="AA141" s="205"/>
      <c r="AB141" s="205"/>
      <c r="AC141" s="205"/>
      <c r="AD141" s="205"/>
      <c r="AE141" s="205"/>
      <c r="AF141" s="205"/>
      <c r="AG141" s="205"/>
      <c r="AH141" s="50"/>
      <c r="AI141" s="50"/>
      <c r="AJ141" s="186"/>
      <c r="AK141" s="186"/>
      <c r="AL141" s="186"/>
      <c r="AM141" s="186"/>
      <c r="AN141" s="186"/>
      <c r="AO141" s="186"/>
      <c r="AP141" s="186"/>
    </row>
    <row r="142" spans="1:54" ht="14.25" customHeight="1" x14ac:dyDescent="0.25"/>
    <row r="143" spans="1:54" ht="14.25" customHeight="1" x14ac:dyDescent="0.25"/>
  </sheetData>
  <mergeCells count="664">
    <mergeCell ref="A141:U141"/>
    <mergeCell ref="W141:AG141"/>
    <mergeCell ref="AJ141:AP141"/>
    <mergeCell ref="AY122:BG122"/>
    <mergeCell ref="BH122:BP122"/>
    <mergeCell ref="AJ125:AX126"/>
    <mergeCell ref="AY125:BG125"/>
    <mergeCell ref="BH125:BP125"/>
    <mergeCell ref="A113:O116"/>
    <mergeCell ref="P113:X116"/>
    <mergeCell ref="Y113:AE116"/>
    <mergeCell ref="AJ113:AX116"/>
    <mergeCell ref="AY113:BG116"/>
    <mergeCell ref="BH113:BR116"/>
    <mergeCell ref="A19:Q22"/>
    <mergeCell ref="R19:AY22"/>
    <mergeCell ref="AZ19:BR22"/>
    <mergeCell ref="A23:Q26"/>
    <mergeCell ref="R23:AY26"/>
    <mergeCell ref="AZ23:BR26"/>
    <mergeCell ref="B80:C80"/>
    <mergeCell ref="D80:O80"/>
    <mergeCell ref="P80:R80"/>
    <mergeCell ref="S80:U80"/>
    <mergeCell ref="V80:X80"/>
    <mergeCell ref="Y80:AA80"/>
    <mergeCell ref="AB80:AD80"/>
    <mergeCell ref="AE80:AG80"/>
    <mergeCell ref="AT79:AV79"/>
    <mergeCell ref="AB79:AD79"/>
    <mergeCell ref="AE79:AG79"/>
    <mergeCell ref="AH79:AJ79"/>
    <mergeCell ref="AK79:AM79"/>
    <mergeCell ref="AN79:AP79"/>
    <mergeCell ref="B79:C79"/>
    <mergeCell ref="D79:O79"/>
    <mergeCell ref="P79:R79"/>
    <mergeCell ref="S79:U79"/>
    <mergeCell ref="V79:X79"/>
    <mergeCell ref="Y79:AA79"/>
    <mergeCell ref="AZ78:BB78"/>
    <mergeCell ref="BC78:BE78"/>
    <mergeCell ref="B89:BP89"/>
    <mergeCell ref="AZ80:BB80"/>
    <mergeCell ref="BC80:BE80"/>
    <mergeCell ref="BF80:BH80"/>
    <mergeCell ref="BI80:BK80"/>
    <mergeCell ref="BL80:BN80"/>
    <mergeCell ref="BO80:BR80"/>
    <mergeCell ref="AH80:AJ80"/>
    <mergeCell ref="AK80:AM80"/>
    <mergeCell ref="AN80:AP80"/>
    <mergeCell ref="AQ80:AS80"/>
    <mergeCell ref="AT80:AV80"/>
    <mergeCell ref="AW80:AY80"/>
    <mergeCell ref="BF78:BH78"/>
    <mergeCell ref="BQ89:BR90"/>
    <mergeCell ref="B90:BP90"/>
    <mergeCell ref="BI78:BK78"/>
    <mergeCell ref="BL78:BN78"/>
    <mergeCell ref="BL79:BN79"/>
    <mergeCell ref="BO78:BR78"/>
    <mergeCell ref="AQ78:AS78"/>
    <mergeCell ref="AT78:AV78"/>
    <mergeCell ref="AW78:AY78"/>
    <mergeCell ref="AQ79:AS79"/>
    <mergeCell ref="BO79:BR79"/>
    <mergeCell ref="AW79:AY79"/>
    <mergeCell ref="AZ79:BB79"/>
    <mergeCell ref="BC79:BE79"/>
    <mergeCell ref="BF79:BH79"/>
    <mergeCell ref="BI79:BK79"/>
    <mergeCell ref="B78:C78"/>
    <mergeCell ref="D78:O78"/>
    <mergeCell ref="P78:R78"/>
    <mergeCell ref="S78:U78"/>
    <mergeCell ref="V78:X78"/>
    <mergeCell ref="Y78:AA78"/>
    <mergeCell ref="AB78:AD78"/>
    <mergeCell ref="AE78:AG78"/>
    <mergeCell ref="AT77:AV77"/>
    <mergeCell ref="AB77:AD77"/>
    <mergeCell ref="AE77:AG77"/>
    <mergeCell ref="AH77:AJ77"/>
    <mergeCell ref="AK77:AM77"/>
    <mergeCell ref="AN77:AP77"/>
    <mergeCell ref="AQ77:AS77"/>
    <mergeCell ref="B77:C77"/>
    <mergeCell ref="D77:O77"/>
    <mergeCell ref="P77:R77"/>
    <mergeCell ref="S77:U77"/>
    <mergeCell ref="V77:X77"/>
    <mergeCell ref="Y77:AA77"/>
    <mergeCell ref="AH78:AJ78"/>
    <mergeCell ref="AK78:AM78"/>
    <mergeCell ref="AN78:AP78"/>
    <mergeCell ref="AB75:AD75"/>
    <mergeCell ref="AE75:AG75"/>
    <mergeCell ref="BC76:BE76"/>
    <mergeCell ref="BF76:BH76"/>
    <mergeCell ref="BI76:BK76"/>
    <mergeCell ref="BL76:BN76"/>
    <mergeCell ref="BO76:BR76"/>
    <mergeCell ref="AH76:AJ76"/>
    <mergeCell ref="AK76:AM76"/>
    <mergeCell ref="AN76:AP76"/>
    <mergeCell ref="AQ76:AS76"/>
    <mergeCell ref="AT76:AV76"/>
    <mergeCell ref="AW76:AY76"/>
    <mergeCell ref="B75:C75"/>
    <mergeCell ref="D75:O75"/>
    <mergeCell ref="AZ76:BB76"/>
    <mergeCell ref="P75:R75"/>
    <mergeCell ref="S75:U75"/>
    <mergeCell ref="V75:X75"/>
    <mergeCell ref="Y75:AA75"/>
    <mergeCell ref="BL77:BN77"/>
    <mergeCell ref="BO77:BR77"/>
    <mergeCell ref="AW77:AY77"/>
    <mergeCell ref="AZ77:BB77"/>
    <mergeCell ref="BC77:BE77"/>
    <mergeCell ref="BF77:BH77"/>
    <mergeCell ref="BI77:BK77"/>
    <mergeCell ref="BO75:BR75"/>
    <mergeCell ref="B76:C76"/>
    <mergeCell ref="D76:O76"/>
    <mergeCell ref="P76:R76"/>
    <mergeCell ref="S76:U76"/>
    <mergeCell ref="V76:X76"/>
    <mergeCell ref="Y76:AA76"/>
    <mergeCell ref="AB76:AD76"/>
    <mergeCell ref="AE76:AG76"/>
    <mergeCell ref="AT75:AV75"/>
    <mergeCell ref="AZ74:BB74"/>
    <mergeCell ref="BC74:BE74"/>
    <mergeCell ref="BF74:BH74"/>
    <mergeCell ref="BI74:BK74"/>
    <mergeCell ref="BL74:BN74"/>
    <mergeCell ref="BL75:BN75"/>
    <mergeCell ref="BO74:BR74"/>
    <mergeCell ref="AH74:AJ74"/>
    <mergeCell ref="AK74:AM74"/>
    <mergeCell ref="AN74:AP74"/>
    <mergeCell ref="AQ74:AS74"/>
    <mergeCell ref="AT74:AV74"/>
    <mergeCell ref="AW74:AY74"/>
    <mergeCell ref="AH75:AJ75"/>
    <mergeCell ref="AK75:AM75"/>
    <mergeCell ref="AN75:AP75"/>
    <mergeCell ref="AQ75:AS75"/>
    <mergeCell ref="AW75:AY75"/>
    <mergeCell ref="AZ75:BB75"/>
    <mergeCell ref="BC75:BE75"/>
    <mergeCell ref="BF75:BH75"/>
    <mergeCell ref="BI75:BK75"/>
    <mergeCell ref="B74:C74"/>
    <mergeCell ref="D74:O74"/>
    <mergeCell ref="P74:R74"/>
    <mergeCell ref="S74:U74"/>
    <mergeCell ref="V74:X74"/>
    <mergeCell ref="Y74:AA74"/>
    <mergeCell ref="AB74:AD74"/>
    <mergeCell ref="AE74:AG74"/>
    <mergeCell ref="AT73:AV73"/>
    <mergeCell ref="AB73:AD73"/>
    <mergeCell ref="AE73:AG73"/>
    <mergeCell ref="AH73:AJ73"/>
    <mergeCell ref="AK73:AM73"/>
    <mergeCell ref="AN73:AP73"/>
    <mergeCell ref="AQ73:AS73"/>
    <mergeCell ref="B73:C73"/>
    <mergeCell ref="D73:O73"/>
    <mergeCell ref="P73:R73"/>
    <mergeCell ref="S73:U73"/>
    <mergeCell ref="V73:X73"/>
    <mergeCell ref="Y73:AA73"/>
    <mergeCell ref="AB71:AD71"/>
    <mergeCell ref="AE71:AG71"/>
    <mergeCell ref="BC72:BE72"/>
    <mergeCell ref="BF72:BH72"/>
    <mergeCell ref="BI72:BK72"/>
    <mergeCell ref="BL72:BN72"/>
    <mergeCell ref="BO72:BR72"/>
    <mergeCell ref="AH72:AJ72"/>
    <mergeCell ref="AK72:AM72"/>
    <mergeCell ref="AN72:AP72"/>
    <mergeCell ref="AQ72:AS72"/>
    <mergeCell ref="AT72:AV72"/>
    <mergeCell ref="AW72:AY72"/>
    <mergeCell ref="B71:C71"/>
    <mergeCell ref="D71:O71"/>
    <mergeCell ref="AZ72:BB72"/>
    <mergeCell ref="P71:R71"/>
    <mergeCell ref="S71:U71"/>
    <mergeCell ref="V71:X71"/>
    <mergeCell ref="Y71:AA71"/>
    <mergeCell ref="BL73:BN73"/>
    <mergeCell ref="BO73:BR73"/>
    <mergeCell ref="AW73:AY73"/>
    <mergeCell ref="AZ73:BB73"/>
    <mergeCell ref="BC73:BE73"/>
    <mergeCell ref="BF73:BH73"/>
    <mergeCell ref="BI73:BK73"/>
    <mergeCell ref="BO71:BR71"/>
    <mergeCell ref="B72:C72"/>
    <mergeCell ref="D72:O72"/>
    <mergeCell ref="P72:R72"/>
    <mergeCell ref="S72:U72"/>
    <mergeCell ref="V72:X72"/>
    <mergeCell ref="Y72:AA72"/>
    <mergeCell ref="AB72:AD72"/>
    <mergeCell ref="AE72:AG72"/>
    <mergeCell ref="AT71:AV71"/>
    <mergeCell ref="AZ70:BB70"/>
    <mergeCell ref="BC70:BE70"/>
    <mergeCell ref="BF70:BH70"/>
    <mergeCell ref="BI70:BK70"/>
    <mergeCell ref="BL70:BN70"/>
    <mergeCell ref="BL71:BN71"/>
    <mergeCell ref="BO70:BR70"/>
    <mergeCell ref="AH70:AJ70"/>
    <mergeCell ref="AK70:AM70"/>
    <mergeCell ref="AN70:AP70"/>
    <mergeCell ref="AQ70:AS70"/>
    <mergeCell ref="AT70:AV70"/>
    <mergeCell ref="AW70:AY70"/>
    <mergeCell ref="AH71:AJ71"/>
    <mergeCell ref="AK71:AM71"/>
    <mergeCell ref="AN71:AP71"/>
    <mergeCell ref="AQ71:AS71"/>
    <mergeCell ref="AW71:AY71"/>
    <mergeCell ref="AZ71:BB71"/>
    <mergeCell ref="BC71:BE71"/>
    <mergeCell ref="BF71:BH71"/>
    <mergeCell ref="BI71:BK71"/>
    <mergeCell ref="B70:C70"/>
    <mergeCell ref="D70:O70"/>
    <mergeCell ref="P70:R70"/>
    <mergeCell ref="S70:U70"/>
    <mergeCell ref="V70:X70"/>
    <mergeCell ref="Y70:AA70"/>
    <mergeCell ref="AB70:AD70"/>
    <mergeCell ref="AE70:AG70"/>
    <mergeCell ref="AT69:AV69"/>
    <mergeCell ref="AB69:AD69"/>
    <mergeCell ref="AE69:AG69"/>
    <mergeCell ref="AH69:AJ69"/>
    <mergeCell ref="AK69:AM69"/>
    <mergeCell ref="AN69:AP69"/>
    <mergeCell ref="AQ69:AS69"/>
    <mergeCell ref="B69:C69"/>
    <mergeCell ref="D69:O69"/>
    <mergeCell ref="P69:R69"/>
    <mergeCell ref="S69:U69"/>
    <mergeCell ref="V69:X69"/>
    <mergeCell ref="Y69:AA69"/>
    <mergeCell ref="AB67:AD67"/>
    <mergeCell ref="AE67:AG67"/>
    <mergeCell ref="BC68:BE68"/>
    <mergeCell ref="BF68:BH68"/>
    <mergeCell ref="BI68:BK68"/>
    <mergeCell ref="BL68:BN68"/>
    <mergeCell ref="BO68:BR68"/>
    <mergeCell ref="AH68:AJ68"/>
    <mergeCell ref="AK68:AM68"/>
    <mergeCell ref="AN68:AP68"/>
    <mergeCell ref="AQ68:AS68"/>
    <mergeCell ref="AT68:AV68"/>
    <mergeCell ref="AW68:AY68"/>
    <mergeCell ref="B67:C67"/>
    <mergeCell ref="D67:O67"/>
    <mergeCell ref="AZ68:BB68"/>
    <mergeCell ref="P67:R67"/>
    <mergeCell ref="S67:U67"/>
    <mergeCell ref="V67:X67"/>
    <mergeCell ref="Y67:AA67"/>
    <mergeCell ref="BL69:BN69"/>
    <mergeCell ref="BO69:BR69"/>
    <mergeCell ref="AW69:AY69"/>
    <mergeCell ref="AZ69:BB69"/>
    <mergeCell ref="BC69:BE69"/>
    <mergeCell ref="BF69:BH69"/>
    <mergeCell ref="BI69:BK69"/>
    <mergeCell ref="BO67:BR67"/>
    <mergeCell ref="B68:C68"/>
    <mergeCell ref="D68:O68"/>
    <mergeCell ref="P68:R68"/>
    <mergeCell ref="S68:U68"/>
    <mergeCell ref="V68:X68"/>
    <mergeCell ref="Y68:AA68"/>
    <mergeCell ref="AB68:AD68"/>
    <mergeCell ref="AE68:AG68"/>
    <mergeCell ref="AT67:AV67"/>
    <mergeCell ref="AZ66:BB66"/>
    <mergeCell ref="BC66:BE66"/>
    <mergeCell ref="BF66:BH66"/>
    <mergeCell ref="BI66:BK66"/>
    <mergeCell ref="BL66:BN66"/>
    <mergeCell ref="BL67:BN67"/>
    <mergeCell ref="BO66:BR66"/>
    <mergeCell ref="AH66:AJ66"/>
    <mergeCell ref="AK66:AM66"/>
    <mergeCell ref="AN66:AP66"/>
    <mergeCell ref="AQ66:AS66"/>
    <mergeCell ref="AT66:AV66"/>
    <mergeCell ref="AW66:AY66"/>
    <mergeCell ref="AH67:AJ67"/>
    <mergeCell ref="AK67:AM67"/>
    <mergeCell ref="AN67:AP67"/>
    <mergeCell ref="AQ67:AS67"/>
    <mergeCell ref="AW67:AY67"/>
    <mergeCell ref="AZ67:BB67"/>
    <mergeCell ref="BC67:BE67"/>
    <mergeCell ref="BF67:BH67"/>
    <mergeCell ref="BI67:BK67"/>
    <mergeCell ref="BL65:BN65"/>
    <mergeCell ref="BO65:BR65"/>
    <mergeCell ref="AW65:AY65"/>
    <mergeCell ref="AZ65:BB65"/>
    <mergeCell ref="BC65:BE65"/>
    <mergeCell ref="BF65:BH65"/>
    <mergeCell ref="BI65:BK65"/>
    <mergeCell ref="B66:C66"/>
    <mergeCell ref="D66:O66"/>
    <mergeCell ref="P66:R66"/>
    <mergeCell ref="S66:U66"/>
    <mergeCell ref="V66:X66"/>
    <mergeCell ref="Y66:AA66"/>
    <mergeCell ref="AB66:AD66"/>
    <mergeCell ref="AE66:AG66"/>
    <mergeCell ref="AT65:AV65"/>
    <mergeCell ref="AB65:AD65"/>
    <mergeCell ref="AE65:AG65"/>
    <mergeCell ref="AH65:AJ65"/>
    <mergeCell ref="AK65:AM65"/>
    <mergeCell ref="AN65:AP65"/>
    <mergeCell ref="AQ65:AS65"/>
    <mergeCell ref="B65:C65"/>
    <mergeCell ref="D65:O65"/>
    <mergeCell ref="B64:C64"/>
    <mergeCell ref="D64:O64"/>
    <mergeCell ref="P64:R64"/>
    <mergeCell ref="S64:U64"/>
    <mergeCell ref="V64:X64"/>
    <mergeCell ref="Y64:AA64"/>
    <mergeCell ref="AB64:AD64"/>
    <mergeCell ref="AE64:AG64"/>
    <mergeCell ref="P65:R65"/>
    <mergeCell ref="S65:U65"/>
    <mergeCell ref="V65:X65"/>
    <mergeCell ref="Y65:AA65"/>
    <mergeCell ref="AH63:AJ63"/>
    <mergeCell ref="AK63:AM63"/>
    <mergeCell ref="AN63:AP63"/>
    <mergeCell ref="AQ63:AS63"/>
    <mergeCell ref="AT63:AV63"/>
    <mergeCell ref="AW63:AY63"/>
    <mergeCell ref="BO64:BR64"/>
    <mergeCell ref="AH64:AJ64"/>
    <mergeCell ref="AK64:AM64"/>
    <mergeCell ref="AN64:AP64"/>
    <mergeCell ref="AQ64:AS64"/>
    <mergeCell ref="AT64:AV64"/>
    <mergeCell ref="AW64:AY64"/>
    <mergeCell ref="AZ64:BB64"/>
    <mergeCell ref="BC64:BE64"/>
    <mergeCell ref="BF64:BH64"/>
    <mergeCell ref="BI64:BK64"/>
    <mergeCell ref="BL64:BN64"/>
    <mergeCell ref="B62:C62"/>
    <mergeCell ref="D62:O62"/>
    <mergeCell ref="AZ63:BB63"/>
    <mergeCell ref="P62:R62"/>
    <mergeCell ref="S62:U62"/>
    <mergeCell ref="V62:X62"/>
    <mergeCell ref="Y62:AA62"/>
    <mergeCell ref="BO62:BR62"/>
    <mergeCell ref="B63:C63"/>
    <mergeCell ref="D63:O63"/>
    <mergeCell ref="P63:R63"/>
    <mergeCell ref="S63:U63"/>
    <mergeCell ref="V63:X63"/>
    <mergeCell ref="Y63:AA63"/>
    <mergeCell ref="AB63:AD63"/>
    <mergeCell ref="AE63:AG63"/>
    <mergeCell ref="AT62:AV62"/>
    <mergeCell ref="AB62:AD62"/>
    <mergeCell ref="AE62:AG62"/>
    <mergeCell ref="BC63:BE63"/>
    <mergeCell ref="BF63:BH63"/>
    <mergeCell ref="BI63:BK63"/>
    <mergeCell ref="BL63:BN63"/>
    <mergeCell ref="BO63:BR63"/>
    <mergeCell ref="AZ61:BB61"/>
    <mergeCell ref="BC61:BE61"/>
    <mergeCell ref="BF61:BH61"/>
    <mergeCell ref="BI61:BK61"/>
    <mergeCell ref="BL61:BN61"/>
    <mergeCell ref="BL62:BN62"/>
    <mergeCell ref="BO61:BR61"/>
    <mergeCell ref="AH61:AJ61"/>
    <mergeCell ref="AK61:AM61"/>
    <mergeCell ref="AN61:AP61"/>
    <mergeCell ref="AQ61:AS61"/>
    <mergeCell ref="AT61:AV61"/>
    <mergeCell ref="AW61:AY61"/>
    <mergeCell ref="AH62:AJ62"/>
    <mergeCell ref="AK62:AM62"/>
    <mergeCell ref="AN62:AP62"/>
    <mergeCell ref="AQ62:AS62"/>
    <mergeCell ref="AW62:AY62"/>
    <mergeCell ref="AZ62:BB62"/>
    <mergeCell ref="BC62:BE62"/>
    <mergeCell ref="BF62:BH62"/>
    <mergeCell ref="BI62:BK62"/>
    <mergeCell ref="B61:C61"/>
    <mergeCell ref="D61:O61"/>
    <mergeCell ref="P61:R61"/>
    <mergeCell ref="S61:U61"/>
    <mergeCell ref="V61:X61"/>
    <mergeCell ref="Y61:AA61"/>
    <mergeCell ref="AB61:AD61"/>
    <mergeCell ref="AE61:AG61"/>
    <mergeCell ref="AT60:AV60"/>
    <mergeCell ref="AB60:AD60"/>
    <mergeCell ref="AE60:AG60"/>
    <mergeCell ref="AH60:AJ60"/>
    <mergeCell ref="AK60:AM60"/>
    <mergeCell ref="AN60:AP60"/>
    <mergeCell ref="AQ60:AS60"/>
    <mergeCell ref="B60:C60"/>
    <mergeCell ref="D60:O60"/>
    <mergeCell ref="P60:R60"/>
    <mergeCell ref="S60:U60"/>
    <mergeCell ref="V60:X60"/>
    <mergeCell ref="Y60:AA60"/>
    <mergeCell ref="AB58:AD58"/>
    <mergeCell ref="AE58:AG58"/>
    <mergeCell ref="BC59:BE59"/>
    <mergeCell ref="BF59:BH59"/>
    <mergeCell ref="BI59:BK59"/>
    <mergeCell ref="BL59:BN59"/>
    <mergeCell ref="BO59:BR59"/>
    <mergeCell ref="AH59:AJ59"/>
    <mergeCell ref="AK59:AM59"/>
    <mergeCell ref="AN59:AP59"/>
    <mergeCell ref="AQ59:AS59"/>
    <mergeCell ref="AT59:AV59"/>
    <mergeCell ref="AW59:AY59"/>
    <mergeCell ref="B58:C58"/>
    <mergeCell ref="D58:O58"/>
    <mergeCell ref="AZ59:BB59"/>
    <mergeCell ref="P58:R58"/>
    <mergeCell ref="S58:U58"/>
    <mergeCell ref="V58:X58"/>
    <mergeCell ref="Y58:AA58"/>
    <mergeCell ref="BL60:BN60"/>
    <mergeCell ref="BO60:BR60"/>
    <mergeCell ref="AW60:AY60"/>
    <mergeCell ref="AZ60:BB60"/>
    <mergeCell ref="BC60:BE60"/>
    <mergeCell ref="BF60:BH60"/>
    <mergeCell ref="BI60:BK60"/>
    <mergeCell ref="BO58:BR58"/>
    <mergeCell ref="B59:C59"/>
    <mergeCell ref="D59:O59"/>
    <mergeCell ref="P59:R59"/>
    <mergeCell ref="S59:U59"/>
    <mergeCell ref="V59:X59"/>
    <mergeCell ref="Y59:AA59"/>
    <mergeCell ref="AB59:AD59"/>
    <mergeCell ref="AE59:AG59"/>
    <mergeCell ref="AT58:AV58"/>
    <mergeCell ref="BC57:BE57"/>
    <mergeCell ref="BF57:BH57"/>
    <mergeCell ref="BI57:BK57"/>
    <mergeCell ref="BL57:BN57"/>
    <mergeCell ref="BL58:BN58"/>
    <mergeCell ref="BO57:BR57"/>
    <mergeCell ref="AH57:AJ57"/>
    <mergeCell ref="AK57:AM57"/>
    <mergeCell ref="AN57:AP57"/>
    <mergeCell ref="AQ57:AS57"/>
    <mergeCell ref="AT57:AV57"/>
    <mergeCell ref="AW57:AY57"/>
    <mergeCell ref="AH58:AJ58"/>
    <mergeCell ref="AK58:AM58"/>
    <mergeCell ref="AN58:AP58"/>
    <mergeCell ref="AQ58:AS58"/>
    <mergeCell ref="AW58:AY58"/>
    <mergeCell ref="AZ58:BB58"/>
    <mergeCell ref="BC58:BE58"/>
    <mergeCell ref="BF58:BH58"/>
    <mergeCell ref="BI58:BK58"/>
    <mergeCell ref="BO56:BR56"/>
    <mergeCell ref="AW56:AY56"/>
    <mergeCell ref="AZ56:BB56"/>
    <mergeCell ref="BC56:BE56"/>
    <mergeCell ref="BF56:BH56"/>
    <mergeCell ref="BI56:BK56"/>
    <mergeCell ref="B57:C57"/>
    <mergeCell ref="D57:O57"/>
    <mergeCell ref="P57:R57"/>
    <mergeCell ref="S57:U57"/>
    <mergeCell ref="V57:X57"/>
    <mergeCell ref="Y57:AA57"/>
    <mergeCell ref="AB57:AD57"/>
    <mergeCell ref="AE57:AG57"/>
    <mergeCell ref="AT56:AV56"/>
    <mergeCell ref="AB56:AD56"/>
    <mergeCell ref="AE56:AG56"/>
    <mergeCell ref="AH56:AJ56"/>
    <mergeCell ref="AK56:AM56"/>
    <mergeCell ref="AN56:AP56"/>
    <mergeCell ref="AQ56:AS56"/>
    <mergeCell ref="B56:C56"/>
    <mergeCell ref="D56:O56"/>
    <mergeCell ref="AZ57:BB57"/>
    <mergeCell ref="P56:R56"/>
    <mergeCell ref="S56:U56"/>
    <mergeCell ref="V56:X56"/>
    <mergeCell ref="Y56:AA56"/>
    <mergeCell ref="S55:U55"/>
    <mergeCell ref="BC50:BE51"/>
    <mergeCell ref="BF50:BH51"/>
    <mergeCell ref="BI50:BK51"/>
    <mergeCell ref="BL50:BN51"/>
    <mergeCell ref="AQ52:BB53"/>
    <mergeCell ref="BC52:BN53"/>
    <mergeCell ref="AH50:AJ55"/>
    <mergeCell ref="AK50:AM55"/>
    <mergeCell ref="AQ50:AS51"/>
    <mergeCell ref="AT50:AV51"/>
    <mergeCell ref="AW50:AY51"/>
    <mergeCell ref="AZ50:BB51"/>
    <mergeCell ref="AQ54:AS55"/>
    <mergeCell ref="AT54:AV55"/>
    <mergeCell ref="AW54:AY55"/>
    <mergeCell ref="AZ54:BB55"/>
    <mergeCell ref="BL56:BN56"/>
    <mergeCell ref="A44:BR45"/>
    <mergeCell ref="A46:A55"/>
    <mergeCell ref="B46:C55"/>
    <mergeCell ref="D46:O55"/>
    <mergeCell ref="P46:AP47"/>
    <mergeCell ref="AQ46:BB47"/>
    <mergeCell ref="BC46:BN47"/>
    <mergeCell ref="BO46:BR55"/>
    <mergeCell ref="P48:U54"/>
    <mergeCell ref="V48:AM49"/>
    <mergeCell ref="AN48:AP55"/>
    <mergeCell ref="AQ48:AV49"/>
    <mergeCell ref="AW48:BB49"/>
    <mergeCell ref="BC48:BH49"/>
    <mergeCell ref="BI48:BN49"/>
    <mergeCell ref="V50:X55"/>
    <mergeCell ref="Y50:AA55"/>
    <mergeCell ref="AB50:AD55"/>
    <mergeCell ref="AE50:AG55"/>
    <mergeCell ref="BC54:BE55"/>
    <mergeCell ref="BF54:BH55"/>
    <mergeCell ref="BI54:BK55"/>
    <mergeCell ref="BL54:BN55"/>
    <mergeCell ref="P55:R55"/>
    <mergeCell ref="BM37:BN37"/>
    <mergeCell ref="BO37:BP37"/>
    <mergeCell ref="BQ37:BR37"/>
    <mergeCell ref="B39:C41"/>
    <mergeCell ref="D39:J41"/>
    <mergeCell ref="K39:N41"/>
    <mergeCell ref="O39:R41"/>
    <mergeCell ref="S39:U41"/>
    <mergeCell ref="V39:AA41"/>
    <mergeCell ref="AB39:AD41"/>
    <mergeCell ref="A37:BB37"/>
    <mergeCell ref="BC37:BD37"/>
    <mergeCell ref="BE37:BF37"/>
    <mergeCell ref="BG37:BH37"/>
    <mergeCell ref="BI37:BJ37"/>
    <mergeCell ref="BK37:BL37"/>
    <mergeCell ref="BH39:BN41"/>
    <mergeCell ref="AF39:AM41"/>
    <mergeCell ref="AN39:AP41"/>
    <mergeCell ref="AR39:AU41"/>
    <mergeCell ref="AW39:AY41"/>
    <mergeCell ref="AZ39:BC41"/>
    <mergeCell ref="BD39:BG41"/>
    <mergeCell ref="A36:B36"/>
    <mergeCell ref="BC36:BD36"/>
    <mergeCell ref="BE36:BF36"/>
    <mergeCell ref="BG36:BH36"/>
    <mergeCell ref="BI36:BJ36"/>
    <mergeCell ref="BK36:BL36"/>
    <mergeCell ref="BM36:BN36"/>
    <mergeCell ref="BO36:BP36"/>
    <mergeCell ref="BQ36:BR36"/>
    <mergeCell ref="A35:B35"/>
    <mergeCell ref="BC35:BD35"/>
    <mergeCell ref="BW32:BX34"/>
    <mergeCell ref="BY32:CA34"/>
    <mergeCell ref="C33:F33"/>
    <mergeCell ref="G33:J33"/>
    <mergeCell ref="K33:O33"/>
    <mergeCell ref="P33:S33"/>
    <mergeCell ref="T33:X33"/>
    <mergeCell ref="Y33:AB33"/>
    <mergeCell ref="AC33:AF33"/>
    <mergeCell ref="AG33:AJ33"/>
    <mergeCell ref="BQ31:BR34"/>
    <mergeCell ref="BT31:CA31"/>
    <mergeCell ref="BQ35:BR35"/>
    <mergeCell ref="BE35:BF35"/>
    <mergeCell ref="BG35:BH35"/>
    <mergeCell ref="BI35:BJ35"/>
    <mergeCell ref="BK35:BL35"/>
    <mergeCell ref="BM35:BN35"/>
    <mergeCell ref="BO35:BP35"/>
    <mergeCell ref="CB31:CC34"/>
    <mergeCell ref="CD31:CE34"/>
    <mergeCell ref="CF31:CG34"/>
    <mergeCell ref="BE32:BF34"/>
    <mergeCell ref="BG32:BH34"/>
    <mergeCell ref="BI32:BJ34"/>
    <mergeCell ref="BK32:BL34"/>
    <mergeCell ref="BT32:BV34"/>
    <mergeCell ref="A29:BR30"/>
    <mergeCell ref="A31:B34"/>
    <mergeCell ref="C31:BB32"/>
    <mergeCell ref="BC31:BD34"/>
    <mergeCell ref="BE31:BL31"/>
    <mergeCell ref="BM31:BN34"/>
    <mergeCell ref="BO31:BP34"/>
    <mergeCell ref="AK33:AO33"/>
    <mergeCell ref="AP33:AS33"/>
    <mergeCell ref="AT33:AX33"/>
    <mergeCell ref="AY33:BB33"/>
    <mergeCell ref="A15:Q18"/>
    <mergeCell ref="R15:AY18"/>
    <mergeCell ref="A1:BR2"/>
    <mergeCell ref="A3:BR4"/>
    <mergeCell ref="A7:Q10"/>
    <mergeCell ref="R7:AY10"/>
    <mergeCell ref="AZ7:BR10"/>
    <mergeCell ref="A11:Q14"/>
    <mergeCell ref="R11:AY14"/>
    <mergeCell ref="AZ11:BR14"/>
    <mergeCell ref="AZ15:BR18"/>
    <mergeCell ref="V83:AZ84"/>
    <mergeCell ref="V85:AZ86"/>
    <mergeCell ref="A98:O98"/>
    <mergeCell ref="P98:S98"/>
    <mergeCell ref="T98:X98"/>
    <mergeCell ref="AJ98:BR104"/>
    <mergeCell ref="A107:O110"/>
    <mergeCell ref="P107:X110"/>
    <mergeCell ref="Y107:AE110"/>
    <mergeCell ref="AJ107:AX110"/>
    <mergeCell ref="AY107:BG110"/>
    <mergeCell ref="BH107:BR110"/>
    <mergeCell ref="B91:BP91"/>
    <mergeCell ref="B94:BP94"/>
    <mergeCell ref="B92:BP92"/>
    <mergeCell ref="B95:BP95"/>
    <mergeCell ref="B93:BP93"/>
  </mergeCells>
  <conditionalFormatting sqref="BW58:BW80">
    <cfRule type="expression" dxfId="17" priority="2">
      <formula>BV58=0</formula>
    </cfRule>
  </conditionalFormatting>
  <conditionalFormatting sqref="BZ58:BZ80">
    <cfRule type="expression" dxfId="16" priority="1">
      <formula>BY58=0</formula>
    </cfRule>
  </conditionalFormatting>
  <pageMargins left="0.19685039370078741" right="0.19685039370078741" top="0.19685039370078741" bottom="0.19685039370078741" header="0.31496062992125984" footer="0.31496062992125984"/>
  <pageSetup paperSize="9" scale="5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152"/>
  <sheetViews>
    <sheetView view="pageBreakPreview" topLeftCell="A41" zoomScaleNormal="55" zoomScaleSheetLayoutView="100" workbookViewId="0">
      <selection activeCell="D60" sqref="D60:O60"/>
    </sheetView>
  </sheetViews>
  <sheetFormatPr defaultColWidth="9.140625" defaultRowHeight="15.75" x14ac:dyDescent="0.25"/>
  <cols>
    <col min="1" max="1" width="12.28515625" style="2" customWidth="1"/>
    <col min="2" max="2" width="12.28515625" style="58" customWidth="1"/>
    <col min="3" max="3" width="3.85546875" style="58" customWidth="1"/>
    <col min="4" max="70" width="3.85546875" style="2" customWidth="1"/>
    <col min="71" max="74" width="6.5703125" style="1" customWidth="1"/>
    <col min="75" max="75" width="15.42578125" style="1" customWidth="1"/>
    <col min="76" max="77" width="6.5703125" style="1" customWidth="1"/>
    <col min="78" max="78" width="15.42578125" style="1" customWidth="1"/>
    <col min="79" max="16384" width="9.140625" style="2"/>
  </cols>
  <sheetData>
    <row r="1" spans="1:70" ht="14.25" customHeight="1" x14ac:dyDescent="0.25">
      <c r="A1" s="140" t="s">
        <v>252</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c r="BD1" s="140"/>
      <c r="BE1" s="140"/>
      <c r="BF1" s="140"/>
      <c r="BG1" s="140"/>
      <c r="BH1" s="140"/>
      <c r="BI1" s="140"/>
      <c r="BJ1" s="140"/>
      <c r="BK1" s="140"/>
      <c r="BL1" s="140"/>
      <c r="BM1" s="140"/>
      <c r="BN1" s="140"/>
      <c r="BO1" s="140"/>
      <c r="BP1" s="140"/>
      <c r="BQ1" s="140"/>
      <c r="BR1" s="140"/>
    </row>
    <row r="2" spans="1:70" ht="14.25" customHeight="1" x14ac:dyDescent="0.25">
      <c r="A2" s="140"/>
      <c r="B2" s="140"/>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c r="AH2" s="140"/>
      <c r="AI2" s="140"/>
      <c r="AJ2" s="140"/>
      <c r="AK2" s="140"/>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row>
    <row r="3" spans="1:70" ht="14.25" customHeight="1" x14ac:dyDescent="0.25">
      <c r="A3" s="140" t="s">
        <v>56</v>
      </c>
      <c r="B3" s="140"/>
      <c r="C3" s="140"/>
      <c r="D3" s="140"/>
      <c r="E3" s="140"/>
      <c r="F3" s="140"/>
      <c r="G3" s="140"/>
      <c r="H3" s="140"/>
      <c r="I3" s="140"/>
      <c r="J3" s="140"/>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row>
    <row r="4" spans="1:70" ht="14.25" customHeight="1" x14ac:dyDescent="0.25">
      <c r="A4" s="140"/>
      <c r="B4" s="140"/>
      <c r="C4" s="140"/>
      <c r="D4" s="140"/>
      <c r="E4" s="140"/>
      <c r="F4" s="140"/>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row>
    <row r="5" spans="1:70" ht="14.25" customHeight="1" x14ac:dyDescent="0.25">
      <c r="A5" s="67"/>
      <c r="B5" s="67"/>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row>
    <row r="6" spans="1:70" ht="14.25" customHeight="1" x14ac:dyDescent="0.25">
      <c r="A6" s="67"/>
      <c r="B6" s="67"/>
      <c r="C6" s="67"/>
      <c r="D6" s="67"/>
      <c r="E6" s="67"/>
      <c r="F6" s="67"/>
      <c r="G6" s="67"/>
      <c r="H6" s="67"/>
      <c r="I6" s="67"/>
      <c r="J6" s="67"/>
      <c r="K6" s="67"/>
      <c r="L6" s="67"/>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row>
    <row r="7" spans="1:70" ht="14.25" customHeight="1" x14ac:dyDescent="0.25">
      <c r="A7" s="170" t="s">
        <v>57</v>
      </c>
      <c r="B7" s="170"/>
      <c r="C7" s="170"/>
      <c r="D7" s="170"/>
      <c r="E7" s="170"/>
      <c r="F7" s="170"/>
      <c r="G7" s="170"/>
      <c r="H7" s="170"/>
      <c r="I7" s="170"/>
      <c r="J7" s="170"/>
      <c r="K7" s="170"/>
      <c r="L7" s="170"/>
      <c r="M7" s="170"/>
      <c r="N7" s="170"/>
      <c r="O7" s="170"/>
      <c r="P7" s="170"/>
      <c r="Q7" s="170"/>
      <c r="R7" s="170" t="s">
        <v>239</v>
      </c>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t="s">
        <v>64</v>
      </c>
      <c r="BA7" s="170"/>
      <c r="BB7" s="170"/>
      <c r="BC7" s="170"/>
      <c r="BD7" s="170"/>
      <c r="BE7" s="170"/>
      <c r="BF7" s="170"/>
      <c r="BG7" s="170"/>
      <c r="BH7" s="170"/>
      <c r="BI7" s="170"/>
      <c r="BJ7" s="170"/>
      <c r="BK7" s="170"/>
      <c r="BL7" s="170"/>
      <c r="BM7" s="170"/>
      <c r="BN7" s="170"/>
      <c r="BO7" s="170"/>
      <c r="BP7" s="170"/>
      <c r="BQ7" s="170"/>
      <c r="BR7" s="170"/>
    </row>
    <row r="8" spans="1:70" ht="14.25" customHeight="1" x14ac:dyDescent="0.25">
      <c r="A8" s="170"/>
      <c r="B8" s="170"/>
      <c r="C8" s="170"/>
      <c r="D8" s="170"/>
      <c r="E8" s="170"/>
      <c r="F8" s="170"/>
      <c r="G8" s="170"/>
      <c r="H8" s="170"/>
      <c r="I8" s="170"/>
      <c r="J8" s="170"/>
      <c r="K8" s="170"/>
      <c r="L8" s="170"/>
      <c r="M8" s="170"/>
      <c r="N8" s="170"/>
      <c r="O8" s="170"/>
      <c r="P8" s="170"/>
      <c r="Q8" s="170"/>
      <c r="R8" s="170"/>
      <c r="S8" s="170"/>
      <c r="T8" s="170"/>
      <c r="U8" s="170"/>
      <c r="V8" s="170"/>
      <c r="W8" s="170"/>
      <c r="X8" s="170"/>
      <c r="Y8" s="170"/>
      <c r="Z8" s="170"/>
      <c r="AA8" s="170"/>
      <c r="AB8" s="170"/>
      <c r="AC8" s="170"/>
      <c r="AD8" s="170"/>
      <c r="AE8" s="170"/>
      <c r="AF8" s="170"/>
      <c r="AG8" s="170"/>
      <c r="AH8" s="170"/>
      <c r="AI8" s="170"/>
      <c r="AJ8" s="170"/>
      <c r="AK8" s="170"/>
      <c r="AL8" s="170"/>
      <c r="AM8" s="170"/>
      <c r="AN8" s="170"/>
      <c r="AO8" s="170"/>
      <c r="AP8" s="170"/>
      <c r="AQ8" s="170"/>
      <c r="AR8" s="170"/>
      <c r="AS8" s="170"/>
      <c r="AT8" s="170"/>
      <c r="AU8" s="170"/>
      <c r="AV8" s="170"/>
      <c r="AW8" s="170"/>
      <c r="AX8" s="170"/>
      <c r="AY8" s="170"/>
      <c r="AZ8" s="170"/>
      <c r="BA8" s="170"/>
      <c r="BB8" s="170"/>
      <c r="BC8" s="170"/>
      <c r="BD8" s="170"/>
      <c r="BE8" s="170"/>
      <c r="BF8" s="170"/>
      <c r="BG8" s="170"/>
      <c r="BH8" s="170"/>
      <c r="BI8" s="170"/>
      <c r="BJ8" s="170"/>
      <c r="BK8" s="170"/>
      <c r="BL8" s="170"/>
      <c r="BM8" s="170"/>
      <c r="BN8" s="170"/>
      <c r="BO8" s="170"/>
      <c r="BP8" s="170"/>
      <c r="BQ8" s="170"/>
      <c r="BR8" s="170"/>
    </row>
    <row r="9" spans="1:70" ht="14.25" customHeight="1" x14ac:dyDescent="0.25">
      <c r="A9" s="170"/>
      <c r="B9" s="170"/>
      <c r="C9" s="170"/>
      <c r="D9" s="170"/>
      <c r="E9" s="170"/>
      <c r="F9" s="170"/>
      <c r="G9" s="170"/>
      <c r="H9" s="170"/>
      <c r="I9" s="170"/>
      <c r="J9" s="170"/>
      <c r="K9" s="170"/>
      <c r="L9" s="170"/>
      <c r="M9" s="170"/>
      <c r="N9" s="170"/>
      <c r="O9" s="170"/>
      <c r="P9" s="170"/>
      <c r="Q9" s="170"/>
      <c r="R9" s="170"/>
      <c r="S9" s="170"/>
      <c r="T9" s="170"/>
      <c r="U9" s="170"/>
      <c r="V9" s="170"/>
      <c r="W9" s="170"/>
      <c r="X9" s="170"/>
      <c r="Y9" s="170"/>
      <c r="Z9" s="170"/>
      <c r="AA9" s="170"/>
      <c r="AB9" s="170"/>
      <c r="AC9" s="170"/>
      <c r="AD9" s="170"/>
      <c r="AE9" s="170"/>
      <c r="AF9" s="170"/>
      <c r="AG9" s="170"/>
      <c r="AH9" s="170"/>
      <c r="AI9" s="170"/>
      <c r="AJ9" s="170"/>
      <c r="AK9" s="170"/>
      <c r="AL9" s="170"/>
      <c r="AM9" s="170"/>
      <c r="AN9" s="170"/>
      <c r="AO9" s="170"/>
      <c r="AP9" s="170"/>
      <c r="AQ9" s="170"/>
      <c r="AR9" s="170"/>
      <c r="AS9" s="170"/>
      <c r="AT9" s="170"/>
      <c r="AU9" s="170"/>
      <c r="AV9" s="170"/>
      <c r="AW9" s="170"/>
      <c r="AX9" s="170"/>
      <c r="AY9" s="170"/>
      <c r="AZ9" s="170"/>
      <c r="BA9" s="170"/>
      <c r="BB9" s="170"/>
      <c r="BC9" s="170"/>
      <c r="BD9" s="170"/>
      <c r="BE9" s="170"/>
      <c r="BF9" s="170"/>
      <c r="BG9" s="170"/>
      <c r="BH9" s="170"/>
      <c r="BI9" s="170"/>
      <c r="BJ9" s="170"/>
      <c r="BK9" s="170"/>
      <c r="BL9" s="170"/>
      <c r="BM9" s="170"/>
      <c r="BN9" s="170"/>
      <c r="BO9" s="170"/>
      <c r="BP9" s="170"/>
      <c r="BQ9" s="170"/>
      <c r="BR9" s="170"/>
    </row>
    <row r="10" spans="1:70" ht="14.25" customHeight="1" x14ac:dyDescent="0.25">
      <c r="A10" s="170"/>
      <c r="B10" s="170"/>
      <c r="C10" s="170"/>
      <c r="D10" s="170"/>
      <c r="E10" s="170"/>
      <c r="F10" s="170"/>
      <c r="G10" s="170"/>
      <c r="H10" s="170"/>
      <c r="I10" s="170"/>
      <c r="J10" s="170"/>
      <c r="K10" s="170"/>
      <c r="L10" s="170"/>
      <c r="M10" s="170"/>
      <c r="N10" s="170"/>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0"/>
      <c r="AM10" s="170"/>
      <c r="AN10" s="170"/>
      <c r="AO10" s="170"/>
      <c r="AP10" s="170"/>
      <c r="AQ10" s="170"/>
      <c r="AR10" s="170"/>
      <c r="AS10" s="170"/>
      <c r="AT10" s="170"/>
      <c r="AU10" s="170"/>
      <c r="AV10" s="170"/>
      <c r="AW10" s="170"/>
      <c r="AX10" s="170"/>
      <c r="AY10" s="170"/>
      <c r="AZ10" s="170"/>
      <c r="BA10" s="170"/>
      <c r="BB10" s="170"/>
      <c r="BC10" s="170"/>
      <c r="BD10" s="170"/>
      <c r="BE10" s="170"/>
      <c r="BF10" s="170"/>
      <c r="BG10" s="170"/>
      <c r="BH10" s="170"/>
      <c r="BI10" s="170"/>
      <c r="BJ10" s="170"/>
      <c r="BK10" s="170"/>
      <c r="BL10" s="170"/>
      <c r="BM10" s="170"/>
      <c r="BN10" s="170"/>
      <c r="BO10" s="170"/>
      <c r="BP10" s="170"/>
      <c r="BQ10" s="170"/>
      <c r="BR10" s="170"/>
    </row>
    <row r="11" spans="1:70" ht="14.25" customHeight="1" x14ac:dyDescent="0.25">
      <c r="A11" s="171" t="s">
        <v>58</v>
      </c>
      <c r="B11" s="171"/>
      <c r="C11" s="171"/>
      <c r="D11" s="171"/>
      <c r="E11" s="171"/>
      <c r="F11" s="171"/>
      <c r="G11" s="171"/>
      <c r="H11" s="171"/>
      <c r="I11" s="171"/>
      <c r="J11" s="171"/>
      <c r="K11" s="171"/>
      <c r="L11" s="171"/>
      <c r="M11" s="171"/>
      <c r="N11" s="171"/>
      <c r="O11" s="171"/>
      <c r="P11" s="171"/>
      <c r="Q11" s="171"/>
      <c r="R11" s="174" t="s">
        <v>72</v>
      </c>
      <c r="S11" s="174"/>
      <c r="T11" s="174"/>
      <c r="U11" s="174"/>
      <c r="V11" s="174"/>
      <c r="W11" s="174"/>
      <c r="X11" s="174"/>
      <c r="Y11" s="174"/>
      <c r="Z11" s="174"/>
      <c r="AA11" s="174"/>
      <c r="AB11" s="174"/>
      <c r="AC11" s="174"/>
      <c r="AD11" s="174"/>
      <c r="AE11" s="174"/>
      <c r="AF11" s="174"/>
      <c r="AG11" s="174"/>
      <c r="AH11" s="174"/>
      <c r="AI11" s="174"/>
      <c r="AJ11" s="174"/>
      <c r="AK11" s="174"/>
      <c r="AL11" s="174"/>
      <c r="AM11" s="174"/>
      <c r="AN11" s="174"/>
      <c r="AO11" s="174"/>
      <c r="AP11" s="174"/>
      <c r="AQ11" s="174"/>
      <c r="AR11" s="174"/>
      <c r="AS11" s="174"/>
      <c r="AT11" s="174"/>
      <c r="AU11" s="174"/>
      <c r="AV11" s="174"/>
      <c r="AW11" s="174"/>
      <c r="AX11" s="174"/>
      <c r="AY11" s="174"/>
      <c r="AZ11" s="171" t="s">
        <v>63</v>
      </c>
      <c r="BA11" s="170"/>
      <c r="BB11" s="170"/>
      <c r="BC11" s="170"/>
      <c r="BD11" s="170"/>
      <c r="BE11" s="170"/>
      <c r="BF11" s="170"/>
      <c r="BG11" s="170"/>
      <c r="BH11" s="170"/>
      <c r="BI11" s="170"/>
      <c r="BJ11" s="170"/>
      <c r="BK11" s="170"/>
      <c r="BL11" s="170"/>
      <c r="BM11" s="170"/>
      <c r="BN11" s="170"/>
      <c r="BO11" s="170"/>
      <c r="BP11" s="170"/>
      <c r="BQ11" s="170"/>
      <c r="BR11" s="170"/>
    </row>
    <row r="12" spans="1:70" ht="14.25" customHeight="1" x14ac:dyDescent="0.25">
      <c r="A12" s="171"/>
      <c r="B12" s="171"/>
      <c r="C12" s="171"/>
      <c r="D12" s="171"/>
      <c r="E12" s="171"/>
      <c r="F12" s="171"/>
      <c r="G12" s="171"/>
      <c r="H12" s="171"/>
      <c r="I12" s="171"/>
      <c r="J12" s="171"/>
      <c r="K12" s="171"/>
      <c r="L12" s="171"/>
      <c r="M12" s="171"/>
      <c r="N12" s="171"/>
      <c r="O12" s="171"/>
      <c r="P12" s="171"/>
      <c r="Q12" s="171"/>
      <c r="R12" s="174"/>
      <c r="S12" s="174"/>
      <c r="T12" s="174"/>
      <c r="U12" s="174"/>
      <c r="V12" s="174"/>
      <c r="W12" s="174"/>
      <c r="X12" s="174"/>
      <c r="Y12" s="174"/>
      <c r="Z12" s="174"/>
      <c r="AA12" s="174"/>
      <c r="AB12" s="174"/>
      <c r="AC12" s="174"/>
      <c r="AD12" s="174"/>
      <c r="AE12" s="174"/>
      <c r="AF12" s="174"/>
      <c r="AG12" s="174"/>
      <c r="AH12" s="174"/>
      <c r="AI12" s="174"/>
      <c r="AJ12" s="174"/>
      <c r="AK12" s="174"/>
      <c r="AL12" s="174"/>
      <c r="AM12" s="174"/>
      <c r="AN12" s="174"/>
      <c r="AO12" s="174"/>
      <c r="AP12" s="174"/>
      <c r="AQ12" s="174"/>
      <c r="AR12" s="174"/>
      <c r="AS12" s="174"/>
      <c r="AT12" s="174"/>
      <c r="AU12" s="174"/>
      <c r="AV12" s="174"/>
      <c r="AW12" s="174"/>
      <c r="AX12" s="174"/>
      <c r="AY12" s="174"/>
      <c r="AZ12" s="171"/>
      <c r="BA12" s="170"/>
      <c r="BB12" s="170"/>
      <c r="BC12" s="170"/>
      <c r="BD12" s="170"/>
      <c r="BE12" s="170"/>
      <c r="BF12" s="170"/>
      <c r="BG12" s="170"/>
      <c r="BH12" s="170"/>
      <c r="BI12" s="170"/>
      <c r="BJ12" s="170"/>
      <c r="BK12" s="170"/>
      <c r="BL12" s="170"/>
      <c r="BM12" s="170"/>
      <c r="BN12" s="170"/>
      <c r="BO12" s="170"/>
      <c r="BP12" s="170"/>
      <c r="BQ12" s="170"/>
      <c r="BR12" s="170"/>
    </row>
    <row r="13" spans="1:70" ht="14.25" customHeight="1" x14ac:dyDescent="0.25">
      <c r="A13" s="171"/>
      <c r="B13" s="171"/>
      <c r="C13" s="171"/>
      <c r="D13" s="171"/>
      <c r="E13" s="171"/>
      <c r="F13" s="171"/>
      <c r="G13" s="171"/>
      <c r="H13" s="171"/>
      <c r="I13" s="171"/>
      <c r="J13" s="171"/>
      <c r="K13" s="171"/>
      <c r="L13" s="171"/>
      <c r="M13" s="171"/>
      <c r="N13" s="171"/>
      <c r="O13" s="171"/>
      <c r="P13" s="171"/>
      <c r="Q13" s="171"/>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1"/>
      <c r="BA13" s="170"/>
      <c r="BB13" s="170"/>
      <c r="BC13" s="170"/>
      <c r="BD13" s="170"/>
      <c r="BE13" s="170"/>
      <c r="BF13" s="170"/>
      <c r="BG13" s="170"/>
      <c r="BH13" s="170"/>
      <c r="BI13" s="170"/>
      <c r="BJ13" s="170"/>
      <c r="BK13" s="170"/>
      <c r="BL13" s="170"/>
      <c r="BM13" s="170"/>
      <c r="BN13" s="170"/>
      <c r="BO13" s="170"/>
      <c r="BP13" s="170"/>
      <c r="BQ13" s="170"/>
      <c r="BR13" s="170"/>
    </row>
    <row r="14" spans="1:70" ht="14.25" customHeight="1" x14ac:dyDescent="0.25">
      <c r="A14" s="171"/>
      <c r="B14" s="171"/>
      <c r="C14" s="171"/>
      <c r="D14" s="171"/>
      <c r="E14" s="171"/>
      <c r="F14" s="171"/>
      <c r="G14" s="171"/>
      <c r="H14" s="171"/>
      <c r="I14" s="171"/>
      <c r="J14" s="171"/>
      <c r="K14" s="171"/>
      <c r="L14" s="171"/>
      <c r="M14" s="171"/>
      <c r="N14" s="171"/>
      <c r="O14" s="171"/>
      <c r="P14" s="171"/>
      <c r="Q14" s="171"/>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0"/>
      <c r="BA14" s="170"/>
      <c r="BB14" s="170"/>
      <c r="BC14" s="170"/>
      <c r="BD14" s="170"/>
      <c r="BE14" s="170"/>
      <c r="BF14" s="170"/>
      <c r="BG14" s="170"/>
      <c r="BH14" s="170"/>
      <c r="BI14" s="170"/>
      <c r="BJ14" s="170"/>
      <c r="BK14" s="170"/>
      <c r="BL14" s="170"/>
      <c r="BM14" s="170"/>
      <c r="BN14" s="170"/>
      <c r="BO14" s="170"/>
      <c r="BP14" s="170"/>
      <c r="BQ14" s="170"/>
      <c r="BR14" s="170"/>
    </row>
    <row r="15" spans="1:70" ht="14.25" customHeight="1" x14ac:dyDescent="0.25">
      <c r="A15" s="170" t="s">
        <v>59</v>
      </c>
      <c r="B15" s="170"/>
      <c r="C15" s="170"/>
      <c r="D15" s="170"/>
      <c r="E15" s="170"/>
      <c r="F15" s="170"/>
      <c r="G15" s="170"/>
      <c r="H15" s="170"/>
      <c r="I15" s="170"/>
      <c r="J15" s="170"/>
      <c r="K15" s="170"/>
      <c r="L15" s="170"/>
      <c r="M15" s="170"/>
      <c r="N15" s="170"/>
      <c r="O15" s="170"/>
      <c r="P15" s="170"/>
      <c r="Q15" s="170"/>
      <c r="R15" s="175" t="s">
        <v>250</v>
      </c>
      <c r="S15" s="175"/>
      <c r="T15" s="175"/>
      <c r="U15" s="175"/>
      <c r="V15" s="175"/>
      <c r="W15" s="175"/>
      <c r="X15" s="175"/>
      <c r="Y15" s="175"/>
      <c r="Z15" s="175"/>
      <c r="AA15" s="175"/>
      <c r="AB15" s="175"/>
      <c r="AC15" s="175"/>
      <c r="AD15" s="175"/>
      <c r="AE15" s="175"/>
      <c r="AF15" s="175"/>
      <c r="AG15" s="175"/>
      <c r="AH15" s="175"/>
      <c r="AI15" s="175"/>
      <c r="AJ15" s="175"/>
      <c r="AK15" s="175"/>
      <c r="AL15" s="175"/>
      <c r="AM15" s="175"/>
      <c r="AN15" s="175"/>
      <c r="AO15" s="175"/>
      <c r="AP15" s="175"/>
      <c r="AQ15" s="175"/>
      <c r="AR15" s="175"/>
      <c r="AS15" s="175"/>
      <c r="AT15" s="175"/>
      <c r="AU15" s="175"/>
      <c r="AV15" s="175"/>
      <c r="AW15" s="175"/>
      <c r="AX15" s="175"/>
      <c r="AY15" s="175"/>
      <c r="AZ15" s="170" t="s">
        <v>62</v>
      </c>
      <c r="BA15" s="170"/>
      <c r="BB15" s="170"/>
      <c r="BC15" s="170"/>
      <c r="BD15" s="170"/>
      <c r="BE15" s="170"/>
      <c r="BF15" s="170"/>
      <c r="BG15" s="170"/>
      <c r="BH15" s="170"/>
      <c r="BI15" s="170"/>
      <c r="BJ15" s="170"/>
      <c r="BK15" s="170"/>
      <c r="BL15" s="170"/>
      <c r="BM15" s="170"/>
      <c r="BN15" s="170"/>
      <c r="BO15" s="170"/>
      <c r="BP15" s="170"/>
      <c r="BQ15" s="170"/>
      <c r="BR15" s="170"/>
    </row>
    <row r="16" spans="1:70" ht="14.25" customHeight="1" x14ac:dyDescent="0.25">
      <c r="A16" s="170"/>
      <c r="B16" s="170"/>
      <c r="C16" s="170"/>
      <c r="D16" s="170"/>
      <c r="E16" s="170"/>
      <c r="F16" s="170"/>
      <c r="G16" s="170"/>
      <c r="H16" s="170"/>
      <c r="I16" s="170"/>
      <c r="J16" s="170"/>
      <c r="K16" s="170"/>
      <c r="L16" s="170"/>
      <c r="M16" s="170"/>
      <c r="N16" s="170"/>
      <c r="O16" s="170"/>
      <c r="P16" s="170"/>
      <c r="Q16" s="170"/>
      <c r="R16" s="175"/>
      <c r="S16" s="175"/>
      <c r="T16" s="175"/>
      <c r="U16" s="175"/>
      <c r="V16" s="175"/>
      <c r="W16" s="175"/>
      <c r="X16" s="175"/>
      <c r="Y16" s="175"/>
      <c r="Z16" s="175"/>
      <c r="AA16" s="175"/>
      <c r="AB16" s="175"/>
      <c r="AC16" s="175"/>
      <c r="AD16" s="175"/>
      <c r="AE16" s="175"/>
      <c r="AF16" s="175"/>
      <c r="AG16" s="175"/>
      <c r="AH16" s="175"/>
      <c r="AI16" s="175"/>
      <c r="AJ16" s="175"/>
      <c r="AK16" s="175"/>
      <c r="AL16" s="175"/>
      <c r="AM16" s="175"/>
      <c r="AN16" s="175"/>
      <c r="AO16" s="175"/>
      <c r="AP16" s="175"/>
      <c r="AQ16" s="175"/>
      <c r="AR16" s="175"/>
      <c r="AS16" s="175"/>
      <c r="AT16" s="175"/>
      <c r="AU16" s="175"/>
      <c r="AV16" s="175"/>
      <c r="AW16" s="175"/>
      <c r="AX16" s="175"/>
      <c r="AY16" s="175"/>
      <c r="AZ16" s="170"/>
      <c r="BA16" s="170"/>
      <c r="BB16" s="170"/>
      <c r="BC16" s="170"/>
      <c r="BD16" s="170"/>
      <c r="BE16" s="170"/>
      <c r="BF16" s="170"/>
      <c r="BG16" s="170"/>
      <c r="BH16" s="170"/>
      <c r="BI16" s="170"/>
      <c r="BJ16" s="170"/>
      <c r="BK16" s="170"/>
      <c r="BL16" s="170"/>
      <c r="BM16" s="170"/>
      <c r="BN16" s="170"/>
      <c r="BO16" s="170"/>
      <c r="BP16" s="170"/>
      <c r="BQ16" s="170"/>
      <c r="BR16" s="170"/>
    </row>
    <row r="17" spans="1:85" ht="14.25" customHeight="1" x14ac:dyDescent="0.25">
      <c r="A17" s="170"/>
      <c r="B17" s="170"/>
      <c r="C17" s="170"/>
      <c r="D17" s="170"/>
      <c r="E17" s="170"/>
      <c r="F17" s="170"/>
      <c r="G17" s="170"/>
      <c r="H17" s="170"/>
      <c r="I17" s="170"/>
      <c r="J17" s="170"/>
      <c r="K17" s="170"/>
      <c r="L17" s="170"/>
      <c r="M17" s="170"/>
      <c r="N17" s="170"/>
      <c r="O17" s="170"/>
      <c r="P17" s="170"/>
      <c r="Q17" s="170"/>
      <c r="R17" s="175"/>
      <c r="S17" s="175"/>
      <c r="T17" s="175"/>
      <c r="U17" s="175"/>
      <c r="V17" s="175"/>
      <c r="W17" s="175"/>
      <c r="X17" s="175"/>
      <c r="Y17" s="175"/>
      <c r="Z17" s="175"/>
      <c r="AA17" s="175"/>
      <c r="AB17" s="175"/>
      <c r="AC17" s="175"/>
      <c r="AD17" s="175"/>
      <c r="AE17" s="175"/>
      <c r="AF17" s="175"/>
      <c r="AG17" s="175"/>
      <c r="AH17" s="175"/>
      <c r="AI17" s="175"/>
      <c r="AJ17" s="175"/>
      <c r="AK17" s="175"/>
      <c r="AL17" s="175"/>
      <c r="AM17" s="175"/>
      <c r="AN17" s="175"/>
      <c r="AO17" s="175"/>
      <c r="AP17" s="175"/>
      <c r="AQ17" s="175"/>
      <c r="AR17" s="175"/>
      <c r="AS17" s="175"/>
      <c r="AT17" s="175"/>
      <c r="AU17" s="175"/>
      <c r="AV17" s="175"/>
      <c r="AW17" s="175"/>
      <c r="AX17" s="175"/>
      <c r="AY17" s="175"/>
      <c r="AZ17" s="170"/>
      <c r="BA17" s="170"/>
      <c r="BB17" s="170"/>
      <c r="BC17" s="170"/>
      <c r="BD17" s="170"/>
      <c r="BE17" s="170"/>
      <c r="BF17" s="170"/>
      <c r="BG17" s="170"/>
      <c r="BH17" s="170"/>
      <c r="BI17" s="170"/>
      <c r="BJ17" s="170"/>
      <c r="BK17" s="170"/>
      <c r="BL17" s="170"/>
      <c r="BM17" s="170"/>
      <c r="BN17" s="170"/>
      <c r="BO17" s="170"/>
      <c r="BP17" s="170"/>
      <c r="BQ17" s="170"/>
      <c r="BR17" s="170"/>
    </row>
    <row r="18" spans="1:85" ht="14.25" customHeight="1" x14ac:dyDescent="0.25">
      <c r="A18" s="170"/>
      <c r="B18" s="170"/>
      <c r="C18" s="170"/>
      <c r="D18" s="170"/>
      <c r="E18" s="170"/>
      <c r="F18" s="170"/>
      <c r="G18" s="170"/>
      <c r="H18" s="170"/>
      <c r="I18" s="170"/>
      <c r="J18" s="170"/>
      <c r="K18" s="170"/>
      <c r="L18" s="170"/>
      <c r="M18" s="170"/>
      <c r="N18" s="170"/>
      <c r="O18" s="170"/>
      <c r="P18" s="170"/>
      <c r="Q18" s="170"/>
      <c r="R18" s="175"/>
      <c r="S18" s="175"/>
      <c r="T18" s="175"/>
      <c r="U18" s="175"/>
      <c r="V18" s="175"/>
      <c r="W18" s="175"/>
      <c r="X18" s="175"/>
      <c r="Y18" s="175"/>
      <c r="Z18" s="175"/>
      <c r="AA18" s="175"/>
      <c r="AB18" s="175"/>
      <c r="AC18" s="175"/>
      <c r="AD18" s="175"/>
      <c r="AE18" s="175"/>
      <c r="AF18" s="175"/>
      <c r="AG18" s="175"/>
      <c r="AH18" s="175"/>
      <c r="AI18" s="175"/>
      <c r="AJ18" s="175"/>
      <c r="AK18" s="175"/>
      <c r="AL18" s="175"/>
      <c r="AM18" s="175"/>
      <c r="AN18" s="175"/>
      <c r="AO18" s="175"/>
      <c r="AP18" s="175"/>
      <c r="AQ18" s="175"/>
      <c r="AR18" s="175"/>
      <c r="AS18" s="175"/>
      <c r="AT18" s="175"/>
      <c r="AU18" s="175"/>
      <c r="AV18" s="175"/>
      <c r="AW18" s="175"/>
      <c r="AX18" s="175"/>
      <c r="AY18" s="175"/>
      <c r="AZ18" s="170"/>
      <c r="BA18" s="170"/>
      <c r="BB18" s="170"/>
      <c r="BC18" s="170"/>
      <c r="BD18" s="170"/>
      <c r="BE18" s="170"/>
      <c r="BF18" s="170"/>
      <c r="BG18" s="170"/>
      <c r="BH18" s="170"/>
      <c r="BI18" s="170"/>
      <c r="BJ18" s="170"/>
      <c r="BK18" s="170"/>
      <c r="BL18" s="170"/>
      <c r="BM18" s="170"/>
      <c r="BN18" s="170"/>
      <c r="BO18" s="170"/>
      <c r="BP18" s="170"/>
      <c r="BQ18" s="170"/>
      <c r="BR18" s="170"/>
    </row>
    <row r="19" spans="1:85" ht="14.25" customHeight="1" x14ac:dyDescent="0.25">
      <c r="A19" s="170" t="s">
        <v>60</v>
      </c>
      <c r="B19" s="170"/>
      <c r="C19" s="170"/>
      <c r="D19" s="170"/>
      <c r="E19" s="170"/>
      <c r="F19" s="170"/>
      <c r="G19" s="170"/>
      <c r="H19" s="170"/>
      <c r="I19" s="170"/>
      <c r="J19" s="170"/>
      <c r="K19" s="170"/>
      <c r="L19" s="170"/>
      <c r="M19" s="170"/>
      <c r="N19" s="170"/>
      <c r="O19" s="170"/>
      <c r="P19" s="170"/>
      <c r="Q19" s="170"/>
      <c r="R19" s="170" t="s">
        <v>253</v>
      </c>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t="s">
        <v>236</v>
      </c>
      <c r="BA19" s="170"/>
      <c r="BB19" s="170"/>
      <c r="BC19" s="170"/>
      <c r="BD19" s="170"/>
      <c r="BE19" s="170"/>
      <c r="BF19" s="170"/>
      <c r="BG19" s="170"/>
      <c r="BH19" s="170"/>
      <c r="BI19" s="170"/>
      <c r="BJ19" s="170"/>
      <c r="BK19" s="170"/>
      <c r="BL19" s="170"/>
      <c r="BM19" s="170"/>
      <c r="BN19" s="170"/>
      <c r="BO19" s="170"/>
      <c r="BP19" s="170"/>
      <c r="BQ19" s="170"/>
      <c r="BR19" s="170"/>
    </row>
    <row r="20" spans="1:85" ht="14.25" customHeight="1" x14ac:dyDescent="0.25">
      <c r="A20" s="170"/>
      <c r="B20" s="170"/>
      <c r="C20" s="170"/>
      <c r="D20" s="170"/>
      <c r="E20" s="170"/>
      <c r="F20" s="170"/>
      <c r="G20" s="170"/>
      <c r="H20" s="170"/>
      <c r="I20" s="170"/>
      <c r="J20" s="170"/>
      <c r="K20" s="170"/>
      <c r="L20" s="170"/>
      <c r="M20" s="170"/>
      <c r="N20" s="170"/>
      <c r="O20" s="170"/>
      <c r="P20" s="170"/>
      <c r="Q20" s="170"/>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0"/>
      <c r="BD20" s="170"/>
      <c r="BE20" s="170"/>
      <c r="BF20" s="170"/>
      <c r="BG20" s="170"/>
      <c r="BH20" s="170"/>
      <c r="BI20" s="170"/>
      <c r="BJ20" s="170"/>
      <c r="BK20" s="170"/>
      <c r="BL20" s="170"/>
      <c r="BM20" s="170"/>
      <c r="BN20" s="170"/>
      <c r="BO20" s="170"/>
      <c r="BP20" s="170"/>
      <c r="BQ20" s="170"/>
      <c r="BR20" s="170"/>
    </row>
    <row r="21" spans="1:85" ht="14.25" customHeight="1" x14ac:dyDescent="0.25">
      <c r="A21" s="170"/>
      <c r="B21" s="170"/>
      <c r="C21" s="170"/>
      <c r="D21" s="170"/>
      <c r="E21" s="170"/>
      <c r="F21" s="170"/>
      <c r="G21" s="170"/>
      <c r="H21" s="170"/>
      <c r="I21" s="170"/>
      <c r="J21" s="170"/>
      <c r="K21" s="170"/>
      <c r="L21" s="170"/>
      <c r="M21" s="170"/>
      <c r="N21" s="170"/>
      <c r="O21" s="170"/>
      <c r="P21" s="170"/>
      <c r="Q21" s="170"/>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0"/>
      <c r="BD21" s="170"/>
      <c r="BE21" s="170"/>
      <c r="BF21" s="170"/>
      <c r="BG21" s="170"/>
      <c r="BH21" s="170"/>
      <c r="BI21" s="170"/>
      <c r="BJ21" s="170"/>
      <c r="BK21" s="170"/>
      <c r="BL21" s="170"/>
      <c r="BM21" s="170"/>
      <c r="BN21" s="170"/>
      <c r="BO21" s="170"/>
      <c r="BP21" s="170"/>
      <c r="BQ21" s="170"/>
      <c r="BR21" s="170"/>
    </row>
    <row r="22" spans="1:85" ht="14.25" customHeight="1" x14ac:dyDescent="0.25">
      <c r="A22" s="170"/>
      <c r="B22" s="170"/>
      <c r="C22" s="170"/>
      <c r="D22" s="170"/>
      <c r="E22" s="170"/>
      <c r="F22" s="170"/>
      <c r="G22" s="170"/>
      <c r="H22" s="170"/>
      <c r="I22" s="170"/>
      <c r="J22" s="170"/>
      <c r="K22" s="170"/>
      <c r="L22" s="170"/>
      <c r="M22" s="170"/>
      <c r="N22" s="170"/>
      <c r="O22" s="170"/>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0"/>
      <c r="BD22" s="170"/>
      <c r="BE22" s="170"/>
      <c r="BF22" s="170"/>
      <c r="BG22" s="170"/>
      <c r="BH22" s="170"/>
      <c r="BI22" s="170"/>
      <c r="BJ22" s="170"/>
      <c r="BK22" s="170"/>
      <c r="BL22" s="170"/>
      <c r="BM22" s="170"/>
      <c r="BN22" s="170"/>
      <c r="BO22" s="170"/>
      <c r="BP22" s="170"/>
      <c r="BQ22" s="170"/>
      <c r="BR22" s="170"/>
    </row>
    <row r="23" spans="1:85" ht="14.25" customHeight="1" x14ac:dyDescent="0.25">
      <c r="A23" s="173" t="s">
        <v>61</v>
      </c>
      <c r="B23" s="173"/>
      <c r="C23" s="173"/>
      <c r="D23" s="173"/>
      <c r="E23" s="173"/>
      <c r="F23" s="173"/>
      <c r="G23" s="173"/>
      <c r="H23" s="173"/>
      <c r="I23" s="173"/>
      <c r="J23" s="173"/>
      <c r="K23" s="173"/>
      <c r="L23" s="173"/>
      <c r="M23" s="173"/>
      <c r="N23" s="173"/>
      <c r="O23" s="173"/>
      <c r="P23" s="173"/>
      <c r="Q23" s="173"/>
      <c r="R23" s="170" t="s">
        <v>124</v>
      </c>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2"/>
      <c r="BA23" s="172"/>
      <c r="BB23" s="172"/>
      <c r="BC23" s="172"/>
      <c r="BD23" s="172"/>
      <c r="BE23" s="172"/>
      <c r="BF23" s="172"/>
      <c r="BG23" s="172"/>
      <c r="BH23" s="172"/>
      <c r="BI23" s="172"/>
      <c r="BJ23" s="172"/>
      <c r="BK23" s="172"/>
      <c r="BL23" s="172"/>
      <c r="BM23" s="172"/>
      <c r="BN23" s="172"/>
      <c r="BO23" s="172"/>
      <c r="BP23" s="172"/>
      <c r="BQ23" s="172"/>
      <c r="BR23" s="172"/>
    </row>
    <row r="24" spans="1:85" ht="14.25" customHeight="1" x14ac:dyDescent="0.25">
      <c r="A24" s="173"/>
      <c r="B24" s="173"/>
      <c r="C24" s="173"/>
      <c r="D24" s="173"/>
      <c r="E24" s="173"/>
      <c r="F24" s="173"/>
      <c r="G24" s="173"/>
      <c r="H24" s="173"/>
      <c r="I24" s="173"/>
      <c r="J24" s="173"/>
      <c r="K24" s="173"/>
      <c r="L24" s="173"/>
      <c r="M24" s="173"/>
      <c r="N24" s="173"/>
      <c r="O24" s="173"/>
      <c r="P24" s="173"/>
      <c r="Q24" s="173"/>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2"/>
      <c r="BA24" s="172"/>
      <c r="BB24" s="172"/>
      <c r="BC24" s="172"/>
      <c r="BD24" s="172"/>
      <c r="BE24" s="172"/>
      <c r="BF24" s="172"/>
      <c r="BG24" s="172"/>
      <c r="BH24" s="172"/>
      <c r="BI24" s="172"/>
      <c r="BJ24" s="172"/>
      <c r="BK24" s="172"/>
      <c r="BL24" s="172"/>
      <c r="BM24" s="172"/>
      <c r="BN24" s="172"/>
      <c r="BO24" s="172"/>
      <c r="BP24" s="172"/>
      <c r="BQ24" s="172"/>
      <c r="BR24" s="172"/>
    </row>
    <row r="25" spans="1:85" ht="14.25" customHeight="1" x14ac:dyDescent="0.25">
      <c r="A25" s="173"/>
      <c r="B25" s="173"/>
      <c r="C25" s="173"/>
      <c r="D25" s="173"/>
      <c r="E25" s="173"/>
      <c r="F25" s="173"/>
      <c r="G25" s="173"/>
      <c r="H25" s="173"/>
      <c r="I25" s="173"/>
      <c r="J25" s="173"/>
      <c r="K25" s="173"/>
      <c r="L25" s="173"/>
      <c r="M25" s="173"/>
      <c r="N25" s="173"/>
      <c r="O25" s="173"/>
      <c r="P25" s="173"/>
      <c r="Q25" s="173"/>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2"/>
      <c r="BA25" s="172"/>
      <c r="BB25" s="172"/>
      <c r="BC25" s="172"/>
      <c r="BD25" s="172"/>
      <c r="BE25" s="172"/>
      <c r="BF25" s="172"/>
      <c r="BG25" s="172"/>
      <c r="BH25" s="172"/>
      <c r="BI25" s="172"/>
      <c r="BJ25" s="172"/>
      <c r="BK25" s="172"/>
      <c r="BL25" s="172"/>
      <c r="BM25" s="172"/>
      <c r="BN25" s="172"/>
      <c r="BO25" s="172"/>
      <c r="BP25" s="172"/>
      <c r="BQ25" s="172"/>
      <c r="BR25" s="172"/>
    </row>
    <row r="26" spans="1:85" ht="14.25" customHeight="1" x14ac:dyDescent="0.25">
      <c r="A26" s="173"/>
      <c r="B26" s="173"/>
      <c r="C26" s="173"/>
      <c r="D26" s="173"/>
      <c r="E26" s="173"/>
      <c r="F26" s="173"/>
      <c r="G26" s="173"/>
      <c r="H26" s="173"/>
      <c r="I26" s="173"/>
      <c r="J26" s="173"/>
      <c r="K26" s="173"/>
      <c r="L26" s="173"/>
      <c r="M26" s="173"/>
      <c r="N26" s="173"/>
      <c r="O26" s="173"/>
      <c r="P26" s="173"/>
      <c r="Q26" s="173"/>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2"/>
      <c r="BA26" s="172"/>
      <c r="BB26" s="172"/>
      <c r="BC26" s="172"/>
      <c r="BD26" s="172"/>
      <c r="BE26" s="172"/>
      <c r="BF26" s="172"/>
      <c r="BG26" s="172"/>
      <c r="BH26" s="172"/>
      <c r="BI26" s="172"/>
      <c r="BJ26" s="172"/>
      <c r="BK26" s="172"/>
      <c r="BL26" s="172"/>
      <c r="BM26" s="172"/>
      <c r="BN26" s="172"/>
      <c r="BO26" s="172"/>
      <c r="BP26" s="172"/>
      <c r="BQ26" s="172"/>
      <c r="BR26" s="172"/>
    </row>
    <row r="27" spans="1:85" ht="14.25" customHeight="1" x14ac:dyDescent="0.25">
      <c r="A27" s="76"/>
      <c r="B27" s="76"/>
      <c r="C27" s="76"/>
      <c r="D27" s="76"/>
      <c r="E27" s="76"/>
      <c r="F27" s="76"/>
      <c r="G27" s="76"/>
      <c r="H27" s="76"/>
      <c r="I27" s="76"/>
      <c r="J27" s="76"/>
      <c r="K27" s="76"/>
      <c r="L27" s="76"/>
      <c r="M27" s="76"/>
      <c r="N27" s="76"/>
      <c r="O27" s="76"/>
      <c r="P27" s="76"/>
      <c r="Q27" s="76"/>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5"/>
      <c r="BA27" s="75"/>
      <c r="BB27" s="75"/>
      <c r="BC27" s="75"/>
      <c r="BD27" s="75"/>
      <c r="BE27" s="75"/>
      <c r="BF27" s="75"/>
      <c r="BG27" s="75"/>
      <c r="BH27" s="75"/>
      <c r="BI27" s="75"/>
      <c r="BJ27" s="75"/>
      <c r="BK27" s="75"/>
      <c r="BL27" s="75"/>
      <c r="BM27" s="75"/>
      <c r="BN27" s="75"/>
      <c r="BO27" s="75"/>
      <c r="BP27" s="75"/>
      <c r="BQ27" s="75"/>
      <c r="BR27" s="75"/>
    </row>
    <row r="28" spans="1:85" ht="14.25" customHeight="1" x14ac:dyDescent="0.25">
      <c r="A28" s="75"/>
      <c r="B28" s="3"/>
      <c r="C28" s="3"/>
      <c r="D28" s="75"/>
      <c r="E28" s="75"/>
      <c r="F28" s="75"/>
      <c r="G28" s="75"/>
      <c r="H28" s="75"/>
      <c r="I28" s="75"/>
      <c r="J28" s="75"/>
      <c r="K28" s="75"/>
      <c r="L28" s="75"/>
      <c r="M28" s="75"/>
      <c r="N28" s="75"/>
      <c r="O28" s="75"/>
      <c r="P28" s="75"/>
      <c r="Q28" s="75"/>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5"/>
      <c r="BA28" s="75"/>
      <c r="BB28" s="75"/>
      <c r="BC28" s="75"/>
      <c r="BD28" s="75"/>
      <c r="BE28" s="75"/>
      <c r="BF28" s="75"/>
      <c r="BG28" s="75"/>
      <c r="BH28" s="75"/>
      <c r="BI28" s="75"/>
      <c r="BJ28" s="75"/>
      <c r="BK28" s="75"/>
      <c r="BL28" s="75"/>
      <c r="BM28" s="75"/>
      <c r="BN28" s="75"/>
      <c r="BO28" s="75"/>
      <c r="BP28" s="75"/>
      <c r="BQ28" s="75"/>
      <c r="BR28" s="75"/>
    </row>
    <row r="29" spans="1:85" ht="14.25" customHeight="1" x14ac:dyDescent="0.25">
      <c r="A29" s="153" t="s">
        <v>65</v>
      </c>
      <c r="B29" s="153"/>
      <c r="C29" s="153"/>
      <c r="D29" s="153"/>
      <c r="E29" s="153"/>
      <c r="F29" s="153"/>
      <c r="G29" s="153"/>
      <c r="H29" s="153"/>
      <c r="I29" s="153"/>
      <c r="J29" s="153"/>
      <c r="K29" s="153"/>
      <c r="L29" s="153"/>
      <c r="M29" s="153"/>
      <c r="N29" s="153"/>
      <c r="O29" s="153"/>
      <c r="P29" s="153"/>
      <c r="Q29" s="153"/>
      <c r="R29" s="153"/>
      <c r="S29" s="153"/>
      <c r="T29" s="153"/>
      <c r="U29" s="153"/>
      <c r="V29" s="153"/>
      <c r="W29" s="153"/>
      <c r="X29" s="153"/>
      <c r="Y29" s="153"/>
      <c r="Z29" s="153"/>
      <c r="AA29" s="153"/>
      <c r="AB29" s="153"/>
      <c r="AC29" s="153"/>
      <c r="AD29" s="153"/>
      <c r="AE29" s="153"/>
      <c r="AF29" s="153"/>
      <c r="AG29" s="153"/>
      <c r="AH29" s="153"/>
      <c r="AI29" s="153"/>
      <c r="AJ29" s="153"/>
      <c r="AK29" s="153"/>
      <c r="AL29" s="153"/>
      <c r="AM29" s="153"/>
      <c r="AN29" s="153"/>
      <c r="AO29" s="153"/>
      <c r="AP29" s="153"/>
      <c r="AQ29" s="153"/>
      <c r="AR29" s="153"/>
      <c r="AS29" s="153"/>
      <c r="AT29" s="153"/>
      <c r="AU29" s="153"/>
      <c r="AV29" s="153"/>
      <c r="AW29" s="153"/>
      <c r="AX29" s="153"/>
      <c r="AY29" s="153"/>
      <c r="AZ29" s="153"/>
      <c r="BA29" s="153"/>
      <c r="BB29" s="153"/>
      <c r="BC29" s="153"/>
      <c r="BD29" s="153"/>
      <c r="BE29" s="153"/>
      <c r="BF29" s="153"/>
      <c r="BG29" s="153"/>
      <c r="BH29" s="153"/>
      <c r="BI29" s="153"/>
      <c r="BJ29" s="153"/>
      <c r="BK29" s="153"/>
      <c r="BL29" s="153"/>
      <c r="BM29" s="153"/>
      <c r="BN29" s="153"/>
      <c r="BO29" s="153"/>
      <c r="BP29" s="153"/>
      <c r="BQ29" s="153"/>
      <c r="BR29" s="153"/>
    </row>
    <row r="30" spans="1:85" ht="14.25" customHeight="1" x14ac:dyDescent="0.25">
      <c r="A30" s="154"/>
      <c r="B30" s="154"/>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c r="AA30" s="154"/>
      <c r="AB30" s="154"/>
      <c r="AC30" s="154"/>
      <c r="AD30" s="154"/>
      <c r="AE30" s="154"/>
      <c r="AF30" s="154"/>
      <c r="AG30" s="154"/>
      <c r="AH30" s="154"/>
      <c r="AI30" s="154"/>
      <c r="AJ30" s="154"/>
      <c r="AK30" s="154"/>
      <c r="AL30" s="154"/>
      <c r="AM30" s="154"/>
      <c r="AN30" s="154"/>
      <c r="AO30" s="154"/>
      <c r="AP30" s="154"/>
      <c r="AQ30" s="154"/>
      <c r="AR30" s="154"/>
      <c r="AS30" s="154"/>
      <c r="AT30" s="154"/>
      <c r="AU30" s="154"/>
      <c r="AV30" s="154"/>
      <c r="AW30" s="154"/>
      <c r="AX30" s="154"/>
      <c r="AY30" s="154"/>
      <c r="AZ30" s="154"/>
      <c r="BA30" s="154"/>
      <c r="BB30" s="154"/>
      <c r="BC30" s="154"/>
      <c r="BD30" s="154"/>
      <c r="BE30" s="154"/>
      <c r="BF30" s="154"/>
      <c r="BG30" s="154"/>
      <c r="BH30" s="154"/>
      <c r="BI30" s="154"/>
      <c r="BJ30" s="154"/>
      <c r="BK30" s="154"/>
      <c r="BL30" s="154"/>
      <c r="BM30" s="154"/>
      <c r="BN30" s="154"/>
      <c r="BO30" s="154"/>
      <c r="BP30" s="154"/>
      <c r="BQ30" s="154"/>
      <c r="BR30" s="154"/>
    </row>
    <row r="31" spans="1:85" ht="14.25" customHeight="1" x14ac:dyDescent="0.25">
      <c r="A31" s="134" t="s">
        <v>86</v>
      </c>
      <c r="B31" s="134"/>
      <c r="C31" s="106" t="s">
        <v>85</v>
      </c>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6"/>
      <c r="BA31" s="106"/>
      <c r="BB31" s="106"/>
      <c r="BC31" s="236" t="s">
        <v>87</v>
      </c>
      <c r="BD31" s="210"/>
      <c r="BE31" s="233" t="s">
        <v>95</v>
      </c>
      <c r="BF31" s="234"/>
      <c r="BG31" s="234"/>
      <c r="BH31" s="234"/>
      <c r="BI31" s="234"/>
      <c r="BJ31" s="234"/>
      <c r="BK31" s="234"/>
      <c r="BL31" s="235"/>
      <c r="BM31" s="236" t="s">
        <v>92</v>
      </c>
      <c r="BN31" s="210"/>
      <c r="BO31" s="133" t="s">
        <v>93</v>
      </c>
      <c r="BP31" s="133"/>
      <c r="BQ31" s="209" t="s">
        <v>94</v>
      </c>
      <c r="BR31" s="210"/>
      <c r="BT31" s="233"/>
      <c r="BU31" s="234"/>
      <c r="BV31" s="234"/>
      <c r="BW31" s="234"/>
      <c r="BX31" s="234"/>
      <c r="BY31" s="234"/>
      <c r="BZ31" s="234"/>
      <c r="CA31" s="235"/>
      <c r="CB31" s="236"/>
      <c r="CC31" s="210"/>
      <c r="CD31" s="133"/>
      <c r="CE31" s="133"/>
      <c r="CF31" s="209"/>
      <c r="CG31" s="210"/>
    </row>
    <row r="32" spans="1:85" ht="177.75" customHeight="1" x14ac:dyDescent="0.25">
      <c r="A32" s="134"/>
      <c r="B32" s="134"/>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c r="AZ32" s="106"/>
      <c r="BA32" s="106"/>
      <c r="BB32" s="106"/>
      <c r="BC32" s="237"/>
      <c r="BD32" s="212"/>
      <c r="BE32" s="135" t="s">
        <v>88</v>
      </c>
      <c r="BF32" s="135"/>
      <c r="BG32" s="215" t="s">
        <v>89</v>
      </c>
      <c r="BH32" s="217"/>
      <c r="BI32" s="215" t="s">
        <v>90</v>
      </c>
      <c r="BJ32" s="217"/>
      <c r="BK32" s="134" t="s">
        <v>91</v>
      </c>
      <c r="BL32" s="134"/>
      <c r="BM32" s="237"/>
      <c r="BN32" s="212"/>
      <c r="BO32" s="133"/>
      <c r="BP32" s="133"/>
      <c r="BQ32" s="211"/>
      <c r="BR32" s="212"/>
      <c r="BT32" s="215"/>
      <c r="BU32" s="216"/>
      <c r="BV32" s="217"/>
      <c r="BW32" s="215"/>
      <c r="BX32" s="217"/>
      <c r="BY32" s="224"/>
      <c r="BZ32" s="225"/>
      <c r="CA32" s="226"/>
      <c r="CB32" s="237"/>
      <c r="CC32" s="212"/>
      <c r="CD32" s="133"/>
      <c r="CE32" s="133"/>
      <c r="CF32" s="211"/>
      <c r="CG32" s="212"/>
    </row>
    <row r="33" spans="1:85" ht="14.25" customHeight="1" x14ac:dyDescent="0.25">
      <c r="A33" s="134"/>
      <c r="B33" s="134"/>
      <c r="C33" s="167" t="s">
        <v>73</v>
      </c>
      <c r="D33" s="168"/>
      <c r="E33" s="168"/>
      <c r="F33" s="152"/>
      <c r="G33" s="106" t="s">
        <v>74</v>
      </c>
      <c r="H33" s="106"/>
      <c r="I33" s="106"/>
      <c r="J33" s="106"/>
      <c r="K33" s="106" t="s">
        <v>75</v>
      </c>
      <c r="L33" s="106"/>
      <c r="M33" s="106"/>
      <c r="N33" s="106"/>
      <c r="O33" s="106"/>
      <c r="P33" s="167" t="s">
        <v>76</v>
      </c>
      <c r="Q33" s="168"/>
      <c r="R33" s="168"/>
      <c r="S33" s="152"/>
      <c r="T33" s="167" t="s">
        <v>77</v>
      </c>
      <c r="U33" s="168"/>
      <c r="V33" s="168"/>
      <c r="W33" s="168"/>
      <c r="X33" s="152"/>
      <c r="Y33" s="167" t="s">
        <v>78</v>
      </c>
      <c r="Z33" s="168"/>
      <c r="AA33" s="168"/>
      <c r="AB33" s="152"/>
      <c r="AC33" s="167" t="s">
        <v>79</v>
      </c>
      <c r="AD33" s="168"/>
      <c r="AE33" s="168"/>
      <c r="AF33" s="152"/>
      <c r="AG33" s="167" t="s">
        <v>80</v>
      </c>
      <c r="AH33" s="168"/>
      <c r="AI33" s="168"/>
      <c r="AJ33" s="152"/>
      <c r="AK33" s="167" t="s">
        <v>81</v>
      </c>
      <c r="AL33" s="168"/>
      <c r="AM33" s="168"/>
      <c r="AN33" s="168"/>
      <c r="AO33" s="152"/>
      <c r="AP33" s="167" t="s">
        <v>82</v>
      </c>
      <c r="AQ33" s="168"/>
      <c r="AR33" s="168"/>
      <c r="AS33" s="152"/>
      <c r="AT33" s="167" t="s">
        <v>83</v>
      </c>
      <c r="AU33" s="168"/>
      <c r="AV33" s="168"/>
      <c r="AW33" s="168"/>
      <c r="AX33" s="152"/>
      <c r="AY33" s="167" t="s">
        <v>84</v>
      </c>
      <c r="AZ33" s="168"/>
      <c r="BA33" s="168"/>
      <c r="BB33" s="152"/>
      <c r="BC33" s="237"/>
      <c r="BD33" s="212"/>
      <c r="BE33" s="135"/>
      <c r="BF33" s="135"/>
      <c r="BG33" s="218"/>
      <c r="BH33" s="220"/>
      <c r="BI33" s="218"/>
      <c r="BJ33" s="220"/>
      <c r="BK33" s="134"/>
      <c r="BL33" s="134"/>
      <c r="BM33" s="237"/>
      <c r="BN33" s="212"/>
      <c r="BO33" s="133"/>
      <c r="BP33" s="133"/>
      <c r="BQ33" s="211"/>
      <c r="BR33" s="212"/>
      <c r="BT33" s="218"/>
      <c r="BU33" s="219"/>
      <c r="BV33" s="220"/>
      <c r="BW33" s="218"/>
      <c r="BX33" s="220"/>
      <c r="BY33" s="227"/>
      <c r="BZ33" s="228"/>
      <c r="CA33" s="229"/>
      <c r="CB33" s="237"/>
      <c r="CC33" s="212"/>
      <c r="CD33" s="133"/>
      <c r="CE33" s="133"/>
      <c r="CF33" s="211"/>
      <c r="CG33" s="212"/>
    </row>
    <row r="34" spans="1:85" ht="14.25" customHeight="1" x14ac:dyDescent="0.25">
      <c r="A34" s="134"/>
      <c r="B34" s="134"/>
      <c r="C34" s="72">
        <v>1</v>
      </c>
      <c r="D34" s="72">
        <v>2</v>
      </c>
      <c r="E34" s="72">
        <v>3</v>
      </c>
      <c r="F34" s="72">
        <v>4</v>
      </c>
      <c r="G34" s="72">
        <v>5</v>
      </c>
      <c r="H34" s="72">
        <v>6</v>
      </c>
      <c r="I34" s="72">
        <v>7</v>
      </c>
      <c r="J34" s="72">
        <v>8</v>
      </c>
      <c r="K34" s="72">
        <v>9</v>
      </c>
      <c r="L34" s="72">
        <v>10</v>
      </c>
      <c r="M34" s="72">
        <v>11</v>
      </c>
      <c r="N34" s="72">
        <v>12</v>
      </c>
      <c r="O34" s="72">
        <v>13</v>
      </c>
      <c r="P34" s="72">
        <v>14</v>
      </c>
      <c r="Q34" s="72">
        <v>15</v>
      </c>
      <c r="R34" s="72">
        <v>16</v>
      </c>
      <c r="S34" s="72">
        <v>17</v>
      </c>
      <c r="T34" s="72">
        <v>18</v>
      </c>
      <c r="U34" s="72">
        <v>19</v>
      </c>
      <c r="V34" s="72">
        <v>20</v>
      </c>
      <c r="W34" s="72">
        <v>21</v>
      </c>
      <c r="X34" s="72">
        <v>22</v>
      </c>
      <c r="Y34" s="72">
        <v>23</v>
      </c>
      <c r="Z34" s="72">
        <v>24</v>
      </c>
      <c r="AA34" s="72">
        <v>25</v>
      </c>
      <c r="AB34" s="72">
        <v>26</v>
      </c>
      <c r="AC34" s="72">
        <v>27</v>
      </c>
      <c r="AD34" s="72">
        <v>28</v>
      </c>
      <c r="AE34" s="72">
        <v>29</v>
      </c>
      <c r="AF34" s="72">
        <v>30</v>
      </c>
      <c r="AG34" s="72">
        <v>31</v>
      </c>
      <c r="AH34" s="72">
        <v>32</v>
      </c>
      <c r="AI34" s="72">
        <v>33</v>
      </c>
      <c r="AJ34" s="72">
        <v>34</v>
      </c>
      <c r="AK34" s="72">
        <v>35</v>
      </c>
      <c r="AL34" s="72">
        <v>36</v>
      </c>
      <c r="AM34" s="72">
        <v>37</v>
      </c>
      <c r="AN34" s="72">
        <v>38</v>
      </c>
      <c r="AO34" s="72">
        <v>39</v>
      </c>
      <c r="AP34" s="72">
        <v>40</v>
      </c>
      <c r="AQ34" s="72">
        <v>41</v>
      </c>
      <c r="AR34" s="72">
        <v>42</v>
      </c>
      <c r="AS34" s="72">
        <v>43</v>
      </c>
      <c r="AT34" s="72">
        <v>44</v>
      </c>
      <c r="AU34" s="72">
        <v>45</v>
      </c>
      <c r="AV34" s="72">
        <v>46</v>
      </c>
      <c r="AW34" s="72">
        <v>47</v>
      </c>
      <c r="AX34" s="72">
        <v>48</v>
      </c>
      <c r="AY34" s="72">
        <v>49</v>
      </c>
      <c r="AZ34" s="72">
        <v>50</v>
      </c>
      <c r="BA34" s="72">
        <v>51</v>
      </c>
      <c r="BB34" s="72">
        <v>52</v>
      </c>
      <c r="BC34" s="238"/>
      <c r="BD34" s="214"/>
      <c r="BE34" s="135"/>
      <c r="BF34" s="135"/>
      <c r="BG34" s="221"/>
      <c r="BH34" s="223"/>
      <c r="BI34" s="221"/>
      <c r="BJ34" s="223"/>
      <c r="BK34" s="134"/>
      <c r="BL34" s="134"/>
      <c r="BM34" s="238"/>
      <c r="BN34" s="214"/>
      <c r="BO34" s="133"/>
      <c r="BP34" s="133"/>
      <c r="BQ34" s="213"/>
      <c r="BR34" s="214"/>
      <c r="BT34" s="221"/>
      <c r="BU34" s="222"/>
      <c r="BV34" s="223"/>
      <c r="BW34" s="221"/>
      <c r="BX34" s="223"/>
      <c r="BY34" s="230"/>
      <c r="BZ34" s="231"/>
      <c r="CA34" s="232"/>
      <c r="CB34" s="238"/>
      <c r="CC34" s="214"/>
      <c r="CD34" s="133"/>
      <c r="CE34" s="133"/>
      <c r="CF34" s="213"/>
      <c r="CG34" s="214"/>
    </row>
    <row r="35" spans="1:85" ht="14.25" customHeight="1" x14ac:dyDescent="0.25">
      <c r="A35" s="106" t="s">
        <v>0</v>
      </c>
      <c r="B35" s="106"/>
      <c r="C35" s="72" t="s">
        <v>106</v>
      </c>
      <c r="D35" s="72"/>
      <c r="E35" s="72"/>
      <c r="F35" s="72"/>
      <c r="G35" s="72"/>
      <c r="H35" s="72"/>
      <c r="I35" s="72"/>
      <c r="J35" s="72"/>
      <c r="K35" s="72"/>
      <c r="L35" s="72"/>
      <c r="M35" s="72"/>
      <c r="N35" s="72"/>
      <c r="O35" s="72"/>
      <c r="P35" s="72"/>
      <c r="Q35" s="72"/>
      <c r="R35" s="72"/>
      <c r="S35" s="72" t="s">
        <v>2</v>
      </c>
      <c r="T35" s="72" t="s">
        <v>2</v>
      </c>
      <c r="U35" s="72" t="s">
        <v>1</v>
      </c>
      <c r="V35" s="72" t="s">
        <v>1</v>
      </c>
      <c r="W35" s="72" t="s">
        <v>106</v>
      </c>
      <c r="X35" s="72" t="s">
        <v>0</v>
      </c>
      <c r="Y35" s="72" t="s">
        <v>0</v>
      </c>
      <c r="Z35" s="72" t="s">
        <v>0</v>
      </c>
      <c r="AA35" s="72" t="s">
        <v>0</v>
      </c>
      <c r="AB35" s="72" t="s">
        <v>0</v>
      </c>
      <c r="AC35" s="72"/>
      <c r="AD35" s="72"/>
      <c r="AE35" s="72"/>
      <c r="AF35" s="72"/>
      <c r="AG35" s="72"/>
      <c r="AH35" s="72"/>
      <c r="AI35" s="72"/>
      <c r="AJ35" s="72"/>
      <c r="AK35" s="72"/>
      <c r="AL35" s="72"/>
      <c r="AM35" s="72"/>
      <c r="AN35" s="72"/>
      <c r="AO35" s="72"/>
      <c r="AP35" s="72"/>
      <c r="AQ35" s="72"/>
      <c r="AR35" s="72" t="s">
        <v>1</v>
      </c>
      <c r="AS35" s="72" t="s">
        <v>1</v>
      </c>
      <c r="AT35" s="72" t="s">
        <v>2</v>
      </c>
      <c r="AU35" s="72" t="s">
        <v>2</v>
      </c>
      <c r="AV35" s="72" t="s">
        <v>2</v>
      </c>
      <c r="AW35" s="72" t="s">
        <v>2</v>
      </c>
      <c r="AX35" s="72" t="s">
        <v>2</v>
      </c>
      <c r="AY35" s="72" t="s">
        <v>2</v>
      </c>
      <c r="AZ35" s="72" t="s">
        <v>2</v>
      </c>
      <c r="BA35" s="72" t="s">
        <v>2</v>
      </c>
      <c r="BB35" s="72" t="s">
        <v>2</v>
      </c>
      <c r="BC35" s="167">
        <f>SUM(BE35:BN35)</f>
        <v>41</v>
      </c>
      <c r="BD35" s="152"/>
      <c r="BE35" s="106">
        <v>30</v>
      </c>
      <c r="BF35" s="106"/>
      <c r="BG35" s="167">
        <v>5</v>
      </c>
      <c r="BH35" s="152"/>
      <c r="BI35" s="167"/>
      <c r="BJ35" s="152"/>
      <c r="BK35" s="168">
        <v>4</v>
      </c>
      <c r="BL35" s="152"/>
      <c r="BM35" s="167">
        <v>2</v>
      </c>
      <c r="BN35" s="152"/>
      <c r="BO35" s="167">
        <v>11</v>
      </c>
      <c r="BP35" s="152"/>
      <c r="BQ35" s="106">
        <f>BO35+BC35</f>
        <v>52</v>
      </c>
      <c r="BR35" s="106"/>
    </row>
    <row r="36" spans="1:85" ht="14.25" customHeight="1" x14ac:dyDescent="0.25">
      <c r="A36" s="106" t="s">
        <v>3</v>
      </c>
      <c r="B36" s="106"/>
      <c r="C36" s="72" t="s">
        <v>106</v>
      </c>
      <c r="D36" s="72"/>
      <c r="E36" s="72"/>
      <c r="F36" s="72"/>
      <c r="G36" s="72"/>
      <c r="H36" s="72"/>
      <c r="I36" s="72"/>
      <c r="J36" s="72"/>
      <c r="K36" s="72"/>
      <c r="L36" s="72"/>
      <c r="M36" s="72"/>
      <c r="N36" s="72"/>
      <c r="O36" s="72"/>
      <c r="P36" s="72"/>
      <c r="Q36" s="72"/>
      <c r="R36" s="72"/>
      <c r="S36" s="72" t="s">
        <v>2</v>
      </c>
      <c r="T36" s="72" t="s">
        <v>2</v>
      </c>
      <c r="U36" s="72" t="s">
        <v>1</v>
      </c>
      <c r="V36" s="72" t="s">
        <v>1</v>
      </c>
      <c r="W36" s="72" t="s">
        <v>106</v>
      </c>
      <c r="X36" s="72" t="s">
        <v>22</v>
      </c>
      <c r="Y36" s="72" t="s">
        <v>22</v>
      </c>
      <c r="Z36" s="72" t="s">
        <v>22</v>
      </c>
      <c r="AA36" s="72" t="s">
        <v>22</v>
      </c>
      <c r="AB36" s="72" t="s">
        <v>22</v>
      </c>
      <c r="AC36" s="72"/>
      <c r="AD36" s="72"/>
      <c r="AE36" s="72"/>
      <c r="AF36" s="72"/>
      <c r="AG36" s="72"/>
      <c r="AH36" s="72"/>
      <c r="AI36" s="72"/>
      <c r="AJ36" s="72"/>
      <c r="AK36" s="72"/>
      <c r="AL36" s="72"/>
      <c r="AM36" s="72"/>
      <c r="AN36" s="72"/>
      <c r="AO36" s="72"/>
      <c r="AP36" s="72"/>
      <c r="AQ36" s="72"/>
      <c r="AR36" s="72" t="s">
        <v>1</v>
      </c>
      <c r="AS36" s="72" t="s">
        <v>102</v>
      </c>
      <c r="AT36" s="72" t="s">
        <v>2</v>
      </c>
      <c r="AU36" s="72" t="s">
        <v>2</v>
      </c>
      <c r="AV36" s="72" t="s">
        <v>2</v>
      </c>
      <c r="AW36" s="72" t="s">
        <v>2</v>
      </c>
      <c r="AX36" s="72" t="s">
        <v>2</v>
      </c>
      <c r="AY36" s="72"/>
      <c r="AZ36" s="72"/>
      <c r="BA36" s="72"/>
      <c r="BB36" s="72"/>
      <c r="BC36" s="167">
        <f>SUM(BE36:BN36)</f>
        <v>41</v>
      </c>
      <c r="BD36" s="152"/>
      <c r="BE36" s="106">
        <v>30</v>
      </c>
      <c r="BF36" s="106"/>
      <c r="BG36" s="167"/>
      <c r="BH36" s="152"/>
      <c r="BI36" s="167">
        <v>5</v>
      </c>
      <c r="BJ36" s="152"/>
      <c r="BK36" s="168">
        <v>4</v>
      </c>
      <c r="BL36" s="152"/>
      <c r="BM36" s="167">
        <v>2</v>
      </c>
      <c r="BN36" s="152"/>
      <c r="BO36" s="167">
        <v>7</v>
      </c>
      <c r="BP36" s="152"/>
      <c r="BQ36" s="106">
        <f>BO36+BC36</f>
        <v>48</v>
      </c>
      <c r="BR36" s="106"/>
    </row>
    <row r="37" spans="1:85" ht="14.25" customHeight="1" x14ac:dyDescent="0.25">
      <c r="A37" s="169" t="s">
        <v>4</v>
      </c>
      <c r="B37" s="169"/>
      <c r="C37" s="169"/>
      <c r="D37" s="169"/>
      <c r="E37" s="169"/>
      <c r="F37" s="169"/>
      <c r="G37" s="169"/>
      <c r="H37" s="169"/>
      <c r="I37" s="169"/>
      <c r="J37" s="169"/>
      <c r="K37" s="169"/>
      <c r="L37" s="169"/>
      <c r="M37" s="169"/>
      <c r="N37" s="169"/>
      <c r="O37" s="169"/>
      <c r="P37" s="169"/>
      <c r="Q37" s="169"/>
      <c r="R37" s="169"/>
      <c r="S37" s="169"/>
      <c r="T37" s="169"/>
      <c r="U37" s="169"/>
      <c r="V37" s="169"/>
      <c r="W37" s="169"/>
      <c r="X37" s="169"/>
      <c r="Y37" s="169"/>
      <c r="Z37" s="169"/>
      <c r="AA37" s="169"/>
      <c r="AB37" s="169"/>
      <c r="AC37" s="169"/>
      <c r="AD37" s="169"/>
      <c r="AE37" s="169"/>
      <c r="AF37" s="169"/>
      <c r="AG37" s="169"/>
      <c r="AH37" s="169"/>
      <c r="AI37" s="169"/>
      <c r="AJ37" s="169"/>
      <c r="AK37" s="169"/>
      <c r="AL37" s="169"/>
      <c r="AM37" s="169"/>
      <c r="AN37" s="169"/>
      <c r="AO37" s="169"/>
      <c r="AP37" s="169"/>
      <c r="AQ37" s="169"/>
      <c r="AR37" s="169"/>
      <c r="AS37" s="169"/>
      <c r="AT37" s="169"/>
      <c r="AU37" s="169"/>
      <c r="AV37" s="169"/>
      <c r="AW37" s="169"/>
      <c r="AX37" s="169"/>
      <c r="AY37" s="169"/>
      <c r="AZ37" s="169"/>
      <c r="BA37" s="169"/>
      <c r="BB37" s="169"/>
      <c r="BC37" s="167">
        <f>SUM(BC35:BD36)</f>
        <v>82</v>
      </c>
      <c r="BD37" s="152"/>
      <c r="BE37" s="106">
        <f>SUM(BE35:BF36)</f>
        <v>60</v>
      </c>
      <c r="BF37" s="106"/>
      <c r="BG37" s="106">
        <f t="shared" ref="BG37" si="0">SUM(BG35:BH36)</f>
        <v>5</v>
      </c>
      <c r="BH37" s="106"/>
      <c r="BI37" s="106">
        <f t="shared" ref="BI37" si="1">SUM(BI35:BJ36)</f>
        <v>5</v>
      </c>
      <c r="BJ37" s="106"/>
      <c r="BK37" s="106">
        <f t="shared" ref="BK37" si="2">SUM(BK35:BL36)</f>
        <v>8</v>
      </c>
      <c r="BL37" s="106"/>
      <c r="BM37" s="106">
        <f t="shared" ref="BM37" si="3">SUM(BM35:BN36)</f>
        <v>4</v>
      </c>
      <c r="BN37" s="106"/>
      <c r="BO37" s="106">
        <f t="shared" ref="BO37" si="4">SUM(BO35:BP36)</f>
        <v>18</v>
      </c>
      <c r="BP37" s="106"/>
      <c r="BQ37" s="106">
        <f>SUM(BQ35:BR36)</f>
        <v>100</v>
      </c>
      <c r="BR37" s="106"/>
    </row>
    <row r="38" spans="1:85" ht="14.25" customHeight="1" x14ac:dyDescent="0.25">
      <c r="A38" s="4"/>
      <c r="B38" s="5"/>
      <c r="C38" s="5"/>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7"/>
      <c r="AF38" s="6"/>
      <c r="AG38" s="6"/>
      <c r="AH38" s="6"/>
      <c r="AI38" s="6"/>
      <c r="AJ38" s="6"/>
      <c r="AK38" s="6"/>
      <c r="AL38" s="6"/>
      <c r="AM38" s="6"/>
      <c r="AN38" s="6"/>
      <c r="AO38" s="6"/>
      <c r="AP38" s="6"/>
      <c r="AQ38" s="8"/>
      <c r="AR38" s="6"/>
      <c r="AS38" s="6"/>
      <c r="AT38" s="6"/>
      <c r="AU38" s="6"/>
      <c r="AV38" s="8"/>
      <c r="AW38" s="6"/>
      <c r="AX38" s="6"/>
      <c r="AY38" s="6"/>
      <c r="AZ38" s="6"/>
      <c r="BA38" s="6"/>
      <c r="BB38" s="6"/>
      <c r="BC38" s="77"/>
      <c r="BD38" s="77"/>
      <c r="BE38" s="77"/>
      <c r="BF38" s="77"/>
      <c r="BG38" s="77"/>
      <c r="BH38" s="77"/>
      <c r="BI38" s="77"/>
      <c r="BJ38" s="77"/>
      <c r="BK38" s="77"/>
      <c r="BL38" s="77"/>
      <c r="BM38" s="77"/>
      <c r="BN38" s="77"/>
      <c r="BO38" s="9"/>
      <c r="BP38" s="9"/>
      <c r="BQ38" s="9"/>
      <c r="BR38" s="8"/>
    </row>
    <row r="39" spans="1:85" ht="14.25" customHeight="1" x14ac:dyDescent="0.25">
      <c r="A39" s="4"/>
      <c r="B39" s="160"/>
      <c r="C39" s="160"/>
      <c r="D39" s="161" t="s">
        <v>96</v>
      </c>
      <c r="E39" s="143"/>
      <c r="F39" s="143"/>
      <c r="G39" s="143"/>
      <c r="H39" s="143"/>
      <c r="I39" s="143"/>
      <c r="J39" s="143"/>
      <c r="K39" s="162" t="s">
        <v>102</v>
      </c>
      <c r="L39" s="162"/>
      <c r="M39" s="162"/>
      <c r="N39" s="162"/>
      <c r="O39" s="163" t="s">
        <v>97</v>
      </c>
      <c r="P39" s="163"/>
      <c r="Q39" s="163"/>
      <c r="R39" s="164"/>
      <c r="S39" s="162" t="s">
        <v>0</v>
      </c>
      <c r="T39" s="162"/>
      <c r="U39" s="162"/>
      <c r="V39" s="165" t="s">
        <v>98</v>
      </c>
      <c r="W39" s="165"/>
      <c r="X39" s="165"/>
      <c r="Y39" s="165"/>
      <c r="Z39" s="165"/>
      <c r="AA39" s="166"/>
      <c r="AB39" s="162" t="s">
        <v>103</v>
      </c>
      <c r="AC39" s="162"/>
      <c r="AD39" s="162"/>
      <c r="AE39" s="7"/>
      <c r="AF39" s="163" t="s">
        <v>99</v>
      </c>
      <c r="AG39" s="163"/>
      <c r="AH39" s="163"/>
      <c r="AI39" s="163"/>
      <c r="AJ39" s="163"/>
      <c r="AK39" s="163"/>
      <c r="AL39" s="163"/>
      <c r="AM39" s="164"/>
      <c r="AN39" s="162" t="s">
        <v>104</v>
      </c>
      <c r="AO39" s="162"/>
      <c r="AP39" s="162"/>
      <c r="AQ39" s="8"/>
      <c r="AR39" s="177" t="s">
        <v>100</v>
      </c>
      <c r="AS39" s="177"/>
      <c r="AT39" s="177"/>
      <c r="AU39" s="177"/>
      <c r="AV39" s="8"/>
      <c r="AW39" s="162" t="s">
        <v>105</v>
      </c>
      <c r="AX39" s="162"/>
      <c r="AY39" s="162"/>
      <c r="AZ39" s="177" t="s">
        <v>101</v>
      </c>
      <c r="BA39" s="177"/>
      <c r="BB39" s="177"/>
      <c r="BC39" s="177"/>
      <c r="BD39" s="138" t="s">
        <v>106</v>
      </c>
      <c r="BE39" s="138"/>
      <c r="BF39" s="138"/>
      <c r="BG39" s="138"/>
      <c r="BH39" s="139" t="s">
        <v>92</v>
      </c>
      <c r="BI39" s="139"/>
      <c r="BJ39" s="139"/>
      <c r="BK39" s="139"/>
      <c r="BL39" s="139"/>
      <c r="BM39" s="139"/>
      <c r="BN39" s="139"/>
      <c r="BO39" s="9"/>
      <c r="BP39" s="9"/>
      <c r="BQ39" s="9"/>
      <c r="BR39" s="8"/>
    </row>
    <row r="40" spans="1:85" ht="14.25" customHeight="1" x14ac:dyDescent="0.25">
      <c r="A40" s="4"/>
      <c r="B40" s="160"/>
      <c r="C40" s="160"/>
      <c r="D40" s="161"/>
      <c r="E40" s="143"/>
      <c r="F40" s="143"/>
      <c r="G40" s="143"/>
      <c r="H40" s="143"/>
      <c r="I40" s="143"/>
      <c r="J40" s="143"/>
      <c r="K40" s="162"/>
      <c r="L40" s="162"/>
      <c r="M40" s="162"/>
      <c r="N40" s="162"/>
      <c r="O40" s="163"/>
      <c r="P40" s="163"/>
      <c r="Q40" s="163"/>
      <c r="R40" s="164"/>
      <c r="S40" s="162"/>
      <c r="T40" s="162"/>
      <c r="U40" s="162"/>
      <c r="V40" s="165"/>
      <c r="W40" s="165"/>
      <c r="X40" s="165"/>
      <c r="Y40" s="165"/>
      <c r="Z40" s="165"/>
      <c r="AA40" s="166"/>
      <c r="AB40" s="162"/>
      <c r="AC40" s="162"/>
      <c r="AD40" s="162"/>
      <c r="AE40" s="7"/>
      <c r="AF40" s="163"/>
      <c r="AG40" s="163"/>
      <c r="AH40" s="163"/>
      <c r="AI40" s="163"/>
      <c r="AJ40" s="163"/>
      <c r="AK40" s="163"/>
      <c r="AL40" s="163"/>
      <c r="AM40" s="164"/>
      <c r="AN40" s="162"/>
      <c r="AO40" s="162"/>
      <c r="AP40" s="162"/>
      <c r="AQ40" s="8"/>
      <c r="AR40" s="177"/>
      <c r="AS40" s="177"/>
      <c r="AT40" s="177"/>
      <c r="AU40" s="177"/>
      <c r="AV40" s="8"/>
      <c r="AW40" s="162"/>
      <c r="AX40" s="162"/>
      <c r="AY40" s="162"/>
      <c r="AZ40" s="177"/>
      <c r="BA40" s="177"/>
      <c r="BB40" s="177"/>
      <c r="BC40" s="177"/>
      <c r="BD40" s="138"/>
      <c r="BE40" s="138"/>
      <c r="BF40" s="138"/>
      <c r="BG40" s="138"/>
      <c r="BH40" s="139"/>
      <c r="BI40" s="139"/>
      <c r="BJ40" s="139"/>
      <c r="BK40" s="139"/>
      <c r="BL40" s="139"/>
      <c r="BM40" s="139"/>
      <c r="BN40" s="139"/>
      <c r="BO40" s="9"/>
      <c r="BP40" s="9"/>
      <c r="BQ40" s="9"/>
      <c r="BR40" s="8"/>
    </row>
    <row r="41" spans="1:85" ht="14.25" customHeight="1" x14ac:dyDescent="0.25">
      <c r="A41" s="4"/>
      <c r="B41" s="160"/>
      <c r="C41" s="160"/>
      <c r="D41" s="161"/>
      <c r="E41" s="143"/>
      <c r="F41" s="143"/>
      <c r="G41" s="143"/>
      <c r="H41" s="143"/>
      <c r="I41" s="143"/>
      <c r="J41" s="143"/>
      <c r="K41" s="162"/>
      <c r="L41" s="162"/>
      <c r="M41" s="162"/>
      <c r="N41" s="162"/>
      <c r="O41" s="163"/>
      <c r="P41" s="163"/>
      <c r="Q41" s="163"/>
      <c r="R41" s="164"/>
      <c r="S41" s="162"/>
      <c r="T41" s="162"/>
      <c r="U41" s="162"/>
      <c r="V41" s="165"/>
      <c r="W41" s="165"/>
      <c r="X41" s="165"/>
      <c r="Y41" s="165"/>
      <c r="Z41" s="165"/>
      <c r="AA41" s="166"/>
      <c r="AB41" s="162"/>
      <c r="AC41" s="162"/>
      <c r="AD41" s="162"/>
      <c r="AE41" s="7"/>
      <c r="AF41" s="163"/>
      <c r="AG41" s="163"/>
      <c r="AH41" s="163"/>
      <c r="AI41" s="163"/>
      <c r="AJ41" s="163"/>
      <c r="AK41" s="163"/>
      <c r="AL41" s="163"/>
      <c r="AM41" s="164"/>
      <c r="AN41" s="162"/>
      <c r="AO41" s="162"/>
      <c r="AP41" s="162"/>
      <c r="AQ41" s="8"/>
      <c r="AR41" s="177"/>
      <c r="AS41" s="177"/>
      <c r="AT41" s="177"/>
      <c r="AU41" s="177"/>
      <c r="AV41" s="8"/>
      <c r="AW41" s="162"/>
      <c r="AX41" s="162"/>
      <c r="AY41" s="162"/>
      <c r="AZ41" s="177"/>
      <c r="BA41" s="177"/>
      <c r="BB41" s="177"/>
      <c r="BC41" s="177"/>
      <c r="BD41" s="138"/>
      <c r="BE41" s="138"/>
      <c r="BF41" s="138"/>
      <c r="BG41" s="138"/>
      <c r="BH41" s="139"/>
      <c r="BI41" s="139"/>
      <c r="BJ41" s="139"/>
      <c r="BK41" s="139"/>
      <c r="BL41" s="139"/>
      <c r="BM41" s="139"/>
      <c r="BN41" s="139"/>
      <c r="BO41" s="9"/>
      <c r="BP41" s="9"/>
      <c r="BQ41" s="9"/>
      <c r="BR41" s="8"/>
    </row>
    <row r="42" spans="1:85" ht="14.25" customHeight="1" x14ac:dyDescent="0.25">
      <c r="A42" s="4"/>
      <c r="B42" s="10"/>
      <c r="C42" s="11"/>
      <c r="D42" s="12"/>
      <c r="E42" s="4"/>
      <c r="F42" s="4"/>
      <c r="G42" s="4"/>
      <c r="H42" s="4"/>
      <c r="I42" s="66"/>
      <c r="J42" s="66"/>
      <c r="K42" s="66"/>
      <c r="L42" s="66"/>
      <c r="M42" s="66"/>
      <c r="N42" s="66"/>
      <c r="O42" s="13"/>
      <c r="P42" s="13"/>
      <c r="Q42" s="13"/>
      <c r="R42" s="13"/>
      <c r="S42" s="66"/>
      <c r="T42" s="66"/>
      <c r="U42" s="66"/>
      <c r="V42" s="66"/>
      <c r="W42" s="66"/>
      <c r="X42" s="66"/>
      <c r="Y42" s="13"/>
      <c r="Z42" s="13"/>
      <c r="AA42" s="13"/>
      <c r="AB42" s="13"/>
      <c r="AC42" s="66"/>
      <c r="AD42" s="66"/>
      <c r="AE42" s="66"/>
      <c r="AF42" s="66"/>
      <c r="AG42" s="66"/>
      <c r="AH42" s="66"/>
      <c r="AI42" s="13"/>
      <c r="AJ42" s="13"/>
      <c r="AK42" s="13"/>
      <c r="AL42" s="13"/>
      <c r="AM42" s="66"/>
      <c r="AN42" s="66"/>
      <c r="AO42" s="66"/>
      <c r="AP42" s="66"/>
      <c r="AQ42" s="66"/>
      <c r="AR42" s="66"/>
      <c r="AS42" s="13"/>
      <c r="AT42" s="13"/>
      <c r="AU42" s="13"/>
      <c r="AV42" s="13"/>
      <c r="AW42" s="66"/>
      <c r="AX42" s="66"/>
      <c r="AY42" s="66"/>
      <c r="AZ42" s="66"/>
      <c r="BA42" s="66"/>
      <c r="BB42" s="66"/>
      <c r="BC42" s="13"/>
      <c r="BD42" s="13"/>
      <c r="BE42" s="13"/>
      <c r="BF42" s="13"/>
      <c r="BG42" s="66"/>
      <c r="BH42" s="66"/>
      <c r="BI42" s="66"/>
      <c r="BJ42" s="66"/>
      <c r="BK42" s="66"/>
      <c r="BL42" s="66"/>
      <c r="BM42" s="73"/>
      <c r="BN42" s="4"/>
      <c r="BO42" s="4"/>
      <c r="BP42" s="4"/>
      <c r="BQ42" s="4"/>
      <c r="BR42" s="4"/>
    </row>
    <row r="43" spans="1:85" ht="14.25" customHeight="1" x14ac:dyDescent="0.25">
      <c r="A43" s="4"/>
      <c r="B43" s="10"/>
      <c r="C43" s="11"/>
      <c r="D43" s="12"/>
      <c r="E43" s="4"/>
      <c r="F43" s="4"/>
      <c r="G43" s="4"/>
      <c r="H43" s="4"/>
      <c r="I43" s="66"/>
      <c r="J43" s="66"/>
      <c r="K43" s="66"/>
      <c r="L43" s="66"/>
      <c r="M43" s="66"/>
      <c r="N43" s="66"/>
      <c r="O43" s="13"/>
      <c r="P43" s="13"/>
      <c r="Q43" s="13"/>
      <c r="R43" s="13"/>
      <c r="S43" s="66"/>
      <c r="T43" s="66"/>
      <c r="U43" s="66"/>
      <c r="V43" s="66"/>
      <c r="W43" s="66"/>
      <c r="X43" s="66"/>
      <c r="Y43" s="13"/>
      <c r="Z43" s="13"/>
      <c r="AA43" s="13"/>
      <c r="AB43" s="13"/>
      <c r="AC43" s="66"/>
      <c r="AD43" s="66"/>
      <c r="AE43" s="66"/>
      <c r="AF43" s="66"/>
      <c r="AG43" s="66"/>
      <c r="AH43" s="66"/>
      <c r="AI43" s="13"/>
      <c r="AJ43" s="13"/>
      <c r="AK43" s="13"/>
      <c r="AL43" s="13"/>
      <c r="AM43" s="66"/>
      <c r="AN43" s="66"/>
      <c r="AO43" s="66"/>
      <c r="AP43" s="66"/>
      <c r="AQ43" s="66"/>
      <c r="AR43" s="66"/>
      <c r="AS43" s="13"/>
      <c r="AT43" s="13"/>
      <c r="AU43" s="13"/>
      <c r="AV43" s="13"/>
      <c r="AW43" s="66"/>
      <c r="AX43" s="66"/>
      <c r="AY43" s="66"/>
      <c r="AZ43" s="66"/>
      <c r="BA43" s="66"/>
      <c r="BB43" s="66"/>
      <c r="BC43" s="13"/>
      <c r="BD43" s="13"/>
      <c r="BE43" s="13"/>
      <c r="BF43" s="13"/>
      <c r="BG43" s="66"/>
      <c r="BH43" s="66"/>
      <c r="BI43" s="66"/>
      <c r="BJ43" s="66"/>
      <c r="BK43" s="66"/>
      <c r="BL43" s="66"/>
      <c r="BM43" s="73"/>
      <c r="BN43" s="4"/>
      <c r="BO43" s="4"/>
      <c r="BP43" s="4"/>
      <c r="BQ43" s="4"/>
      <c r="BR43" s="4"/>
    </row>
    <row r="44" spans="1:85" ht="14.25" customHeight="1" x14ac:dyDescent="0.25">
      <c r="A44" s="153" t="s">
        <v>66</v>
      </c>
      <c r="B44" s="153"/>
      <c r="C44" s="153"/>
      <c r="D44" s="153"/>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3"/>
      <c r="BK44" s="153"/>
      <c r="BL44" s="153"/>
      <c r="BM44" s="153"/>
      <c r="BN44" s="153"/>
      <c r="BO44" s="153"/>
      <c r="BP44" s="153"/>
      <c r="BQ44" s="153"/>
      <c r="BR44" s="153"/>
    </row>
    <row r="45" spans="1:85" ht="14.25" customHeight="1" x14ac:dyDescent="0.25">
      <c r="A45" s="154"/>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4"/>
      <c r="AX45" s="154"/>
      <c r="AY45" s="154"/>
      <c r="AZ45" s="154"/>
      <c r="BA45" s="154"/>
      <c r="BB45" s="154"/>
      <c r="BC45" s="154"/>
      <c r="BD45" s="154"/>
      <c r="BE45" s="154"/>
      <c r="BF45" s="154"/>
      <c r="BG45" s="154"/>
      <c r="BH45" s="154"/>
      <c r="BI45" s="154"/>
      <c r="BJ45" s="154"/>
      <c r="BK45" s="154"/>
      <c r="BL45" s="154"/>
      <c r="BM45" s="154"/>
      <c r="BN45" s="154"/>
      <c r="BO45" s="154"/>
      <c r="BP45" s="154"/>
      <c r="BQ45" s="154"/>
      <c r="BR45" s="154"/>
    </row>
    <row r="46" spans="1:85" ht="14.25" customHeight="1" x14ac:dyDescent="0.25">
      <c r="A46" s="106" t="s">
        <v>108</v>
      </c>
      <c r="B46" s="133" t="s">
        <v>107</v>
      </c>
      <c r="C46" s="134"/>
      <c r="D46" s="132" t="s">
        <v>126</v>
      </c>
      <c r="E46" s="132"/>
      <c r="F46" s="132"/>
      <c r="G46" s="132"/>
      <c r="H46" s="132"/>
      <c r="I46" s="132"/>
      <c r="J46" s="132"/>
      <c r="K46" s="132"/>
      <c r="L46" s="132"/>
      <c r="M46" s="132"/>
      <c r="N46" s="132"/>
      <c r="O46" s="155"/>
      <c r="P46" s="156" t="s">
        <v>113</v>
      </c>
      <c r="Q46" s="132"/>
      <c r="R46" s="132"/>
      <c r="S46" s="132"/>
      <c r="T46" s="132"/>
      <c r="U46" s="132"/>
      <c r="V46" s="132"/>
      <c r="W46" s="132"/>
      <c r="X46" s="132"/>
      <c r="Y46" s="132"/>
      <c r="Z46" s="132"/>
      <c r="AA46" s="132"/>
      <c r="AB46" s="132"/>
      <c r="AC46" s="132"/>
      <c r="AD46" s="132"/>
      <c r="AE46" s="132"/>
      <c r="AF46" s="132"/>
      <c r="AG46" s="132"/>
      <c r="AH46" s="132"/>
      <c r="AI46" s="132"/>
      <c r="AJ46" s="132"/>
      <c r="AK46" s="132"/>
      <c r="AL46" s="132"/>
      <c r="AM46" s="132"/>
      <c r="AN46" s="132"/>
      <c r="AO46" s="132"/>
      <c r="AP46" s="155"/>
      <c r="AQ46" s="157" t="s">
        <v>179</v>
      </c>
      <c r="AR46" s="132"/>
      <c r="AS46" s="132"/>
      <c r="AT46" s="132"/>
      <c r="AU46" s="132"/>
      <c r="AV46" s="132"/>
      <c r="AW46" s="132"/>
      <c r="AX46" s="132"/>
      <c r="AY46" s="132"/>
      <c r="AZ46" s="132"/>
      <c r="BA46" s="132"/>
      <c r="BB46" s="155"/>
      <c r="BC46" s="157" t="s">
        <v>180</v>
      </c>
      <c r="BD46" s="132"/>
      <c r="BE46" s="132"/>
      <c r="BF46" s="132"/>
      <c r="BG46" s="132"/>
      <c r="BH46" s="132"/>
      <c r="BI46" s="132"/>
      <c r="BJ46" s="132"/>
      <c r="BK46" s="132"/>
      <c r="BL46" s="132"/>
      <c r="BM46" s="132"/>
      <c r="BN46" s="155"/>
      <c r="BO46" s="158" t="s">
        <v>123</v>
      </c>
      <c r="BP46" s="134"/>
      <c r="BQ46" s="134"/>
      <c r="BR46" s="134"/>
    </row>
    <row r="47" spans="1:85" ht="14.25" customHeight="1" x14ac:dyDescent="0.25">
      <c r="A47" s="106"/>
      <c r="B47" s="134"/>
      <c r="C47" s="134"/>
      <c r="D47" s="132"/>
      <c r="E47" s="132"/>
      <c r="F47" s="132"/>
      <c r="G47" s="132"/>
      <c r="H47" s="132"/>
      <c r="I47" s="132"/>
      <c r="J47" s="132"/>
      <c r="K47" s="132"/>
      <c r="L47" s="132"/>
      <c r="M47" s="132"/>
      <c r="N47" s="132"/>
      <c r="O47" s="155"/>
      <c r="P47" s="156"/>
      <c r="Q47" s="132"/>
      <c r="R47" s="132"/>
      <c r="S47" s="132"/>
      <c r="T47" s="132"/>
      <c r="U47" s="132"/>
      <c r="V47" s="132"/>
      <c r="W47" s="132"/>
      <c r="X47" s="132"/>
      <c r="Y47" s="132"/>
      <c r="Z47" s="132"/>
      <c r="AA47" s="132"/>
      <c r="AB47" s="132"/>
      <c r="AC47" s="132"/>
      <c r="AD47" s="132"/>
      <c r="AE47" s="132"/>
      <c r="AF47" s="132"/>
      <c r="AG47" s="132"/>
      <c r="AH47" s="132"/>
      <c r="AI47" s="132"/>
      <c r="AJ47" s="132"/>
      <c r="AK47" s="132"/>
      <c r="AL47" s="132"/>
      <c r="AM47" s="132"/>
      <c r="AN47" s="132"/>
      <c r="AO47" s="132"/>
      <c r="AP47" s="155"/>
      <c r="AQ47" s="157"/>
      <c r="AR47" s="132"/>
      <c r="AS47" s="132"/>
      <c r="AT47" s="132"/>
      <c r="AU47" s="132"/>
      <c r="AV47" s="132"/>
      <c r="AW47" s="132"/>
      <c r="AX47" s="132"/>
      <c r="AY47" s="132"/>
      <c r="AZ47" s="132"/>
      <c r="BA47" s="132"/>
      <c r="BB47" s="155"/>
      <c r="BC47" s="157"/>
      <c r="BD47" s="132"/>
      <c r="BE47" s="132"/>
      <c r="BF47" s="132"/>
      <c r="BG47" s="132"/>
      <c r="BH47" s="132"/>
      <c r="BI47" s="132"/>
      <c r="BJ47" s="132"/>
      <c r="BK47" s="132"/>
      <c r="BL47" s="132"/>
      <c r="BM47" s="132"/>
      <c r="BN47" s="155"/>
      <c r="BO47" s="158"/>
      <c r="BP47" s="134"/>
      <c r="BQ47" s="134"/>
      <c r="BR47" s="134"/>
      <c r="BS47" s="71"/>
      <c r="BT47" s="71"/>
      <c r="BU47" s="71"/>
      <c r="BV47" s="71"/>
      <c r="BW47" s="71"/>
      <c r="BX47" s="71"/>
      <c r="BY47" s="71"/>
      <c r="BZ47" s="71"/>
    </row>
    <row r="48" spans="1:85" ht="14.25" customHeight="1" x14ac:dyDescent="0.25">
      <c r="A48" s="106"/>
      <c r="B48" s="134"/>
      <c r="C48" s="134"/>
      <c r="D48" s="132"/>
      <c r="E48" s="132"/>
      <c r="F48" s="132"/>
      <c r="G48" s="132"/>
      <c r="H48" s="132"/>
      <c r="I48" s="132"/>
      <c r="J48" s="132"/>
      <c r="K48" s="132"/>
      <c r="L48" s="132"/>
      <c r="M48" s="132"/>
      <c r="N48" s="132"/>
      <c r="O48" s="155"/>
      <c r="P48" s="157" t="s">
        <v>109</v>
      </c>
      <c r="Q48" s="132"/>
      <c r="R48" s="132"/>
      <c r="S48" s="132"/>
      <c r="T48" s="132"/>
      <c r="U48" s="155"/>
      <c r="V48" s="156" t="s">
        <v>114</v>
      </c>
      <c r="W48" s="132"/>
      <c r="X48" s="132"/>
      <c r="Y48" s="132"/>
      <c r="Z48" s="132"/>
      <c r="AA48" s="132"/>
      <c r="AB48" s="132"/>
      <c r="AC48" s="132"/>
      <c r="AD48" s="132"/>
      <c r="AE48" s="132"/>
      <c r="AF48" s="132"/>
      <c r="AG48" s="132"/>
      <c r="AH48" s="132"/>
      <c r="AI48" s="132"/>
      <c r="AJ48" s="132"/>
      <c r="AK48" s="132"/>
      <c r="AL48" s="132"/>
      <c r="AM48" s="132"/>
      <c r="AN48" s="135" t="s">
        <v>120</v>
      </c>
      <c r="AO48" s="135"/>
      <c r="AP48" s="159"/>
      <c r="AQ48" s="144" t="s">
        <v>124</v>
      </c>
      <c r="AR48" s="106"/>
      <c r="AS48" s="106"/>
      <c r="AT48" s="106"/>
      <c r="AU48" s="106"/>
      <c r="AV48" s="106"/>
      <c r="AW48" s="106" t="s">
        <v>125</v>
      </c>
      <c r="AX48" s="106"/>
      <c r="AY48" s="106"/>
      <c r="AZ48" s="106"/>
      <c r="BA48" s="106"/>
      <c r="BB48" s="147"/>
      <c r="BC48" s="144" t="s">
        <v>124</v>
      </c>
      <c r="BD48" s="106"/>
      <c r="BE48" s="106"/>
      <c r="BF48" s="106"/>
      <c r="BG48" s="106"/>
      <c r="BH48" s="106"/>
      <c r="BI48" s="106" t="s">
        <v>125</v>
      </c>
      <c r="BJ48" s="106"/>
      <c r="BK48" s="106"/>
      <c r="BL48" s="106"/>
      <c r="BM48" s="106"/>
      <c r="BN48" s="147"/>
      <c r="BO48" s="158"/>
      <c r="BP48" s="134"/>
      <c r="BQ48" s="134"/>
      <c r="BR48" s="134"/>
      <c r="BS48" s="71"/>
      <c r="BT48" s="71"/>
      <c r="BU48" s="71"/>
      <c r="BV48" s="71"/>
      <c r="BW48" s="71"/>
      <c r="BX48" s="71"/>
      <c r="BY48" s="71"/>
      <c r="BZ48" s="71"/>
    </row>
    <row r="49" spans="1:78" ht="14.25" customHeight="1" x14ac:dyDescent="0.25">
      <c r="A49" s="106"/>
      <c r="B49" s="134"/>
      <c r="C49" s="134"/>
      <c r="D49" s="132"/>
      <c r="E49" s="132"/>
      <c r="F49" s="132"/>
      <c r="G49" s="132"/>
      <c r="H49" s="132"/>
      <c r="I49" s="132"/>
      <c r="J49" s="132"/>
      <c r="K49" s="132"/>
      <c r="L49" s="132"/>
      <c r="M49" s="132"/>
      <c r="N49" s="132"/>
      <c r="O49" s="155"/>
      <c r="P49" s="157"/>
      <c r="Q49" s="132"/>
      <c r="R49" s="132"/>
      <c r="S49" s="132"/>
      <c r="T49" s="132"/>
      <c r="U49" s="155"/>
      <c r="V49" s="156"/>
      <c r="W49" s="132"/>
      <c r="X49" s="132"/>
      <c r="Y49" s="132"/>
      <c r="Z49" s="132"/>
      <c r="AA49" s="132"/>
      <c r="AB49" s="132"/>
      <c r="AC49" s="132"/>
      <c r="AD49" s="132"/>
      <c r="AE49" s="132"/>
      <c r="AF49" s="132"/>
      <c r="AG49" s="132"/>
      <c r="AH49" s="132"/>
      <c r="AI49" s="132"/>
      <c r="AJ49" s="132"/>
      <c r="AK49" s="132"/>
      <c r="AL49" s="132"/>
      <c r="AM49" s="132"/>
      <c r="AN49" s="135"/>
      <c r="AO49" s="135"/>
      <c r="AP49" s="159"/>
      <c r="AQ49" s="144"/>
      <c r="AR49" s="106"/>
      <c r="AS49" s="106"/>
      <c r="AT49" s="106"/>
      <c r="AU49" s="106"/>
      <c r="AV49" s="106"/>
      <c r="AW49" s="106"/>
      <c r="AX49" s="106"/>
      <c r="AY49" s="106"/>
      <c r="AZ49" s="106"/>
      <c r="BA49" s="106"/>
      <c r="BB49" s="147"/>
      <c r="BC49" s="144"/>
      <c r="BD49" s="106"/>
      <c r="BE49" s="106"/>
      <c r="BF49" s="106"/>
      <c r="BG49" s="106"/>
      <c r="BH49" s="106"/>
      <c r="BI49" s="106"/>
      <c r="BJ49" s="106"/>
      <c r="BK49" s="106"/>
      <c r="BL49" s="106"/>
      <c r="BM49" s="106"/>
      <c r="BN49" s="147"/>
      <c r="BO49" s="158"/>
      <c r="BP49" s="134"/>
      <c r="BQ49" s="134"/>
      <c r="BR49" s="134"/>
      <c r="BS49" s="71"/>
      <c r="BT49" s="71"/>
      <c r="BU49" s="71"/>
      <c r="BV49" s="71"/>
      <c r="BW49" s="71"/>
      <c r="BX49" s="71"/>
      <c r="BY49" s="71"/>
      <c r="BZ49" s="71"/>
    </row>
    <row r="50" spans="1:78" ht="14.25" customHeight="1" x14ac:dyDescent="0.25">
      <c r="A50" s="106"/>
      <c r="B50" s="134"/>
      <c r="C50" s="134"/>
      <c r="D50" s="132"/>
      <c r="E50" s="132"/>
      <c r="F50" s="132"/>
      <c r="G50" s="132"/>
      <c r="H50" s="132"/>
      <c r="I50" s="132"/>
      <c r="J50" s="132"/>
      <c r="K50" s="132"/>
      <c r="L50" s="132"/>
      <c r="M50" s="132"/>
      <c r="N50" s="132"/>
      <c r="O50" s="155"/>
      <c r="P50" s="157"/>
      <c r="Q50" s="132"/>
      <c r="R50" s="132"/>
      <c r="S50" s="132"/>
      <c r="T50" s="132"/>
      <c r="U50" s="155"/>
      <c r="V50" s="176" t="s">
        <v>87</v>
      </c>
      <c r="W50" s="135"/>
      <c r="X50" s="135"/>
      <c r="Y50" s="135" t="s">
        <v>115</v>
      </c>
      <c r="Z50" s="135"/>
      <c r="AA50" s="135"/>
      <c r="AB50" s="135" t="s">
        <v>116</v>
      </c>
      <c r="AC50" s="135"/>
      <c r="AD50" s="135"/>
      <c r="AE50" s="135" t="s">
        <v>117</v>
      </c>
      <c r="AF50" s="135"/>
      <c r="AG50" s="135"/>
      <c r="AH50" s="135" t="s">
        <v>118</v>
      </c>
      <c r="AI50" s="135"/>
      <c r="AJ50" s="135"/>
      <c r="AK50" s="135" t="s">
        <v>119</v>
      </c>
      <c r="AL50" s="135"/>
      <c r="AM50" s="135"/>
      <c r="AN50" s="135"/>
      <c r="AO50" s="135"/>
      <c r="AP50" s="159"/>
      <c r="AQ50" s="144">
        <v>1</v>
      </c>
      <c r="AR50" s="106"/>
      <c r="AS50" s="106"/>
      <c r="AT50" s="106">
        <v>2</v>
      </c>
      <c r="AU50" s="106"/>
      <c r="AV50" s="106"/>
      <c r="AW50" s="106">
        <v>3</v>
      </c>
      <c r="AX50" s="106"/>
      <c r="AY50" s="106"/>
      <c r="AZ50" s="106">
        <v>4</v>
      </c>
      <c r="BA50" s="106"/>
      <c r="BB50" s="147"/>
      <c r="BC50" s="144">
        <v>1</v>
      </c>
      <c r="BD50" s="106"/>
      <c r="BE50" s="106"/>
      <c r="BF50" s="106">
        <v>2</v>
      </c>
      <c r="BG50" s="106"/>
      <c r="BH50" s="106"/>
      <c r="BI50" s="106">
        <v>3</v>
      </c>
      <c r="BJ50" s="106"/>
      <c r="BK50" s="106"/>
      <c r="BL50" s="106">
        <v>4</v>
      </c>
      <c r="BM50" s="106"/>
      <c r="BN50" s="147"/>
      <c r="BO50" s="158"/>
      <c r="BP50" s="134"/>
      <c r="BQ50" s="134"/>
      <c r="BR50" s="134"/>
      <c r="BS50" s="71"/>
      <c r="BT50" s="71"/>
      <c r="BU50" s="71"/>
      <c r="BV50" s="71"/>
      <c r="BW50" s="71"/>
      <c r="BX50" s="71"/>
      <c r="BY50" s="71"/>
      <c r="BZ50" s="71"/>
    </row>
    <row r="51" spans="1:78" ht="14.25" customHeight="1" x14ac:dyDescent="0.25">
      <c r="A51" s="106"/>
      <c r="B51" s="134"/>
      <c r="C51" s="134"/>
      <c r="D51" s="132"/>
      <c r="E51" s="132"/>
      <c r="F51" s="132"/>
      <c r="G51" s="132"/>
      <c r="H51" s="132"/>
      <c r="I51" s="132"/>
      <c r="J51" s="132"/>
      <c r="K51" s="132"/>
      <c r="L51" s="132"/>
      <c r="M51" s="132"/>
      <c r="N51" s="132"/>
      <c r="O51" s="155"/>
      <c r="P51" s="157"/>
      <c r="Q51" s="132"/>
      <c r="R51" s="132"/>
      <c r="S51" s="132"/>
      <c r="T51" s="132"/>
      <c r="U51" s="155"/>
      <c r="V51" s="176"/>
      <c r="W51" s="135"/>
      <c r="X51" s="135"/>
      <c r="Y51" s="135"/>
      <c r="Z51" s="135"/>
      <c r="AA51" s="135"/>
      <c r="AB51" s="135"/>
      <c r="AC51" s="135"/>
      <c r="AD51" s="135"/>
      <c r="AE51" s="135"/>
      <c r="AF51" s="135"/>
      <c r="AG51" s="135"/>
      <c r="AH51" s="135"/>
      <c r="AI51" s="135"/>
      <c r="AJ51" s="135"/>
      <c r="AK51" s="135"/>
      <c r="AL51" s="135"/>
      <c r="AM51" s="135"/>
      <c r="AN51" s="135"/>
      <c r="AO51" s="135"/>
      <c r="AP51" s="159"/>
      <c r="AQ51" s="144"/>
      <c r="AR51" s="106"/>
      <c r="AS51" s="106"/>
      <c r="AT51" s="106"/>
      <c r="AU51" s="106"/>
      <c r="AV51" s="106"/>
      <c r="AW51" s="106"/>
      <c r="AX51" s="106"/>
      <c r="AY51" s="106"/>
      <c r="AZ51" s="106"/>
      <c r="BA51" s="106"/>
      <c r="BB51" s="147"/>
      <c r="BC51" s="144"/>
      <c r="BD51" s="106"/>
      <c r="BE51" s="106"/>
      <c r="BF51" s="106"/>
      <c r="BG51" s="106"/>
      <c r="BH51" s="106"/>
      <c r="BI51" s="106"/>
      <c r="BJ51" s="106"/>
      <c r="BK51" s="106"/>
      <c r="BL51" s="106"/>
      <c r="BM51" s="106"/>
      <c r="BN51" s="147"/>
      <c r="BO51" s="158"/>
      <c r="BP51" s="134"/>
      <c r="BQ51" s="134"/>
      <c r="BR51" s="134"/>
      <c r="BS51" s="71"/>
      <c r="BT51" s="71"/>
      <c r="BU51" s="71"/>
      <c r="BV51" s="71"/>
      <c r="BW51" s="71"/>
      <c r="BX51" s="71"/>
      <c r="BY51" s="71"/>
      <c r="BZ51" s="71"/>
    </row>
    <row r="52" spans="1:78" ht="14.25" customHeight="1" x14ac:dyDescent="0.25">
      <c r="A52" s="106"/>
      <c r="B52" s="134"/>
      <c r="C52" s="134"/>
      <c r="D52" s="132"/>
      <c r="E52" s="132"/>
      <c r="F52" s="132"/>
      <c r="G52" s="132"/>
      <c r="H52" s="132"/>
      <c r="I52" s="132"/>
      <c r="J52" s="132"/>
      <c r="K52" s="132"/>
      <c r="L52" s="132"/>
      <c r="M52" s="132"/>
      <c r="N52" s="132"/>
      <c r="O52" s="155"/>
      <c r="P52" s="157"/>
      <c r="Q52" s="132"/>
      <c r="R52" s="132"/>
      <c r="S52" s="132"/>
      <c r="T52" s="132"/>
      <c r="U52" s="155"/>
      <c r="V52" s="176"/>
      <c r="W52" s="135"/>
      <c r="X52" s="135"/>
      <c r="Y52" s="135"/>
      <c r="Z52" s="135"/>
      <c r="AA52" s="135"/>
      <c r="AB52" s="135"/>
      <c r="AC52" s="135"/>
      <c r="AD52" s="135"/>
      <c r="AE52" s="135"/>
      <c r="AF52" s="135"/>
      <c r="AG52" s="135"/>
      <c r="AH52" s="135"/>
      <c r="AI52" s="135"/>
      <c r="AJ52" s="135"/>
      <c r="AK52" s="135"/>
      <c r="AL52" s="135"/>
      <c r="AM52" s="135"/>
      <c r="AN52" s="135"/>
      <c r="AO52" s="135"/>
      <c r="AP52" s="159"/>
      <c r="AQ52" s="157" t="s">
        <v>121</v>
      </c>
      <c r="AR52" s="132"/>
      <c r="AS52" s="132"/>
      <c r="AT52" s="132"/>
      <c r="AU52" s="132"/>
      <c r="AV52" s="132"/>
      <c r="AW52" s="132"/>
      <c r="AX52" s="132"/>
      <c r="AY52" s="132"/>
      <c r="AZ52" s="132"/>
      <c r="BA52" s="132"/>
      <c r="BB52" s="155"/>
      <c r="BC52" s="157" t="s">
        <v>122</v>
      </c>
      <c r="BD52" s="132"/>
      <c r="BE52" s="132"/>
      <c r="BF52" s="132"/>
      <c r="BG52" s="132"/>
      <c r="BH52" s="132"/>
      <c r="BI52" s="132"/>
      <c r="BJ52" s="132"/>
      <c r="BK52" s="132"/>
      <c r="BL52" s="132"/>
      <c r="BM52" s="132"/>
      <c r="BN52" s="155"/>
      <c r="BO52" s="158"/>
      <c r="BP52" s="134"/>
      <c r="BQ52" s="134"/>
      <c r="BR52" s="134"/>
      <c r="BS52" s="71"/>
      <c r="BT52" s="71"/>
      <c r="BU52" s="71"/>
      <c r="BV52" s="71"/>
      <c r="BW52" s="71"/>
      <c r="BX52" s="71"/>
      <c r="BY52" s="71"/>
      <c r="BZ52" s="71"/>
    </row>
    <row r="53" spans="1:78" ht="14.25" customHeight="1" x14ac:dyDescent="0.25">
      <c r="A53" s="106"/>
      <c r="B53" s="134"/>
      <c r="C53" s="134"/>
      <c r="D53" s="132"/>
      <c r="E53" s="132"/>
      <c r="F53" s="132"/>
      <c r="G53" s="132"/>
      <c r="H53" s="132"/>
      <c r="I53" s="132"/>
      <c r="J53" s="132"/>
      <c r="K53" s="132"/>
      <c r="L53" s="132"/>
      <c r="M53" s="132"/>
      <c r="N53" s="132"/>
      <c r="O53" s="155"/>
      <c r="P53" s="157"/>
      <c r="Q53" s="132"/>
      <c r="R53" s="132"/>
      <c r="S53" s="132"/>
      <c r="T53" s="132"/>
      <c r="U53" s="155"/>
      <c r="V53" s="176"/>
      <c r="W53" s="135"/>
      <c r="X53" s="135"/>
      <c r="Y53" s="135"/>
      <c r="Z53" s="135"/>
      <c r="AA53" s="135"/>
      <c r="AB53" s="135"/>
      <c r="AC53" s="135"/>
      <c r="AD53" s="135"/>
      <c r="AE53" s="135"/>
      <c r="AF53" s="135"/>
      <c r="AG53" s="135"/>
      <c r="AH53" s="135"/>
      <c r="AI53" s="135"/>
      <c r="AJ53" s="135"/>
      <c r="AK53" s="135"/>
      <c r="AL53" s="135"/>
      <c r="AM53" s="135"/>
      <c r="AN53" s="135"/>
      <c r="AO53" s="135"/>
      <c r="AP53" s="159"/>
      <c r="AQ53" s="157"/>
      <c r="AR53" s="132"/>
      <c r="AS53" s="132"/>
      <c r="AT53" s="132"/>
      <c r="AU53" s="132"/>
      <c r="AV53" s="132"/>
      <c r="AW53" s="132"/>
      <c r="AX53" s="132"/>
      <c r="AY53" s="132"/>
      <c r="AZ53" s="132"/>
      <c r="BA53" s="132"/>
      <c r="BB53" s="155"/>
      <c r="BC53" s="157"/>
      <c r="BD53" s="132"/>
      <c r="BE53" s="132"/>
      <c r="BF53" s="132"/>
      <c r="BG53" s="132"/>
      <c r="BH53" s="132"/>
      <c r="BI53" s="132"/>
      <c r="BJ53" s="132"/>
      <c r="BK53" s="132"/>
      <c r="BL53" s="132"/>
      <c r="BM53" s="132"/>
      <c r="BN53" s="155"/>
      <c r="BO53" s="158"/>
      <c r="BP53" s="134"/>
      <c r="BQ53" s="134"/>
      <c r="BR53" s="134"/>
      <c r="BS53" s="71"/>
      <c r="BT53" s="71"/>
      <c r="BU53" s="71"/>
      <c r="BV53" s="71"/>
      <c r="BW53" s="71"/>
      <c r="BX53" s="71"/>
      <c r="BY53" s="71"/>
      <c r="BZ53" s="71"/>
    </row>
    <row r="54" spans="1:78" ht="14.25" customHeight="1" x14ac:dyDescent="0.25">
      <c r="A54" s="106"/>
      <c r="B54" s="134"/>
      <c r="C54" s="134"/>
      <c r="D54" s="132"/>
      <c r="E54" s="132"/>
      <c r="F54" s="132"/>
      <c r="G54" s="132"/>
      <c r="H54" s="132"/>
      <c r="I54" s="132"/>
      <c r="J54" s="132"/>
      <c r="K54" s="132"/>
      <c r="L54" s="132"/>
      <c r="M54" s="132"/>
      <c r="N54" s="132"/>
      <c r="O54" s="155"/>
      <c r="P54" s="157"/>
      <c r="Q54" s="132"/>
      <c r="R54" s="132"/>
      <c r="S54" s="132"/>
      <c r="T54" s="132"/>
      <c r="U54" s="155"/>
      <c r="V54" s="176"/>
      <c r="W54" s="135"/>
      <c r="X54" s="135"/>
      <c r="Y54" s="135"/>
      <c r="Z54" s="135"/>
      <c r="AA54" s="135"/>
      <c r="AB54" s="135"/>
      <c r="AC54" s="135"/>
      <c r="AD54" s="135"/>
      <c r="AE54" s="135"/>
      <c r="AF54" s="135"/>
      <c r="AG54" s="135"/>
      <c r="AH54" s="135"/>
      <c r="AI54" s="135"/>
      <c r="AJ54" s="135"/>
      <c r="AK54" s="135"/>
      <c r="AL54" s="135"/>
      <c r="AM54" s="135"/>
      <c r="AN54" s="135"/>
      <c r="AO54" s="135"/>
      <c r="AP54" s="159"/>
      <c r="AQ54" s="144">
        <v>15</v>
      </c>
      <c r="AR54" s="106"/>
      <c r="AS54" s="106"/>
      <c r="AT54" s="106">
        <v>15</v>
      </c>
      <c r="AU54" s="106"/>
      <c r="AV54" s="106"/>
      <c r="AW54" s="106">
        <v>15</v>
      </c>
      <c r="AX54" s="106"/>
      <c r="AY54" s="106"/>
      <c r="AZ54" s="106">
        <v>15</v>
      </c>
      <c r="BA54" s="106"/>
      <c r="BB54" s="147"/>
      <c r="BC54" s="144">
        <v>15</v>
      </c>
      <c r="BD54" s="106"/>
      <c r="BE54" s="106"/>
      <c r="BF54" s="106">
        <v>15</v>
      </c>
      <c r="BG54" s="106"/>
      <c r="BH54" s="106"/>
      <c r="BI54" s="106">
        <v>15</v>
      </c>
      <c r="BJ54" s="106"/>
      <c r="BK54" s="106"/>
      <c r="BL54" s="106">
        <v>15</v>
      </c>
      <c r="BM54" s="106"/>
      <c r="BN54" s="147"/>
      <c r="BO54" s="158"/>
      <c r="BP54" s="134"/>
      <c r="BQ54" s="134"/>
      <c r="BR54" s="134"/>
      <c r="BS54" s="71"/>
      <c r="BT54" s="71"/>
      <c r="BU54" s="71"/>
      <c r="BV54" s="71"/>
      <c r="BW54" s="71"/>
      <c r="BX54" s="71"/>
      <c r="BY54" s="71"/>
      <c r="BZ54" s="71"/>
    </row>
    <row r="55" spans="1:78" ht="14.25" customHeight="1" x14ac:dyDescent="0.25">
      <c r="A55" s="106"/>
      <c r="B55" s="134"/>
      <c r="C55" s="134"/>
      <c r="D55" s="132"/>
      <c r="E55" s="132"/>
      <c r="F55" s="132"/>
      <c r="G55" s="132"/>
      <c r="H55" s="132"/>
      <c r="I55" s="132"/>
      <c r="J55" s="132"/>
      <c r="K55" s="132"/>
      <c r="L55" s="132"/>
      <c r="M55" s="132"/>
      <c r="N55" s="132"/>
      <c r="O55" s="155"/>
      <c r="P55" s="144" t="s">
        <v>110</v>
      </c>
      <c r="Q55" s="106"/>
      <c r="R55" s="106"/>
      <c r="S55" s="106" t="s">
        <v>5</v>
      </c>
      <c r="T55" s="106"/>
      <c r="U55" s="147"/>
      <c r="V55" s="176"/>
      <c r="W55" s="135"/>
      <c r="X55" s="135"/>
      <c r="Y55" s="135"/>
      <c r="Z55" s="135"/>
      <c r="AA55" s="135"/>
      <c r="AB55" s="135"/>
      <c r="AC55" s="135"/>
      <c r="AD55" s="135"/>
      <c r="AE55" s="135"/>
      <c r="AF55" s="135"/>
      <c r="AG55" s="135"/>
      <c r="AH55" s="135"/>
      <c r="AI55" s="135"/>
      <c r="AJ55" s="135"/>
      <c r="AK55" s="135"/>
      <c r="AL55" s="135"/>
      <c r="AM55" s="135"/>
      <c r="AN55" s="135"/>
      <c r="AO55" s="135"/>
      <c r="AP55" s="159"/>
      <c r="AQ55" s="144"/>
      <c r="AR55" s="106"/>
      <c r="AS55" s="106"/>
      <c r="AT55" s="106"/>
      <c r="AU55" s="106"/>
      <c r="AV55" s="106"/>
      <c r="AW55" s="106"/>
      <c r="AX55" s="106"/>
      <c r="AY55" s="106"/>
      <c r="AZ55" s="106"/>
      <c r="BA55" s="106"/>
      <c r="BB55" s="147"/>
      <c r="BC55" s="144"/>
      <c r="BD55" s="106"/>
      <c r="BE55" s="106"/>
      <c r="BF55" s="106"/>
      <c r="BG55" s="106"/>
      <c r="BH55" s="106"/>
      <c r="BI55" s="106"/>
      <c r="BJ55" s="106"/>
      <c r="BK55" s="106"/>
      <c r="BL55" s="106"/>
      <c r="BM55" s="106"/>
      <c r="BN55" s="147"/>
      <c r="BO55" s="158"/>
      <c r="BP55" s="134"/>
      <c r="BQ55" s="134"/>
      <c r="BR55" s="134"/>
      <c r="BS55" s="71"/>
      <c r="BT55" s="71"/>
      <c r="BU55" s="71"/>
      <c r="BV55" s="71"/>
      <c r="BW55" s="71"/>
      <c r="BX55" s="71"/>
      <c r="BY55" s="71"/>
      <c r="BZ55" s="71"/>
    </row>
    <row r="56" spans="1:78" ht="14.25" customHeight="1" x14ac:dyDescent="0.25">
      <c r="A56" s="72">
        <v>1</v>
      </c>
      <c r="B56" s="130"/>
      <c r="C56" s="130"/>
      <c r="D56" s="106">
        <v>2</v>
      </c>
      <c r="E56" s="106"/>
      <c r="F56" s="106"/>
      <c r="G56" s="106"/>
      <c r="H56" s="106"/>
      <c r="I56" s="106"/>
      <c r="J56" s="106"/>
      <c r="K56" s="106"/>
      <c r="L56" s="106"/>
      <c r="M56" s="106"/>
      <c r="N56" s="106"/>
      <c r="O56" s="147"/>
      <c r="P56" s="144">
        <v>3</v>
      </c>
      <c r="Q56" s="106"/>
      <c r="R56" s="106"/>
      <c r="S56" s="106">
        <v>4</v>
      </c>
      <c r="T56" s="106"/>
      <c r="U56" s="147"/>
      <c r="V56" s="152">
        <v>5</v>
      </c>
      <c r="W56" s="106"/>
      <c r="X56" s="106"/>
      <c r="Y56" s="106">
        <v>6</v>
      </c>
      <c r="Z56" s="106"/>
      <c r="AA56" s="106"/>
      <c r="AB56" s="106">
        <v>7</v>
      </c>
      <c r="AC56" s="106"/>
      <c r="AD56" s="106"/>
      <c r="AE56" s="106">
        <v>8</v>
      </c>
      <c r="AF56" s="106"/>
      <c r="AG56" s="106"/>
      <c r="AH56" s="106">
        <v>9</v>
      </c>
      <c r="AI56" s="106"/>
      <c r="AJ56" s="106"/>
      <c r="AK56" s="106">
        <v>10</v>
      </c>
      <c r="AL56" s="106"/>
      <c r="AM56" s="106"/>
      <c r="AN56" s="106">
        <v>11</v>
      </c>
      <c r="AO56" s="106"/>
      <c r="AP56" s="147"/>
      <c r="AQ56" s="144">
        <v>12</v>
      </c>
      <c r="AR56" s="106"/>
      <c r="AS56" s="106"/>
      <c r="AT56" s="106">
        <v>13</v>
      </c>
      <c r="AU56" s="106"/>
      <c r="AV56" s="106"/>
      <c r="AW56" s="106">
        <v>14</v>
      </c>
      <c r="AX56" s="106"/>
      <c r="AY56" s="106"/>
      <c r="AZ56" s="106">
        <v>15</v>
      </c>
      <c r="BA56" s="106"/>
      <c r="BB56" s="147"/>
      <c r="BC56" s="144">
        <v>16</v>
      </c>
      <c r="BD56" s="106"/>
      <c r="BE56" s="106"/>
      <c r="BF56" s="106">
        <v>17</v>
      </c>
      <c r="BG56" s="106"/>
      <c r="BH56" s="106"/>
      <c r="BI56" s="106">
        <v>18</v>
      </c>
      <c r="BJ56" s="106"/>
      <c r="BK56" s="106"/>
      <c r="BL56" s="106">
        <v>19</v>
      </c>
      <c r="BM56" s="106"/>
      <c r="BN56" s="147"/>
      <c r="BO56" s="152">
        <v>20</v>
      </c>
      <c r="BP56" s="106"/>
      <c r="BQ56" s="106"/>
      <c r="BR56" s="106"/>
      <c r="BS56" s="71"/>
      <c r="BT56" s="71"/>
      <c r="BU56" s="71"/>
      <c r="BV56" s="71"/>
      <c r="BW56" s="71"/>
      <c r="BX56" s="71"/>
      <c r="BY56" s="71"/>
      <c r="BZ56" s="71"/>
    </row>
    <row r="57" spans="1:78" ht="14.25" customHeight="1" x14ac:dyDescent="0.25">
      <c r="A57" s="72" t="s">
        <v>6</v>
      </c>
      <c r="B57" s="243"/>
      <c r="C57" s="243"/>
      <c r="D57" s="182" t="s">
        <v>111</v>
      </c>
      <c r="E57" s="182"/>
      <c r="F57" s="182"/>
      <c r="G57" s="182"/>
      <c r="H57" s="182"/>
      <c r="I57" s="182"/>
      <c r="J57" s="182"/>
      <c r="K57" s="182"/>
      <c r="L57" s="182"/>
      <c r="M57" s="182"/>
      <c r="N57" s="182"/>
      <c r="O57" s="183"/>
      <c r="P57" s="144">
        <f>SUM(V57+AN57)</f>
        <v>1470</v>
      </c>
      <c r="Q57" s="106"/>
      <c r="R57" s="106"/>
      <c r="S57" s="131">
        <f>P57/3600*100</f>
        <v>40.833333333333336</v>
      </c>
      <c r="T57" s="131"/>
      <c r="U57" s="151"/>
      <c r="V57" s="152">
        <f t="shared" ref="V57" si="5">SUM(AQ57+AT57+AW57+AZ57)*15</f>
        <v>570</v>
      </c>
      <c r="W57" s="106"/>
      <c r="X57" s="106"/>
      <c r="Y57" s="106">
        <f>SUM(Y58:AA68)</f>
        <v>110</v>
      </c>
      <c r="Z57" s="106"/>
      <c r="AA57" s="106"/>
      <c r="AB57" s="106">
        <f>SUM(AB58:AD68)</f>
        <v>226</v>
      </c>
      <c r="AC57" s="106"/>
      <c r="AD57" s="106"/>
      <c r="AE57" s="106">
        <f>SUM(AE58:AG68)</f>
        <v>180</v>
      </c>
      <c r="AF57" s="106"/>
      <c r="AG57" s="106"/>
      <c r="AH57" s="106">
        <f>SUM(AH58:AJ68)</f>
        <v>54</v>
      </c>
      <c r="AI57" s="106"/>
      <c r="AJ57" s="106"/>
      <c r="AK57" s="106">
        <f>SUM(AK58:AM68)</f>
        <v>0</v>
      </c>
      <c r="AL57" s="106"/>
      <c r="AM57" s="106"/>
      <c r="AN57" s="106">
        <f>SUM(AN58:AP68)</f>
        <v>900</v>
      </c>
      <c r="AO57" s="106"/>
      <c r="AP57" s="147"/>
      <c r="AQ57" s="144">
        <f>SUM(AQ58:AS68)</f>
        <v>16</v>
      </c>
      <c r="AR57" s="106"/>
      <c r="AS57" s="106"/>
      <c r="AT57" s="106">
        <f>SUM(AT58:AV68)</f>
        <v>6</v>
      </c>
      <c r="AU57" s="106"/>
      <c r="AV57" s="106"/>
      <c r="AW57" s="106">
        <f>SUM(AW58:AY68)</f>
        <v>10</v>
      </c>
      <c r="AX57" s="106"/>
      <c r="AY57" s="106"/>
      <c r="AZ57" s="106">
        <f>SUM(AZ58:BB68)</f>
        <v>6</v>
      </c>
      <c r="BA57" s="106"/>
      <c r="BB57" s="147"/>
      <c r="BC57" s="144">
        <f>SUM(BC58:BE68)</f>
        <v>22</v>
      </c>
      <c r="BD57" s="106"/>
      <c r="BE57" s="106"/>
      <c r="BF57" s="106">
        <f>SUM(BF58:BH68)</f>
        <v>7</v>
      </c>
      <c r="BG57" s="106"/>
      <c r="BH57" s="106"/>
      <c r="BI57" s="106">
        <f>SUM(BI58:BK68)</f>
        <v>12</v>
      </c>
      <c r="BJ57" s="106"/>
      <c r="BK57" s="106"/>
      <c r="BL57" s="106">
        <f>SUM(BL58:BN68)</f>
        <v>8</v>
      </c>
      <c r="BM57" s="106"/>
      <c r="BN57" s="147"/>
      <c r="BO57" s="148">
        <f>SUM(P57/30)</f>
        <v>49</v>
      </c>
      <c r="BP57" s="105"/>
      <c r="BQ57" s="105"/>
      <c r="BR57" s="105"/>
      <c r="BS57" s="71"/>
      <c r="BT57" s="71"/>
      <c r="BU57" s="71"/>
      <c r="BV57" s="71"/>
      <c r="BW57" s="71"/>
      <c r="BX57" s="71"/>
      <c r="BY57" s="71"/>
      <c r="BZ57" s="71"/>
    </row>
    <row r="58" spans="1:78" ht="14.25" customHeight="1" x14ac:dyDescent="0.25">
      <c r="A58" s="14" t="s">
        <v>7</v>
      </c>
      <c r="B58" s="104" t="s">
        <v>31</v>
      </c>
      <c r="C58" s="104"/>
      <c r="D58" s="149" t="s">
        <v>142</v>
      </c>
      <c r="E58" s="149"/>
      <c r="F58" s="149"/>
      <c r="G58" s="149"/>
      <c r="H58" s="149"/>
      <c r="I58" s="149"/>
      <c r="J58" s="149"/>
      <c r="K58" s="149"/>
      <c r="L58" s="149"/>
      <c r="M58" s="149"/>
      <c r="N58" s="149"/>
      <c r="O58" s="150"/>
      <c r="P58" s="144">
        <f t="shared" ref="P58:P59" si="6">SUM(V58+AN58)</f>
        <v>90</v>
      </c>
      <c r="Q58" s="106"/>
      <c r="R58" s="106"/>
      <c r="S58" s="131"/>
      <c r="T58" s="131"/>
      <c r="U58" s="151"/>
      <c r="V58" s="152">
        <f t="shared" ref="V58:V59" si="7">SUM(AQ58+AT58+AW58+AZ58)*15</f>
        <v>30</v>
      </c>
      <c r="W58" s="106"/>
      <c r="X58" s="106"/>
      <c r="Y58" s="104">
        <v>16</v>
      </c>
      <c r="Z58" s="104"/>
      <c r="AA58" s="104"/>
      <c r="AB58" s="104">
        <v>14</v>
      </c>
      <c r="AC58" s="104"/>
      <c r="AD58" s="104"/>
      <c r="AE58" s="104"/>
      <c r="AF58" s="104"/>
      <c r="AG58" s="104"/>
      <c r="AH58" s="104"/>
      <c r="AI58" s="104"/>
      <c r="AJ58" s="104"/>
      <c r="AK58" s="104"/>
      <c r="AL58" s="104"/>
      <c r="AM58" s="104"/>
      <c r="AN58" s="104">
        <v>60</v>
      </c>
      <c r="AO58" s="104"/>
      <c r="AP58" s="145"/>
      <c r="AQ58" s="146">
        <v>2</v>
      </c>
      <c r="AR58" s="104"/>
      <c r="AS58" s="104"/>
      <c r="AT58" s="104"/>
      <c r="AU58" s="104"/>
      <c r="AV58" s="104"/>
      <c r="AW58" s="104"/>
      <c r="AX58" s="104"/>
      <c r="AY58" s="104"/>
      <c r="AZ58" s="104"/>
      <c r="BA58" s="104"/>
      <c r="BB58" s="145"/>
      <c r="BC58" s="146">
        <v>3</v>
      </c>
      <c r="BD58" s="104"/>
      <c r="BE58" s="104"/>
      <c r="BF58" s="104"/>
      <c r="BG58" s="104"/>
      <c r="BH58" s="104"/>
      <c r="BI58" s="104"/>
      <c r="BJ58" s="104"/>
      <c r="BK58" s="104"/>
      <c r="BL58" s="104"/>
      <c r="BM58" s="104"/>
      <c r="BN58" s="145"/>
      <c r="BO58" s="148">
        <f t="shared" ref="BO58:BO59" si="8">SUM(P58/30)</f>
        <v>3</v>
      </c>
      <c r="BP58" s="105"/>
      <c r="BQ58" s="105"/>
      <c r="BR58" s="105"/>
      <c r="BS58" s="71">
        <f>SUM(V58/P58)*100</f>
        <v>33.333333333333329</v>
      </c>
      <c r="BT58" s="71">
        <f>SUM(AN58/P58)*100</f>
        <v>66.666666666666657</v>
      </c>
      <c r="BU58" s="71">
        <f>SUM(Y58:AJ58)</f>
        <v>30</v>
      </c>
      <c r="BV58" s="15">
        <f>IF(BU58=V58,1,0)</f>
        <v>1</v>
      </c>
      <c r="BW58" s="15" t="str">
        <f>IF(BV58=1,"тўғри","хато")</f>
        <v>тўғри</v>
      </c>
      <c r="BX58" s="71">
        <f>SUM(BC58:BN58)</f>
        <v>3</v>
      </c>
      <c r="BY58" s="15">
        <f>IF(BX58=BO58,1,0)</f>
        <v>1</v>
      </c>
      <c r="BZ58" s="15" t="str">
        <f>IF(BY58=1,"тўғри","хато")</f>
        <v>тўғри</v>
      </c>
    </row>
    <row r="59" spans="1:78" ht="14.25" customHeight="1" x14ac:dyDescent="0.25">
      <c r="A59" s="14" t="s">
        <v>8</v>
      </c>
      <c r="B59" s="104" t="s">
        <v>213</v>
      </c>
      <c r="C59" s="104"/>
      <c r="D59" s="149" t="s">
        <v>143</v>
      </c>
      <c r="E59" s="149"/>
      <c r="F59" s="149"/>
      <c r="G59" s="149"/>
      <c r="H59" s="149"/>
      <c r="I59" s="149"/>
      <c r="J59" s="149"/>
      <c r="K59" s="149"/>
      <c r="L59" s="149"/>
      <c r="M59" s="149"/>
      <c r="N59" s="149"/>
      <c r="O59" s="150"/>
      <c r="P59" s="144">
        <f t="shared" si="6"/>
        <v>90</v>
      </c>
      <c r="Q59" s="106"/>
      <c r="R59" s="106"/>
      <c r="S59" s="131"/>
      <c r="T59" s="131"/>
      <c r="U59" s="151"/>
      <c r="V59" s="152">
        <f t="shared" si="7"/>
        <v>30</v>
      </c>
      <c r="W59" s="106"/>
      <c r="X59" s="106"/>
      <c r="Y59" s="104">
        <v>16</v>
      </c>
      <c r="Z59" s="104"/>
      <c r="AA59" s="104"/>
      <c r="AB59" s="104">
        <v>14</v>
      </c>
      <c r="AC59" s="104"/>
      <c r="AD59" s="104"/>
      <c r="AE59" s="104"/>
      <c r="AF59" s="104"/>
      <c r="AG59" s="104"/>
      <c r="AH59" s="104"/>
      <c r="AI59" s="104"/>
      <c r="AJ59" s="104"/>
      <c r="AK59" s="104"/>
      <c r="AL59" s="104"/>
      <c r="AM59" s="104"/>
      <c r="AN59" s="104">
        <v>60</v>
      </c>
      <c r="AO59" s="104"/>
      <c r="AP59" s="145"/>
      <c r="AQ59" s="146"/>
      <c r="AR59" s="104"/>
      <c r="AS59" s="104"/>
      <c r="AT59" s="104"/>
      <c r="AU59" s="104"/>
      <c r="AV59" s="104"/>
      <c r="AW59" s="104">
        <v>2</v>
      </c>
      <c r="AX59" s="104"/>
      <c r="AY59" s="104"/>
      <c r="AZ59" s="104"/>
      <c r="BA59" s="104"/>
      <c r="BB59" s="145"/>
      <c r="BC59" s="146"/>
      <c r="BD59" s="104"/>
      <c r="BE59" s="104"/>
      <c r="BF59" s="104"/>
      <c r="BG59" s="104"/>
      <c r="BH59" s="104"/>
      <c r="BI59" s="104">
        <v>3</v>
      </c>
      <c r="BJ59" s="104"/>
      <c r="BK59" s="104"/>
      <c r="BL59" s="104"/>
      <c r="BM59" s="104"/>
      <c r="BN59" s="145"/>
      <c r="BO59" s="148">
        <f t="shared" si="8"/>
        <v>3</v>
      </c>
      <c r="BP59" s="105"/>
      <c r="BQ59" s="105"/>
      <c r="BR59" s="105"/>
      <c r="BS59" s="71">
        <f t="shared" ref="BS59" si="9">SUM(V59/P59)*100</f>
        <v>33.333333333333329</v>
      </c>
      <c r="BT59" s="71">
        <f t="shared" ref="BT59" si="10">SUM(AN59/P59)*100</f>
        <v>66.666666666666657</v>
      </c>
      <c r="BU59" s="71">
        <f t="shared" ref="BU59" si="11">SUM(Y59:AJ59)</f>
        <v>30</v>
      </c>
      <c r="BV59" s="15">
        <f t="shared" ref="BV59" si="12">IF(BU59=V59,1,0)</f>
        <v>1</v>
      </c>
      <c r="BW59" s="15" t="str">
        <f t="shared" ref="BW59" si="13">IF(BV59=1,"тўғри","хато")</f>
        <v>тўғри</v>
      </c>
      <c r="BX59" s="71">
        <f t="shared" ref="BX59" si="14">SUM(BC59:BN59)</f>
        <v>3</v>
      </c>
      <c r="BY59" s="15">
        <f t="shared" ref="BY59" si="15">IF(BX59=BO59,1,0)</f>
        <v>1</v>
      </c>
      <c r="BZ59" s="15" t="str">
        <f t="shared" ref="BZ59" si="16">IF(BY59=1,"тўғри","хато")</f>
        <v>тўғри</v>
      </c>
    </row>
    <row r="60" spans="1:78" ht="14.25" customHeight="1" x14ac:dyDescent="0.25">
      <c r="A60" s="14" t="s">
        <v>23</v>
      </c>
      <c r="B60" s="104" t="s">
        <v>191</v>
      </c>
      <c r="C60" s="104"/>
      <c r="D60" s="247" t="s">
        <v>192</v>
      </c>
      <c r="E60" s="248"/>
      <c r="F60" s="248"/>
      <c r="G60" s="248"/>
      <c r="H60" s="248"/>
      <c r="I60" s="248"/>
      <c r="J60" s="248"/>
      <c r="K60" s="248"/>
      <c r="L60" s="248"/>
      <c r="M60" s="248"/>
      <c r="N60" s="248"/>
      <c r="O60" s="249"/>
      <c r="P60" s="144">
        <f t="shared" ref="P60:P66" si="17">SUM(V60+AN60)</f>
        <v>270</v>
      </c>
      <c r="Q60" s="106"/>
      <c r="R60" s="106"/>
      <c r="S60" s="106"/>
      <c r="T60" s="106"/>
      <c r="U60" s="147"/>
      <c r="V60" s="152">
        <f t="shared" ref="V60:V68" si="18">SUM(AQ60+AT60+AW60+AZ60)*15</f>
        <v>120</v>
      </c>
      <c r="W60" s="106"/>
      <c r="X60" s="106"/>
      <c r="Y60" s="104"/>
      <c r="Z60" s="104"/>
      <c r="AA60" s="104"/>
      <c r="AB60" s="104"/>
      <c r="AC60" s="104"/>
      <c r="AD60" s="104"/>
      <c r="AE60" s="104">
        <v>120</v>
      </c>
      <c r="AF60" s="104"/>
      <c r="AG60" s="104"/>
      <c r="AH60" s="104"/>
      <c r="AI60" s="104"/>
      <c r="AJ60" s="104"/>
      <c r="AK60" s="104"/>
      <c r="AL60" s="104"/>
      <c r="AM60" s="104"/>
      <c r="AN60" s="104">
        <v>150</v>
      </c>
      <c r="AO60" s="104"/>
      <c r="AP60" s="145"/>
      <c r="AQ60" s="146">
        <v>2</v>
      </c>
      <c r="AR60" s="104"/>
      <c r="AS60" s="104"/>
      <c r="AT60" s="104">
        <v>2</v>
      </c>
      <c r="AU60" s="104"/>
      <c r="AV60" s="104"/>
      <c r="AW60" s="104">
        <v>2</v>
      </c>
      <c r="AX60" s="104"/>
      <c r="AY60" s="104"/>
      <c r="AZ60" s="104">
        <v>2</v>
      </c>
      <c r="BA60" s="104"/>
      <c r="BB60" s="145"/>
      <c r="BC60" s="146">
        <v>2</v>
      </c>
      <c r="BD60" s="104"/>
      <c r="BE60" s="104"/>
      <c r="BF60" s="104">
        <v>2</v>
      </c>
      <c r="BG60" s="104"/>
      <c r="BH60" s="104"/>
      <c r="BI60" s="104">
        <v>3</v>
      </c>
      <c r="BJ60" s="104"/>
      <c r="BK60" s="104"/>
      <c r="BL60" s="104">
        <v>2</v>
      </c>
      <c r="BM60" s="104"/>
      <c r="BN60" s="145"/>
      <c r="BO60" s="148">
        <f t="shared" ref="BO60:BO68" si="19">SUM(P60/30)</f>
        <v>9</v>
      </c>
      <c r="BP60" s="105"/>
      <c r="BQ60" s="105"/>
      <c r="BR60" s="105"/>
      <c r="BS60" s="71">
        <f t="shared" ref="BS60:BS68" si="20">SUM(V60/P60)*100</f>
        <v>44.444444444444443</v>
      </c>
      <c r="BT60" s="71">
        <f t="shared" ref="BT60:BT68" si="21">SUM(AN60/P60)*100</f>
        <v>55.555555555555557</v>
      </c>
      <c r="BU60" s="71">
        <f t="shared" ref="BU60:BU68" si="22">SUM(Y60:AJ60)</f>
        <v>120</v>
      </c>
      <c r="BV60" s="15">
        <f t="shared" ref="BV60:BV68" si="23">IF(BU60=V60,1,0)</f>
        <v>1</v>
      </c>
      <c r="BW60" s="15" t="str">
        <f t="shared" ref="BW60:BW68" si="24">IF(BV60=1,"тўғри","хато")</f>
        <v>тўғри</v>
      </c>
      <c r="BX60" s="71">
        <f t="shared" ref="BX60:BX68" si="25">SUM(BC60:BN60)</f>
        <v>9</v>
      </c>
      <c r="BY60" s="15">
        <f t="shared" ref="BY60:BY68" si="26">IF(BX60=BO60,1,0)</f>
        <v>1</v>
      </c>
      <c r="BZ60" s="15" t="str">
        <f t="shared" ref="BZ60:BZ68" si="27">IF(BY60=1,"тўғри","хато")</f>
        <v>тўғри</v>
      </c>
    </row>
    <row r="61" spans="1:78" ht="14.25" customHeight="1" x14ac:dyDescent="0.25">
      <c r="A61" s="14" t="s">
        <v>24</v>
      </c>
      <c r="B61" s="104" t="s">
        <v>193</v>
      </c>
      <c r="C61" s="104"/>
      <c r="D61" s="247" t="s">
        <v>194</v>
      </c>
      <c r="E61" s="248"/>
      <c r="F61" s="248"/>
      <c r="G61" s="248"/>
      <c r="H61" s="248"/>
      <c r="I61" s="248"/>
      <c r="J61" s="248"/>
      <c r="K61" s="248"/>
      <c r="L61" s="248"/>
      <c r="M61" s="248"/>
      <c r="N61" s="248"/>
      <c r="O61" s="249"/>
      <c r="P61" s="144">
        <f t="shared" si="17"/>
        <v>90</v>
      </c>
      <c r="Q61" s="106"/>
      <c r="R61" s="106"/>
      <c r="S61" s="106"/>
      <c r="T61" s="106"/>
      <c r="U61" s="147"/>
      <c r="V61" s="152">
        <f t="shared" si="18"/>
        <v>30</v>
      </c>
      <c r="W61" s="106"/>
      <c r="X61" s="106"/>
      <c r="Y61" s="104"/>
      <c r="Z61" s="104"/>
      <c r="AA61" s="104"/>
      <c r="AB61" s="104"/>
      <c r="AC61" s="104"/>
      <c r="AD61" s="104"/>
      <c r="AE61" s="104">
        <v>30</v>
      </c>
      <c r="AF61" s="104"/>
      <c r="AG61" s="104"/>
      <c r="AH61" s="104"/>
      <c r="AI61" s="104"/>
      <c r="AJ61" s="104"/>
      <c r="AK61" s="104"/>
      <c r="AL61" s="104"/>
      <c r="AM61" s="104"/>
      <c r="AN61" s="104">
        <v>60</v>
      </c>
      <c r="AO61" s="104"/>
      <c r="AP61" s="145"/>
      <c r="AQ61" s="146">
        <v>1</v>
      </c>
      <c r="AR61" s="104"/>
      <c r="AS61" s="104"/>
      <c r="AT61" s="104">
        <v>1</v>
      </c>
      <c r="AU61" s="104"/>
      <c r="AV61" s="104"/>
      <c r="AW61" s="104"/>
      <c r="AX61" s="104"/>
      <c r="AY61" s="104"/>
      <c r="AZ61" s="104"/>
      <c r="BA61" s="104"/>
      <c r="BB61" s="145"/>
      <c r="BC61" s="146">
        <v>1</v>
      </c>
      <c r="BD61" s="104"/>
      <c r="BE61" s="104"/>
      <c r="BF61" s="104">
        <v>2</v>
      </c>
      <c r="BG61" s="104"/>
      <c r="BH61" s="104"/>
      <c r="BI61" s="104"/>
      <c r="BJ61" s="104"/>
      <c r="BK61" s="104"/>
      <c r="BL61" s="104"/>
      <c r="BM61" s="104"/>
      <c r="BN61" s="145"/>
      <c r="BO61" s="148">
        <f t="shared" si="19"/>
        <v>3</v>
      </c>
      <c r="BP61" s="105"/>
      <c r="BQ61" s="105"/>
      <c r="BR61" s="105"/>
      <c r="BS61" s="71">
        <f t="shared" si="20"/>
        <v>33.333333333333329</v>
      </c>
      <c r="BT61" s="71">
        <f t="shared" si="21"/>
        <v>66.666666666666657</v>
      </c>
      <c r="BU61" s="71">
        <f t="shared" si="22"/>
        <v>30</v>
      </c>
      <c r="BV61" s="15">
        <f t="shared" si="23"/>
        <v>1</v>
      </c>
      <c r="BW61" s="15" t="str">
        <f t="shared" si="24"/>
        <v>тўғри</v>
      </c>
      <c r="BX61" s="71">
        <f t="shared" si="25"/>
        <v>3</v>
      </c>
      <c r="BY61" s="15">
        <f t="shared" si="26"/>
        <v>1</v>
      </c>
      <c r="BZ61" s="15" t="str">
        <f t="shared" si="27"/>
        <v>тўғри</v>
      </c>
    </row>
    <row r="62" spans="1:78" ht="14.25" customHeight="1" x14ac:dyDescent="0.25">
      <c r="A62" s="14" t="s">
        <v>25</v>
      </c>
      <c r="B62" s="104" t="s">
        <v>195</v>
      </c>
      <c r="C62" s="104"/>
      <c r="D62" s="247" t="s">
        <v>196</v>
      </c>
      <c r="E62" s="248"/>
      <c r="F62" s="248"/>
      <c r="G62" s="248"/>
      <c r="H62" s="248"/>
      <c r="I62" s="248"/>
      <c r="J62" s="248"/>
      <c r="K62" s="248"/>
      <c r="L62" s="248"/>
      <c r="M62" s="248"/>
      <c r="N62" s="248"/>
      <c r="O62" s="249"/>
      <c r="P62" s="144">
        <f t="shared" si="17"/>
        <v>90</v>
      </c>
      <c r="Q62" s="106"/>
      <c r="R62" s="106"/>
      <c r="S62" s="106"/>
      <c r="T62" s="106"/>
      <c r="U62" s="147"/>
      <c r="V62" s="152">
        <f t="shared" si="18"/>
        <v>30</v>
      </c>
      <c r="W62" s="106"/>
      <c r="X62" s="106"/>
      <c r="Y62" s="104"/>
      <c r="Z62" s="104"/>
      <c r="AA62" s="104"/>
      <c r="AB62" s="104"/>
      <c r="AC62" s="104"/>
      <c r="AD62" s="104"/>
      <c r="AE62" s="104">
        <v>30</v>
      </c>
      <c r="AF62" s="104"/>
      <c r="AG62" s="104"/>
      <c r="AH62" s="104"/>
      <c r="AI62" s="104"/>
      <c r="AJ62" s="104"/>
      <c r="AK62" s="104"/>
      <c r="AL62" s="104"/>
      <c r="AM62" s="104"/>
      <c r="AN62" s="104">
        <v>60</v>
      </c>
      <c r="AO62" s="104"/>
      <c r="AP62" s="145"/>
      <c r="AQ62" s="146">
        <v>1</v>
      </c>
      <c r="AR62" s="104"/>
      <c r="AS62" s="104"/>
      <c r="AT62" s="104">
        <v>1</v>
      </c>
      <c r="AU62" s="104"/>
      <c r="AV62" s="104"/>
      <c r="AW62" s="104"/>
      <c r="AX62" s="104"/>
      <c r="AY62" s="104"/>
      <c r="AZ62" s="104"/>
      <c r="BA62" s="104"/>
      <c r="BB62" s="145"/>
      <c r="BC62" s="146">
        <v>2</v>
      </c>
      <c r="BD62" s="104"/>
      <c r="BE62" s="104"/>
      <c r="BF62" s="104">
        <v>1</v>
      </c>
      <c r="BG62" s="104"/>
      <c r="BH62" s="104"/>
      <c r="BI62" s="104"/>
      <c r="BJ62" s="104"/>
      <c r="BK62" s="104"/>
      <c r="BL62" s="104"/>
      <c r="BM62" s="104"/>
      <c r="BN62" s="145"/>
      <c r="BO62" s="148">
        <f t="shared" si="19"/>
        <v>3</v>
      </c>
      <c r="BP62" s="105"/>
      <c r="BQ62" s="105"/>
      <c r="BR62" s="105"/>
      <c r="BS62" s="71">
        <f t="shared" si="20"/>
        <v>33.333333333333329</v>
      </c>
      <c r="BT62" s="71">
        <f t="shared" si="21"/>
        <v>66.666666666666657</v>
      </c>
      <c r="BU62" s="71">
        <f t="shared" si="22"/>
        <v>30</v>
      </c>
      <c r="BV62" s="15">
        <f t="shared" si="23"/>
        <v>1</v>
      </c>
      <c r="BW62" s="15" t="str">
        <f t="shared" si="24"/>
        <v>тўғри</v>
      </c>
      <c r="BX62" s="71">
        <f t="shared" si="25"/>
        <v>3</v>
      </c>
      <c r="BY62" s="15">
        <f t="shared" si="26"/>
        <v>1</v>
      </c>
      <c r="BZ62" s="15" t="str">
        <f t="shared" si="27"/>
        <v>тўғри</v>
      </c>
    </row>
    <row r="63" spans="1:78" ht="14.25" customHeight="1" x14ac:dyDescent="0.25">
      <c r="A63" s="14" t="s">
        <v>26</v>
      </c>
      <c r="B63" s="104" t="s">
        <v>197</v>
      </c>
      <c r="C63" s="104"/>
      <c r="D63" s="247" t="s">
        <v>198</v>
      </c>
      <c r="E63" s="248"/>
      <c r="F63" s="248"/>
      <c r="G63" s="248"/>
      <c r="H63" s="248"/>
      <c r="I63" s="248"/>
      <c r="J63" s="248"/>
      <c r="K63" s="248"/>
      <c r="L63" s="248"/>
      <c r="M63" s="248"/>
      <c r="N63" s="248"/>
      <c r="O63" s="249"/>
      <c r="P63" s="144">
        <f t="shared" si="17"/>
        <v>330</v>
      </c>
      <c r="Q63" s="106"/>
      <c r="R63" s="106"/>
      <c r="S63" s="106"/>
      <c r="T63" s="106"/>
      <c r="U63" s="147"/>
      <c r="V63" s="152">
        <f t="shared" si="18"/>
        <v>150</v>
      </c>
      <c r="W63" s="106"/>
      <c r="X63" s="106"/>
      <c r="Y63" s="104"/>
      <c r="Z63" s="104"/>
      <c r="AA63" s="104"/>
      <c r="AB63" s="104">
        <v>150</v>
      </c>
      <c r="AC63" s="104"/>
      <c r="AD63" s="104"/>
      <c r="AE63" s="104"/>
      <c r="AF63" s="104"/>
      <c r="AG63" s="104"/>
      <c r="AH63" s="104"/>
      <c r="AI63" s="104"/>
      <c r="AJ63" s="104"/>
      <c r="AK63" s="104"/>
      <c r="AL63" s="104"/>
      <c r="AM63" s="104"/>
      <c r="AN63" s="104">
        <v>180</v>
      </c>
      <c r="AO63" s="104"/>
      <c r="AP63" s="145"/>
      <c r="AQ63" s="146">
        <v>2</v>
      </c>
      <c r="AR63" s="104"/>
      <c r="AS63" s="104"/>
      <c r="AT63" s="104">
        <v>2</v>
      </c>
      <c r="AU63" s="104"/>
      <c r="AV63" s="104"/>
      <c r="AW63" s="104">
        <v>4</v>
      </c>
      <c r="AX63" s="104"/>
      <c r="AY63" s="104"/>
      <c r="AZ63" s="104">
        <v>2</v>
      </c>
      <c r="BA63" s="104"/>
      <c r="BB63" s="145"/>
      <c r="BC63" s="146">
        <v>2</v>
      </c>
      <c r="BD63" s="104"/>
      <c r="BE63" s="104"/>
      <c r="BF63" s="104">
        <v>2</v>
      </c>
      <c r="BG63" s="104"/>
      <c r="BH63" s="104"/>
      <c r="BI63" s="104">
        <v>4</v>
      </c>
      <c r="BJ63" s="104"/>
      <c r="BK63" s="104"/>
      <c r="BL63" s="104">
        <v>3</v>
      </c>
      <c r="BM63" s="104"/>
      <c r="BN63" s="145"/>
      <c r="BO63" s="148">
        <f t="shared" si="19"/>
        <v>11</v>
      </c>
      <c r="BP63" s="105"/>
      <c r="BQ63" s="105"/>
      <c r="BR63" s="105"/>
      <c r="BS63" s="71">
        <f t="shared" si="20"/>
        <v>45.454545454545453</v>
      </c>
      <c r="BT63" s="71">
        <f t="shared" si="21"/>
        <v>54.54545454545454</v>
      </c>
      <c r="BU63" s="71">
        <f t="shared" si="22"/>
        <v>150</v>
      </c>
      <c r="BV63" s="15">
        <f t="shared" si="23"/>
        <v>1</v>
      </c>
      <c r="BW63" s="15" t="str">
        <f t="shared" si="24"/>
        <v>тўғри</v>
      </c>
      <c r="BX63" s="71">
        <f t="shared" si="25"/>
        <v>11</v>
      </c>
      <c r="BY63" s="15">
        <f t="shared" si="26"/>
        <v>1</v>
      </c>
      <c r="BZ63" s="15" t="str">
        <f t="shared" si="27"/>
        <v>тўғри</v>
      </c>
    </row>
    <row r="64" spans="1:78" ht="14.25" customHeight="1" x14ac:dyDescent="0.25">
      <c r="A64" s="14" t="s">
        <v>27</v>
      </c>
      <c r="B64" s="104" t="s">
        <v>34</v>
      </c>
      <c r="C64" s="104"/>
      <c r="D64" s="247" t="s">
        <v>151</v>
      </c>
      <c r="E64" s="248"/>
      <c r="F64" s="248"/>
      <c r="G64" s="248"/>
      <c r="H64" s="248"/>
      <c r="I64" s="248"/>
      <c r="J64" s="248"/>
      <c r="K64" s="248"/>
      <c r="L64" s="248"/>
      <c r="M64" s="248"/>
      <c r="N64" s="248"/>
      <c r="O64" s="249"/>
      <c r="P64" s="144">
        <f t="shared" si="17"/>
        <v>90</v>
      </c>
      <c r="Q64" s="106"/>
      <c r="R64" s="106"/>
      <c r="S64" s="127"/>
      <c r="T64" s="127"/>
      <c r="U64" s="208"/>
      <c r="V64" s="152">
        <f t="shared" si="18"/>
        <v>30</v>
      </c>
      <c r="W64" s="106"/>
      <c r="X64" s="106"/>
      <c r="Y64" s="104">
        <v>10</v>
      </c>
      <c r="Z64" s="104"/>
      <c r="AA64" s="104"/>
      <c r="AB64" s="104">
        <v>10</v>
      </c>
      <c r="AC64" s="104"/>
      <c r="AD64" s="104"/>
      <c r="AE64" s="104"/>
      <c r="AF64" s="104"/>
      <c r="AG64" s="104"/>
      <c r="AH64" s="104">
        <v>10</v>
      </c>
      <c r="AI64" s="104"/>
      <c r="AJ64" s="104"/>
      <c r="AK64" s="104"/>
      <c r="AL64" s="104"/>
      <c r="AM64" s="104"/>
      <c r="AN64" s="104">
        <v>60</v>
      </c>
      <c r="AO64" s="104"/>
      <c r="AP64" s="145"/>
      <c r="AQ64" s="146">
        <v>2</v>
      </c>
      <c r="AR64" s="104"/>
      <c r="AS64" s="104"/>
      <c r="AT64" s="104"/>
      <c r="AU64" s="104"/>
      <c r="AV64" s="104"/>
      <c r="AW64" s="104"/>
      <c r="AX64" s="104"/>
      <c r="AY64" s="104"/>
      <c r="AZ64" s="104"/>
      <c r="BA64" s="104"/>
      <c r="BB64" s="145"/>
      <c r="BC64" s="146">
        <v>3</v>
      </c>
      <c r="BD64" s="104"/>
      <c r="BE64" s="104"/>
      <c r="BF64" s="104"/>
      <c r="BG64" s="104"/>
      <c r="BH64" s="104"/>
      <c r="BI64" s="104"/>
      <c r="BJ64" s="104"/>
      <c r="BK64" s="104"/>
      <c r="BL64" s="104"/>
      <c r="BM64" s="104"/>
      <c r="BN64" s="145"/>
      <c r="BO64" s="148">
        <f t="shared" si="19"/>
        <v>3</v>
      </c>
      <c r="BP64" s="105"/>
      <c r="BQ64" s="105"/>
      <c r="BR64" s="105"/>
      <c r="BS64" s="71">
        <f t="shared" si="20"/>
        <v>33.333333333333329</v>
      </c>
      <c r="BT64" s="71">
        <f t="shared" si="21"/>
        <v>66.666666666666657</v>
      </c>
      <c r="BU64" s="71">
        <f t="shared" si="22"/>
        <v>30</v>
      </c>
      <c r="BV64" s="15">
        <f t="shared" si="23"/>
        <v>1</v>
      </c>
      <c r="BW64" s="15" t="str">
        <f t="shared" si="24"/>
        <v>тўғри</v>
      </c>
      <c r="BX64" s="71">
        <f t="shared" si="25"/>
        <v>3</v>
      </c>
      <c r="BY64" s="15">
        <f t="shared" si="26"/>
        <v>1</v>
      </c>
      <c r="BZ64" s="15" t="str">
        <f t="shared" si="27"/>
        <v>тўғри</v>
      </c>
    </row>
    <row r="65" spans="1:78" ht="14.25" customHeight="1" x14ac:dyDescent="0.25">
      <c r="A65" s="14" t="s">
        <v>28</v>
      </c>
      <c r="B65" s="104" t="s">
        <v>37</v>
      </c>
      <c r="C65" s="104"/>
      <c r="D65" s="247" t="s">
        <v>152</v>
      </c>
      <c r="E65" s="248"/>
      <c r="F65" s="248"/>
      <c r="G65" s="248"/>
      <c r="H65" s="248"/>
      <c r="I65" s="248"/>
      <c r="J65" s="248"/>
      <c r="K65" s="248"/>
      <c r="L65" s="248"/>
      <c r="M65" s="248"/>
      <c r="N65" s="248"/>
      <c r="O65" s="249"/>
      <c r="P65" s="144">
        <f t="shared" si="17"/>
        <v>90</v>
      </c>
      <c r="Q65" s="106"/>
      <c r="R65" s="106"/>
      <c r="S65" s="127"/>
      <c r="T65" s="127"/>
      <c r="U65" s="208"/>
      <c r="V65" s="152">
        <f t="shared" si="18"/>
        <v>30</v>
      </c>
      <c r="W65" s="106"/>
      <c r="X65" s="106"/>
      <c r="Y65" s="104">
        <v>10</v>
      </c>
      <c r="Z65" s="104"/>
      <c r="AA65" s="104"/>
      <c r="AB65" s="104">
        <v>10</v>
      </c>
      <c r="AC65" s="104"/>
      <c r="AD65" s="104"/>
      <c r="AE65" s="104"/>
      <c r="AF65" s="104"/>
      <c r="AG65" s="104"/>
      <c r="AH65" s="104">
        <v>10</v>
      </c>
      <c r="AI65" s="104"/>
      <c r="AJ65" s="104"/>
      <c r="AK65" s="104"/>
      <c r="AL65" s="104"/>
      <c r="AM65" s="104"/>
      <c r="AN65" s="104">
        <v>60</v>
      </c>
      <c r="AO65" s="104"/>
      <c r="AP65" s="145"/>
      <c r="AQ65" s="146">
        <v>2</v>
      </c>
      <c r="AR65" s="104"/>
      <c r="AS65" s="104"/>
      <c r="AT65" s="104"/>
      <c r="AU65" s="104"/>
      <c r="AV65" s="104"/>
      <c r="AW65" s="104"/>
      <c r="AX65" s="104"/>
      <c r="AY65" s="104"/>
      <c r="AZ65" s="104"/>
      <c r="BA65" s="104"/>
      <c r="BB65" s="145"/>
      <c r="BC65" s="146">
        <v>3</v>
      </c>
      <c r="BD65" s="104"/>
      <c r="BE65" s="104"/>
      <c r="BF65" s="104"/>
      <c r="BG65" s="104"/>
      <c r="BH65" s="104"/>
      <c r="BI65" s="104"/>
      <c r="BJ65" s="104"/>
      <c r="BK65" s="104"/>
      <c r="BL65" s="104"/>
      <c r="BM65" s="104"/>
      <c r="BN65" s="145"/>
      <c r="BO65" s="148">
        <f t="shared" si="19"/>
        <v>3</v>
      </c>
      <c r="BP65" s="105"/>
      <c r="BQ65" s="105"/>
      <c r="BR65" s="105"/>
      <c r="BS65" s="71">
        <f t="shared" si="20"/>
        <v>33.333333333333329</v>
      </c>
      <c r="BT65" s="71">
        <f t="shared" si="21"/>
        <v>66.666666666666657</v>
      </c>
      <c r="BU65" s="71">
        <f t="shared" si="22"/>
        <v>30</v>
      </c>
      <c r="BV65" s="15">
        <f t="shared" si="23"/>
        <v>1</v>
      </c>
      <c r="BW65" s="15" t="str">
        <f t="shared" si="24"/>
        <v>тўғри</v>
      </c>
      <c r="BX65" s="71">
        <f t="shared" si="25"/>
        <v>3</v>
      </c>
      <c r="BY65" s="15">
        <f t="shared" si="26"/>
        <v>1</v>
      </c>
      <c r="BZ65" s="15" t="str">
        <f t="shared" si="27"/>
        <v>тўғри</v>
      </c>
    </row>
    <row r="66" spans="1:78" ht="14.25" customHeight="1" x14ac:dyDescent="0.25">
      <c r="A66" s="14" t="s">
        <v>29</v>
      </c>
      <c r="B66" s="104" t="s">
        <v>38</v>
      </c>
      <c r="C66" s="104"/>
      <c r="D66" s="247" t="s">
        <v>153</v>
      </c>
      <c r="E66" s="248"/>
      <c r="F66" s="248"/>
      <c r="G66" s="248"/>
      <c r="H66" s="248"/>
      <c r="I66" s="248"/>
      <c r="J66" s="248"/>
      <c r="K66" s="248"/>
      <c r="L66" s="248"/>
      <c r="M66" s="248"/>
      <c r="N66" s="248"/>
      <c r="O66" s="249"/>
      <c r="P66" s="144">
        <f t="shared" si="17"/>
        <v>90</v>
      </c>
      <c r="Q66" s="106"/>
      <c r="R66" s="106"/>
      <c r="S66" s="127"/>
      <c r="T66" s="127"/>
      <c r="U66" s="208"/>
      <c r="V66" s="152">
        <f t="shared" si="18"/>
        <v>30</v>
      </c>
      <c r="W66" s="106"/>
      <c r="X66" s="106"/>
      <c r="Y66" s="104">
        <v>10</v>
      </c>
      <c r="Z66" s="104"/>
      <c r="AA66" s="104"/>
      <c r="AB66" s="104">
        <v>10</v>
      </c>
      <c r="AC66" s="104"/>
      <c r="AD66" s="104"/>
      <c r="AE66" s="104"/>
      <c r="AF66" s="104"/>
      <c r="AG66" s="104"/>
      <c r="AH66" s="104">
        <v>10</v>
      </c>
      <c r="AI66" s="104"/>
      <c r="AJ66" s="104"/>
      <c r="AK66" s="104"/>
      <c r="AL66" s="104"/>
      <c r="AM66" s="104"/>
      <c r="AN66" s="104">
        <v>60</v>
      </c>
      <c r="AO66" s="104"/>
      <c r="AP66" s="145"/>
      <c r="AQ66" s="146">
        <v>2</v>
      </c>
      <c r="AR66" s="104"/>
      <c r="AS66" s="104"/>
      <c r="AT66" s="104"/>
      <c r="AU66" s="104"/>
      <c r="AV66" s="104"/>
      <c r="AW66" s="104"/>
      <c r="AX66" s="104"/>
      <c r="AY66" s="104"/>
      <c r="AZ66" s="104"/>
      <c r="BA66" s="104"/>
      <c r="BB66" s="145"/>
      <c r="BC66" s="146">
        <v>3</v>
      </c>
      <c r="BD66" s="104"/>
      <c r="BE66" s="104"/>
      <c r="BF66" s="104"/>
      <c r="BG66" s="104"/>
      <c r="BH66" s="104"/>
      <c r="BI66" s="104"/>
      <c r="BJ66" s="104"/>
      <c r="BK66" s="104"/>
      <c r="BL66" s="104"/>
      <c r="BM66" s="104"/>
      <c r="BN66" s="145"/>
      <c r="BO66" s="148">
        <f t="shared" si="19"/>
        <v>3</v>
      </c>
      <c r="BP66" s="105"/>
      <c r="BQ66" s="105"/>
      <c r="BR66" s="105"/>
      <c r="BS66" s="71">
        <f t="shared" si="20"/>
        <v>33.333333333333329</v>
      </c>
      <c r="BT66" s="71">
        <f t="shared" si="21"/>
        <v>66.666666666666657</v>
      </c>
      <c r="BU66" s="71">
        <f t="shared" si="22"/>
        <v>30</v>
      </c>
      <c r="BV66" s="15">
        <f t="shared" si="23"/>
        <v>1</v>
      </c>
      <c r="BW66" s="15" t="str">
        <f t="shared" si="24"/>
        <v>тўғри</v>
      </c>
      <c r="BX66" s="71">
        <f t="shared" si="25"/>
        <v>3</v>
      </c>
      <c r="BY66" s="15">
        <f t="shared" si="26"/>
        <v>1</v>
      </c>
      <c r="BZ66" s="15" t="str">
        <f t="shared" si="27"/>
        <v>тўғри</v>
      </c>
    </row>
    <row r="67" spans="1:78" ht="14.25" customHeight="1" x14ac:dyDescent="0.25">
      <c r="A67" s="14" t="s">
        <v>30</v>
      </c>
      <c r="B67" s="104" t="s">
        <v>47</v>
      </c>
      <c r="C67" s="104"/>
      <c r="D67" s="247" t="s">
        <v>156</v>
      </c>
      <c r="E67" s="248"/>
      <c r="F67" s="248"/>
      <c r="G67" s="248"/>
      <c r="H67" s="248"/>
      <c r="I67" s="248"/>
      <c r="J67" s="248"/>
      <c r="K67" s="248"/>
      <c r="L67" s="248"/>
      <c r="M67" s="248"/>
      <c r="N67" s="248"/>
      <c r="O67" s="249"/>
      <c r="P67" s="144">
        <f>SUM(V67+AN67)</f>
        <v>90</v>
      </c>
      <c r="Q67" s="106"/>
      <c r="R67" s="106"/>
      <c r="S67" s="131"/>
      <c r="T67" s="131"/>
      <c r="U67" s="151"/>
      <c r="V67" s="152">
        <f t="shared" si="18"/>
        <v>30</v>
      </c>
      <c r="W67" s="106"/>
      <c r="X67" s="106"/>
      <c r="Y67" s="104">
        <v>16</v>
      </c>
      <c r="Z67" s="104"/>
      <c r="AA67" s="104"/>
      <c r="AB67" s="104">
        <v>6</v>
      </c>
      <c r="AC67" s="104"/>
      <c r="AD67" s="104"/>
      <c r="AE67" s="104"/>
      <c r="AF67" s="104"/>
      <c r="AG67" s="104"/>
      <c r="AH67" s="104">
        <v>8</v>
      </c>
      <c r="AI67" s="104"/>
      <c r="AJ67" s="104"/>
      <c r="AK67" s="106"/>
      <c r="AL67" s="106"/>
      <c r="AM67" s="106"/>
      <c r="AN67" s="104">
        <v>60</v>
      </c>
      <c r="AO67" s="104"/>
      <c r="AP67" s="145"/>
      <c r="AQ67" s="146">
        <v>2</v>
      </c>
      <c r="AR67" s="104"/>
      <c r="AS67" s="104"/>
      <c r="AT67" s="104"/>
      <c r="AU67" s="104"/>
      <c r="AV67" s="104"/>
      <c r="AW67" s="104"/>
      <c r="AX67" s="104"/>
      <c r="AY67" s="104"/>
      <c r="AZ67" s="104"/>
      <c r="BA67" s="104"/>
      <c r="BB67" s="145"/>
      <c r="BC67" s="146">
        <v>3</v>
      </c>
      <c r="BD67" s="104"/>
      <c r="BE67" s="104"/>
      <c r="BF67" s="104"/>
      <c r="BG67" s="104"/>
      <c r="BH67" s="104"/>
      <c r="BI67" s="104"/>
      <c r="BJ67" s="104"/>
      <c r="BK67" s="104"/>
      <c r="BL67" s="104"/>
      <c r="BM67" s="104"/>
      <c r="BN67" s="145"/>
      <c r="BO67" s="148">
        <f t="shared" si="19"/>
        <v>3</v>
      </c>
      <c r="BP67" s="105"/>
      <c r="BQ67" s="105"/>
      <c r="BR67" s="105"/>
      <c r="BS67" s="71">
        <f t="shared" si="20"/>
        <v>33.333333333333329</v>
      </c>
      <c r="BT67" s="71">
        <f t="shared" si="21"/>
        <v>66.666666666666657</v>
      </c>
      <c r="BU67" s="71">
        <f t="shared" si="22"/>
        <v>30</v>
      </c>
      <c r="BV67" s="15">
        <f t="shared" si="23"/>
        <v>1</v>
      </c>
      <c r="BW67" s="15" t="str">
        <f t="shared" si="24"/>
        <v>тўғри</v>
      </c>
      <c r="BX67" s="71">
        <f t="shared" si="25"/>
        <v>3</v>
      </c>
      <c r="BY67" s="15">
        <f t="shared" si="26"/>
        <v>1</v>
      </c>
      <c r="BZ67" s="15" t="str">
        <f t="shared" si="27"/>
        <v>тўғри</v>
      </c>
    </row>
    <row r="68" spans="1:78" ht="14.25" customHeight="1" x14ac:dyDescent="0.25">
      <c r="A68" s="14" t="s">
        <v>187</v>
      </c>
      <c r="B68" s="104" t="s">
        <v>35</v>
      </c>
      <c r="C68" s="104"/>
      <c r="D68" s="247" t="s">
        <v>157</v>
      </c>
      <c r="E68" s="248"/>
      <c r="F68" s="248"/>
      <c r="G68" s="248"/>
      <c r="H68" s="248"/>
      <c r="I68" s="248"/>
      <c r="J68" s="248"/>
      <c r="K68" s="248"/>
      <c r="L68" s="248"/>
      <c r="M68" s="248"/>
      <c r="N68" s="248"/>
      <c r="O68" s="249"/>
      <c r="P68" s="144">
        <f>SUM(V68+AN68)</f>
        <v>150</v>
      </c>
      <c r="Q68" s="106"/>
      <c r="R68" s="106"/>
      <c r="S68" s="131"/>
      <c r="T68" s="131"/>
      <c r="U68" s="151"/>
      <c r="V68" s="152">
        <f t="shared" si="18"/>
        <v>60</v>
      </c>
      <c r="W68" s="106"/>
      <c r="X68" s="106"/>
      <c r="Y68" s="104">
        <v>32</v>
      </c>
      <c r="Z68" s="104"/>
      <c r="AA68" s="104"/>
      <c r="AB68" s="104">
        <v>12</v>
      </c>
      <c r="AC68" s="104"/>
      <c r="AD68" s="104"/>
      <c r="AE68" s="104"/>
      <c r="AF68" s="104"/>
      <c r="AG68" s="104"/>
      <c r="AH68" s="104">
        <v>16</v>
      </c>
      <c r="AI68" s="104"/>
      <c r="AJ68" s="104"/>
      <c r="AK68" s="106"/>
      <c r="AL68" s="106"/>
      <c r="AM68" s="106"/>
      <c r="AN68" s="104">
        <v>90</v>
      </c>
      <c r="AO68" s="104"/>
      <c r="AP68" s="145"/>
      <c r="AQ68" s="146"/>
      <c r="AR68" s="104"/>
      <c r="AS68" s="104"/>
      <c r="AT68" s="104"/>
      <c r="AU68" s="104"/>
      <c r="AV68" s="104"/>
      <c r="AW68" s="104">
        <v>2</v>
      </c>
      <c r="AX68" s="104"/>
      <c r="AY68" s="104"/>
      <c r="AZ68" s="104">
        <v>2</v>
      </c>
      <c r="BA68" s="104"/>
      <c r="BB68" s="145"/>
      <c r="BC68" s="146"/>
      <c r="BD68" s="104"/>
      <c r="BE68" s="104"/>
      <c r="BF68" s="104"/>
      <c r="BG68" s="104"/>
      <c r="BH68" s="104"/>
      <c r="BI68" s="104">
        <v>2</v>
      </c>
      <c r="BJ68" s="104"/>
      <c r="BK68" s="104"/>
      <c r="BL68" s="104">
        <v>3</v>
      </c>
      <c r="BM68" s="104"/>
      <c r="BN68" s="145"/>
      <c r="BO68" s="148">
        <f t="shared" si="19"/>
        <v>5</v>
      </c>
      <c r="BP68" s="105"/>
      <c r="BQ68" s="105"/>
      <c r="BR68" s="105"/>
      <c r="BS68" s="71">
        <f t="shared" si="20"/>
        <v>40</v>
      </c>
      <c r="BT68" s="71">
        <f t="shared" si="21"/>
        <v>60</v>
      </c>
      <c r="BU68" s="71">
        <f t="shared" si="22"/>
        <v>60</v>
      </c>
      <c r="BV68" s="15">
        <f t="shared" si="23"/>
        <v>1</v>
      </c>
      <c r="BW68" s="15" t="str">
        <f t="shared" si="24"/>
        <v>тўғри</v>
      </c>
      <c r="BX68" s="71">
        <f t="shared" si="25"/>
        <v>5</v>
      </c>
      <c r="BY68" s="15">
        <f t="shared" si="26"/>
        <v>1</v>
      </c>
      <c r="BZ68" s="15" t="str">
        <f t="shared" si="27"/>
        <v>тўғри</v>
      </c>
    </row>
    <row r="69" spans="1:78" ht="14.25" customHeight="1" x14ac:dyDescent="0.25">
      <c r="A69" s="72" t="s">
        <v>9</v>
      </c>
      <c r="B69" s="104"/>
      <c r="C69" s="104"/>
      <c r="D69" s="182" t="s">
        <v>112</v>
      </c>
      <c r="E69" s="182"/>
      <c r="F69" s="182"/>
      <c r="G69" s="182"/>
      <c r="H69" s="182"/>
      <c r="I69" s="182"/>
      <c r="J69" s="182"/>
      <c r="K69" s="182"/>
      <c r="L69" s="182"/>
      <c r="M69" s="182"/>
      <c r="N69" s="182"/>
      <c r="O69" s="183"/>
      <c r="P69" s="144">
        <f t="shared" ref="P69" si="28">SUM(V69+AN69)</f>
        <v>330</v>
      </c>
      <c r="Q69" s="106"/>
      <c r="R69" s="106"/>
      <c r="S69" s="131">
        <f>P69/3600*100</f>
        <v>9.1666666666666661</v>
      </c>
      <c r="T69" s="131"/>
      <c r="U69" s="151"/>
      <c r="V69" s="152">
        <f t="shared" ref="V69:V70" si="29">SUM(AQ69+AT69+AW69+AZ69)*15</f>
        <v>120</v>
      </c>
      <c r="W69" s="106"/>
      <c r="X69" s="106"/>
      <c r="Y69" s="106">
        <f>SUM(Y70:AA78)</f>
        <v>10</v>
      </c>
      <c r="Z69" s="106"/>
      <c r="AA69" s="106"/>
      <c r="AB69" s="106">
        <f>SUM(AB70:AD78)</f>
        <v>100</v>
      </c>
      <c r="AC69" s="106"/>
      <c r="AD69" s="106"/>
      <c r="AE69" s="106">
        <f>SUM(AE70:AG78)</f>
        <v>0</v>
      </c>
      <c r="AF69" s="106"/>
      <c r="AG69" s="106"/>
      <c r="AH69" s="106">
        <f>SUM(AH70:AJ78)</f>
        <v>10</v>
      </c>
      <c r="AI69" s="106"/>
      <c r="AJ69" s="106"/>
      <c r="AK69" s="106">
        <f>SUM(AK70:AM78)</f>
        <v>0</v>
      </c>
      <c r="AL69" s="106"/>
      <c r="AM69" s="106"/>
      <c r="AN69" s="106">
        <f>SUM(AN70:AP78)</f>
        <v>210</v>
      </c>
      <c r="AO69" s="106"/>
      <c r="AP69" s="147"/>
      <c r="AQ69" s="144">
        <f>SUM(AQ70:AS78)</f>
        <v>2</v>
      </c>
      <c r="AR69" s="106"/>
      <c r="AS69" s="106"/>
      <c r="AT69" s="106">
        <f>SUM(AT70:AV78)</f>
        <v>4</v>
      </c>
      <c r="AU69" s="106"/>
      <c r="AV69" s="106"/>
      <c r="AW69" s="106">
        <f>SUM(AW70:AY78)</f>
        <v>2</v>
      </c>
      <c r="AX69" s="106"/>
      <c r="AY69" s="106"/>
      <c r="AZ69" s="106">
        <f>SUM(AZ70:BB78)</f>
        <v>0</v>
      </c>
      <c r="BA69" s="106"/>
      <c r="BB69" s="147"/>
      <c r="BC69" s="144">
        <f>SUM(BC70:BE78)</f>
        <v>2</v>
      </c>
      <c r="BD69" s="106"/>
      <c r="BE69" s="106"/>
      <c r="BF69" s="106">
        <f>SUM(BF70:BH78)</f>
        <v>6</v>
      </c>
      <c r="BG69" s="106"/>
      <c r="BH69" s="106"/>
      <c r="BI69" s="106">
        <f>SUM(BI70:BK78)</f>
        <v>3</v>
      </c>
      <c r="BJ69" s="106"/>
      <c r="BK69" s="106"/>
      <c r="BL69" s="106">
        <f>SUM(BL70:BN78)</f>
        <v>0</v>
      </c>
      <c r="BM69" s="106"/>
      <c r="BN69" s="147"/>
      <c r="BO69" s="148">
        <f t="shared" ref="BO69:BO78" si="30">SUM(P69/30)</f>
        <v>11</v>
      </c>
      <c r="BP69" s="105"/>
      <c r="BQ69" s="105"/>
      <c r="BR69" s="105"/>
      <c r="BS69" s="71">
        <f t="shared" ref="BS69:BS80" si="31">SUM(V69/P69)*100</f>
        <v>36.363636363636367</v>
      </c>
      <c r="BT69" s="71">
        <f t="shared" ref="BT69:BT80" si="32">SUM(AN69/P69)*100</f>
        <v>63.636363636363633</v>
      </c>
      <c r="BU69" s="71">
        <f t="shared" ref="BU69:BU79" si="33">SUM(Y69:AJ69)</f>
        <v>120</v>
      </c>
      <c r="BV69" s="15">
        <f t="shared" ref="BV69:BV79" si="34">IF(BU69=V69,1,0)</f>
        <v>1</v>
      </c>
      <c r="BW69" s="15" t="str">
        <f t="shared" ref="BW69:BW79" si="35">IF(BV69=1,"тўғри","хато")</f>
        <v>тўғри</v>
      </c>
      <c r="BX69" s="71">
        <f t="shared" ref="BX69:BX84" si="36">SUM(BC69:BN69)</f>
        <v>11</v>
      </c>
      <c r="BY69" s="15">
        <f t="shared" ref="BY69:BY84" si="37">IF(BX69=BO69,1,0)</f>
        <v>1</v>
      </c>
      <c r="BZ69" s="15" t="str">
        <f t="shared" ref="BZ69:BZ84" si="38">IF(BY69=1,"тўғри","хато")</f>
        <v>тўғри</v>
      </c>
    </row>
    <row r="70" spans="1:78" ht="14.25" customHeight="1" x14ac:dyDescent="0.25">
      <c r="A70" s="85" t="s">
        <v>10</v>
      </c>
      <c r="B70" s="104"/>
      <c r="C70" s="104"/>
      <c r="D70" s="178" t="s">
        <v>130</v>
      </c>
      <c r="E70" s="178"/>
      <c r="F70" s="178"/>
      <c r="G70" s="178"/>
      <c r="H70" s="178"/>
      <c r="I70" s="178"/>
      <c r="J70" s="178"/>
      <c r="K70" s="178"/>
      <c r="L70" s="178"/>
      <c r="M70" s="178"/>
      <c r="N70" s="178"/>
      <c r="O70" s="179"/>
      <c r="P70" s="144">
        <f>SUM(V70+AN70)</f>
        <v>90</v>
      </c>
      <c r="Q70" s="106"/>
      <c r="R70" s="106"/>
      <c r="S70" s="131"/>
      <c r="T70" s="131"/>
      <c r="U70" s="151"/>
      <c r="V70" s="152">
        <f t="shared" si="29"/>
        <v>30</v>
      </c>
      <c r="W70" s="106"/>
      <c r="X70" s="106"/>
      <c r="Y70" s="104"/>
      <c r="Z70" s="104"/>
      <c r="AA70" s="104"/>
      <c r="AB70" s="104">
        <v>30</v>
      </c>
      <c r="AC70" s="104"/>
      <c r="AD70" s="104"/>
      <c r="AE70" s="104"/>
      <c r="AF70" s="104"/>
      <c r="AG70" s="104"/>
      <c r="AH70" s="104"/>
      <c r="AI70" s="104"/>
      <c r="AJ70" s="104"/>
      <c r="AK70" s="104"/>
      <c r="AL70" s="104"/>
      <c r="AM70" s="104"/>
      <c r="AN70" s="104">
        <v>60</v>
      </c>
      <c r="AO70" s="104"/>
      <c r="AP70" s="145"/>
      <c r="AQ70" s="146"/>
      <c r="AR70" s="104"/>
      <c r="AS70" s="104"/>
      <c r="AT70" s="104">
        <v>2</v>
      </c>
      <c r="AU70" s="104"/>
      <c r="AV70" s="104"/>
      <c r="AW70" s="104"/>
      <c r="AX70" s="104"/>
      <c r="AY70" s="104"/>
      <c r="AZ70" s="104"/>
      <c r="BA70" s="104"/>
      <c r="BB70" s="145"/>
      <c r="BC70" s="146"/>
      <c r="BD70" s="104"/>
      <c r="BE70" s="104"/>
      <c r="BF70" s="104">
        <v>3</v>
      </c>
      <c r="BG70" s="104"/>
      <c r="BH70" s="104"/>
      <c r="BI70" s="104"/>
      <c r="BJ70" s="104"/>
      <c r="BK70" s="104"/>
      <c r="BL70" s="104"/>
      <c r="BM70" s="104"/>
      <c r="BN70" s="145"/>
      <c r="BO70" s="148">
        <f t="shared" si="30"/>
        <v>3</v>
      </c>
      <c r="BP70" s="105"/>
      <c r="BQ70" s="105"/>
      <c r="BR70" s="105"/>
      <c r="BS70" s="71">
        <f t="shared" ref="BS70:BS78" si="39">SUM(V70/P70)*100</f>
        <v>33.333333333333329</v>
      </c>
      <c r="BT70" s="71">
        <f t="shared" ref="BT70:BT78" si="40">SUM(AN70/P70)*100</f>
        <v>66.666666666666657</v>
      </c>
      <c r="BU70" s="71">
        <f t="shared" ref="BU70:BU78" si="41">SUM(Y70:AJ70)</f>
        <v>30</v>
      </c>
      <c r="BV70" s="15">
        <f t="shared" si="34"/>
        <v>1</v>
      </c>
      <c r="BW70" s="15" t="str">
        <f t="shared" si="35"/>
        <v>тўғри</v>
      </c>
      <c r="BX70" s="71">
        <f t="shared" si="36"/>
        <v>3</v>
      </c>
      <c r="BY70" s="15">
        <f t="shared" si="37"/>
        <v>1</v>
      </c>
      <c r="BZ70" s="15" t="str">
        <f t="shared" si="38"/>
        <v>тўғри</v>
      </c>
    </row>
    <row r="71" spans="1:78" ht="14.25" customHeight="1" x14ac:dyDescent="0.25">
      <c r="A71" s="71">
        <v>1</v>
      </c>
      <c r="B71" s="104" t="s">
        <v>214</v>
      </c>
      <c r="C71" s="104"/>
      <c r="D71" s="149" t="s">
        <v>136</v>
      </c>
      <c r="E71" s="149"/>
      <c r="F71" s="149"/>
      <c r="G71" s="149"/>
      <c r="H71" s="149"/>
      <c r="I71" s="149"/>
      <c r="J71" s="149"/>
      <c r="K71" s="149"/>
      <c r="L71" s="149"/>
      <c r="M71" s="149"/>
      <c r="N71" s="149"/>
      <c r="O71" s="150"/>
      <c r="P71" s="144"/>
      <c r="Q71" s="106"/>
      <c r="R71" s="106"/>
      <c r="S71" s="131"/>
      <c r="T71" s="131"/>
      <c r="U71" s="151"/>
      <c r="V71" s="152"/>
      <c r="W71" s="106"/>
      <c r="X71" s="106"/>
      <c r="Y71" s="104"/>
      <c r="Z71" s="104"/>
      <c r="AA71" s="104"/>
      <c r="AB71" s="104"/>
      <c r="AC71" s="104"/>
      <c r="AD71" s="104"/>
      <c r="AE71" s="104"/>
      <c r="AF71" s="104"/>
      <c r="AG71" s="104"/>
      <c r="AH71" s="104"/>
      <c r="AI71" s="104"/>
      <c r="AJ71" s="104"/>
      <c r="AK71" s="104"/>
      <c r="AL71" s="104"/>
      <c r="AM71" s="104"/>
      <c r="AN71" s="104"/>
      <c r="AO71" s="104"/>
      <c r="AP71" s="145"/>
      <c r="AQ71" s="146"/>
      <c r="AR71" s="104"/>
      <c r="AS71" s="104"/>
      <c r="AT71" s="104"/>
      <c r="AU71" s="104"/>
      <c r="AV71" s="104"/>
      <c r="AW71" s="104"/>
      <c r="AX71" s="104"/>
      <c r="AY71" s="104"/>
      <c r="AZ71" s="104"/>
      <c r="BA71" s="104"/>
      <c r="BB71" s="145"/>
      <c r="BC71" s="146"/>
      <c r="BD71" s="104"/>
      <c r="BE71" s="104"/>
      <c r="BF71" s="104"/>
      <c r="BG71" s="104"/>
      <c r="BH71" s="104"/>
      <c r="BI71" s="104"/>
      <c r="BJ71" s="104"/>
      <c r="BK71" s="104"/>
      <c r="BL71" s="104"/>
      <c r="BM71" s="104"/>
      <c r="BN71" s="145"/>
      <c r="BO71" s="148">
        <f t="shared" si="30"/>
        <v>0</v>
      </c>
      <c r="BP71" s="105"/>
      <c r="BQ71" s="105"/>
      <c r="BR71" s="105"/>
      <c r="BS71" s="71" t="e">
        <f t="shared" si="39"/>
        <v>#DIV/0!</v>
      </c>
      <c r="BT71" s="71" t="e">
        <f t="shared" si="40"/>
        <v>#DIV/0!</v>
      </c>
      <c r="BU71" s="71">
        <f t="shared" si="41"/>
        <v>0</v>
      </c>
      <c r="BV71" s="15">
        <f t="shared" si="34"/>
        <v>1</v>
      </c>
      <c r="BW71" s="15" t="str">
        <f t="shared" si="35"/>
        <v>тўғри</v>
      </c>
      <c r="BX71" s="71">
        <f t="shared" si="36"/>
        <v>0</v>
      </c>
      <c r="BY71" s="15">
        <f t="shared" si="37"/>
        <v>1</v>
      </c>
      <c r="BZ71" s="15" t="str">
        <f t="shared" si="38"/>
        <v>тўғри</v>
      </c>
    </row>
    <row r="72" spans="1:78" ht="14.25" customHeight="1" x14ac:dyDescent="0.25">
      <c r="A72" s="71">
        <v>2</v>
      </c>
      <c r="B72" s="104" t="s">
        <v>215</v>
      </c>
      <c r="C72" s="104"/>
      <c r="D72" s="149" t="s">
        <v>137</v>
      </c>
      <c r="E72" s="149"/>
      <c r="F72" s="149"/>
      <c r="G72" s="149"/>
      <c r="H72" s="149"/>
      <c r="I72" s="149"/>
      <c r="J72" s="149"/>
      <c r="K72" s="149"/>
      <c r="L72" s="149"/>
      <c r="M72" s="149"/>
      <c r="N72" s="149"/>
      <c r="O72" s="150"/>
      <c r="P72" s="144"/>
      <c r="Q72" s="106"/>
      <c r="R72" s="106"/>
      <c r="S72" s="131"/>
      <c r="T72" s="131"/>
      <c r="U72" s="151"/>
      <c r="V72" s="152"/>
      <c r="W72" s="106"/>
      <c r="X72" s="106"/>
      <c r="Y72" s="104"/>
      <c r="Z72" s="104"/>
      <c r="AA72" s="104"/>
      <c r="AB72" s="104"/>
      <c r="AC72" s="104"/>
      <c r="AD72" s="104"/>
      <c r="AE72" s="104"/>
      <c r="AF72" s="104"/>
      <c r="AG72" s="104"/>
      <c r="AH72" s="104"/>
      <c r="AI72" s="104"/>
      <c r="AJ72" s="104"/>
      <c r="AK72" s="104"/>
      <c r="AL72" s="104"/>
      <c r="AM72" s="104"/>
      <c r="AN72" s="104"/>
      <c r="AO72" s="104"/>
      <c r="AP72" s="145"/>
      <c r="AQ72" s="146"/>
      <c r="AR72" s="104"/>
      <c r="AS72" s="104"/>
      <c r="AT72" s="104"/>
      <c r="AU72" s="104"/>
      <c r="AV72" s="104"/>
      <c r="AW72" s="104"/>
      <c r="AX72" s="104"/>
      <c r="AY72" s="104"/>
      <c r="AZ72" s="104"/>
      <c r="BA72" s="104"/>
      <c r="BB72" s="145"/>
      <c r="BC72" s="146"/>
      <c r="BD72" s="104"/>
      <c r="BE72" s="104"/>
      <c r="BF72" s="104"/>
      <c r="BG72" s="104"/>
      <c r="BH72" s="104"/>
      <c r="BI72" s="104"/>
      <c r="BJ72" s="104"/>
      <c r="BK72" s="104"/>
      <c r="BL72" s="104"/>
      <c r="BM72" s="104"/>
      <c r="BN72" s="145"/>
      <c r="BO72" s="148">
        <f t="shared" si="30"/>
        <v>0</v>
      </c>
      <c r="BP72" s="105"/>
      <c r="BQ72" s="105"/>
      <c r="BR72" s="105"/>
      <c r="BS72" s="71" t="e">
        <f t="shared" si="39"/>
        <v>#DIV/0!</v>
      </c>
      <c r="BT72" s="71" t="e">
        <f t="shared" si="40"/>
        <v>#DIV/0!</v>
      </c>
      <c r="BU72" s="71">
        <f t="shared" si="41"/>
        <v>0</v>
      </c>
      <c r="BV72" s="15">
        <f t="shared" si="34"/>
        <v>1</v>
      </c>
      <c r="BW72" s="15" t="str">
        <f t="shared" si="35"/>
        <v>тўғри</v>
      </c>
      <c r="BX72" s="71">
        <f t="shared" si="36"/>
        <v>0</v>
      </c>
      <c r="BY72" s="15">
        <f t="shared" si="37"/>
        <v>1</v>
      </c>
      <c r="BZ72" s="15" t="str">
        <f t="shared" si="38"/>
        <v>тўғри</v>
      </c>
    </row>
    <row r="73" spans="1:78" ht="14.25" customHeight="1" x14ac:dyDescent="0.25">
      <c r="A73" s="85" t="s">
        <v>11</v>
      </c>
      <c r="B73" s="104"/>
      <c r="C73" s="104"/>
      <c r="D73" s="178" t="s">
        <v>130</v>
      </c>
      <c r="E73" s="178"/>
      <c r="F73" s="178"/>
      <c r="G73" s="178"/>
      <c r="H73" s="178"/>
      <c r="I73" s="178"/>
      <c r="J73" s="178"/>
      <c r="K73" s="178"/>
      <c r="L73" s="178"/>
      <c r="M73" s="178"/>
      <c r="N73" s="178"/>
      <c r="O73" s="179"/>
      <c r="P73" s="144">
        <f t="shared" ref="P73" si="42">SUM(V73+AN73)</f>
        <v>150</v>
      </c>
      <c r="Q73" s="106"/>
      <c r="R73" s="106"/>
      <c r="S73" s="131"/>
      <c r="T73" s="131"/>
      <c r="U73" s="151"/>
      <c r="V73" s="152">
        <f t="shared" ref="V73" si="43">SUM(AQ73+AT73+AW73+AZ73)*15</f>
        <v>60</v>
      </c>
      <c r="W73" s="106"/>
      <c r="X73" s="106"/>
      <c r="Y73" s="104"/>
      <c r="Z73" s="104"/>
      <c r="AA73" s="104"/>
      <c r="AB73" s="104">
        <v>60</v>
      </c>
      <c r="AC73" s="104"/>
      <c r="AD73" s="104"/>
      <c r="AE73" s="104"/>
      <c r="AF73" s="104"/>
      <c r="AG73" s="104"/>
      <c r="AH73" s="104"/>
      <c r="AI73" s="104"/>
      <c r="AJ73" s="104"/>
      <c r="AK73" s="106"/>
      <c r="AL73" s="106"/>
      <c r="AM73" s="106"/>
      <c r="AN73" s="104">
        <v>90</v>
      </c>
      <c r="AO73" s="104"/>
      <c r="AP73" s="145"/>
      <c r="AQ73" s="146">
        <v>2</v>
      </c>
      <c r="AR73" s="104"/>
      <c r="AS73" s="104"/>
      <c r="AT73" s="104">
        <v>2</v>
      </c>
      <c r="AU73" s="104"/>
      <c r="AV73" s="104"/>
      <c r="AW73" s="104"/>
      <c r="AX73" s="104"/>
      <c r="AY73" s="104"/>
      <c r="AZ73" s="104"/>
      <c r="BA73" s="104"/>
      <c r="BB73" s="145"/>
      <c r="BC73" s="146">
        <v>2</v>
      </c>
      <c r="BD73" s="104"/>
      <c r="BE73" s="104"/>
      <c r="BF73" s="104">
        <v>3</v>
      </c>
      <c r="BG73" s="104"/>
      <c r="BH73" s="104"/>
      <c r="BI73" s="104"/>
      <c r="BJ73" s="104"/>
      <c r="BK73" s="104"/>
      <c r="BL73" s="104"/>
      <c r="BM73" s="104"/>
      <c r="BN73" s="145"/>
      <c r="BO73" s="148">
        <f t="shared" si="30"/>
        <v>5</v>
      </c>
      <c r="BP73" s="105"/>
      <c r="BQ73" s="105"/>
      <c r="BR73" s="105"/>
      <c r="BS73" s="71">
        <f t="shared" si="39"/>
        <v>40</v>
      </c>
      <c r="BT73" s="71">
        <f t="shared" si="40"/>
        <v>60</v>
      </c>
      <c r="BU73" s="71">
        <f t="shared" si="41"/>
        <v>60</v>
      </c>
      <c r="BV73" s="15">
        <f t="shared" si="34"/>
        <v>1</v>
      </c>
      <c r="BW73" s="15" t="str">
        <f t="shared" si="35"/>
        <v>тўғри</v>
      </c>
      <c r="BX73" s="71">
        <f t="shared" si="36"/>
        <v>5</v>
      </c>
      <c r="BY73" s="15">
        <f t="shared" si="37"/>
        <v>1</v>
      </c>
      <c r="BZ73" s="15" t="str">
        <f t="shared" si="38"/>
        <v>тўғри</v>
      </c>
    </row>
    <row r="74" spans="1:78" ht="28.5" customHeight="1" x14ac:dyDescent="0.25">
      <c r="A74" s="71">
        <v>1</v>
      </c>
      <c r="B74" s="104" t="s">
        <v>216</v>
      </c>
      <c r="C74" s="104"/>
      <c r="D74" s="180" t="s">
        <v>138</v>
      </c>
      <c r="E74" s="180"/>
      <c r="F74" s="180"/>
      <c r="G74" s="180"/>
      <c r="H74" s="180"/>
      <c r="I74" s="180"/>
      <c r="J74" s="180"/>
      <c r="K74" s="180"/>
      <c r="L74" s="180"/>
      <c r="M74" s="180"/>
      <c r="N74" s="180"/>
      <c r="O74" s="181"/>
      <c r="P74" s="144"/>
      <c r="Q74" s="106"/>
      <c r="R74" s="106"/>
      <c r="S74" s="131"/>
      <c r="T74" s="131"/>
      <c r="U74" s="151"/>
      <c r="V74" s="152"/>
      <c r="W74" s="106"/>
      <c r="X74" s="106"/>
      <c r="Y74" s="104"/>
      <c r="Z74" s="104"/>
      <c r="AA74" s="104"/>
      <c r="AB74" s="104"/>
      <c r="AC74" s="104"/>
      <c r="AD74" s="104"/>
      <c r="AE74" s="104"/>
      <c r="AF74" s="104"/>
      <c r="AG74" s="104"/>
      <c r="AH74" s="104"/>
      <c r="AI74" s="104"/>
      <c r="AJ74" s="104"/>
      <c r="AK74" s="106"/>
      <c r="AL74" s="106"/>
      <c r="AM74" s="106"/>
      <c r="AN74" s="104"/>
      <c r="AO74" s="104"/>
      <c r="AP74" s="145"/>
      <c r="AQ74" s="146"/>
      <c r="AR74" s="104"/>
      <c r="AS74" s="104"/>
      <c r="AT74" s="104"/>
      <c r="AU74" s="104"/>
      <c r="AV74" s="104"/>
      <c r="AW74" s="104"/>
      <c r="AX74" s="104"/>
      <c r="AY74" s="104"/>
      <c r="AZ74" s="104"/>
      <c r="BA74" s="104"/>
      <c r="BB74" s="145"/>
      <c r="BC74" s="146"/>
      <c r="BD74" s="104"/>
      <c r="BE74" s="104"/>
      <c r="BF74" s="104"/>
      <c r="BG74" s="104"/>
      <c r="BH74" s="104"/>
      <c r="BI74" s="104"/>
      <c r="BJ74" s="104"/>
      <c r="BK74" s="104"/>
      <c r="BL74" s="104"/>
      <c r="BM74" s="104"/>
      <c r="BN74" s="145"/>
      <c r="BO74" s="148">
        <f t="shared" si="30"/>
        <v>0</v>
      </c>
      <c r="BP74" s="105"/>
      <c r="BQ74" s="105"/>
      <c r="BR74" s="105"/>
      <c r="BS74" s="71" t="e">
        <f t="shared" si="39"/>
        <v>#DIV/0!</v>
      </c>
      <c r="BT74" s="71" t="e">
        <f t="shared" si="40"/>
        <v>#DIV/0!</v>
      </c>
      <c r="BU74" s="71">
        <f t="shared" si="41"/>
        <v>0</v>
      </c>
      <c r="BV74" s="15">
        <f t="shared" si="34"/>
        <v>1</v>
      </c>
      <c r="BW74" s="15" t="str">
        <f t="shared" si="35"/>
        <v>тўғри</v>
      </c>
      <c r="BX74" s="71">
        <f t="shared" si="36"/>
        <v>0</v>
      </c>
      <c r="BY74" s="15">
        <f t="shared" si="37"/>
        <v>1</v>
      </c>
      <c r="BZ74" s="15" t="str">
        <f t="shared" si="38"/>
        <v>тўғри</v>
      </c>
    </row>
    <row r="75" spans="1:78" ht="14.25" customHeight="1" x14ac:dyDescent="0.25">
      <c r="A75" s="71">
        <v>2</v>
      </c>
      <c r="B75" s="104" t="s">
        <v>217</v>
      </c>
      <c r="C75" s="104"/>
      <c r="D75" s="149" t="s">
        <v>139</v>
      </c>
      <c r="E75" s="149"/>
      <c r="F75" s="149"/>
      <c r="G75" s="149"/>
      <c r="H75" s="149"/>
      <c r="I75" s="149"/>
      <c r="J75" s="149"/>
      <c r="K75" s="149"/>
      <c r="L75" s="149"/>
      <c r="M75" s="149"/>
      <c r="N75" s="149"/>
      <c r="O75" s="150"/>
      <c r="P75" s="144"/>
      <c r="Q75" s="106"/>
      <c r="R75" s="106"/>
      <c r="S75" s="131"/>
      <c r="T75" s="131"/>
      <c r="U75" s="151"/>
      <c r="V75" s="152"/>
      <c r="W75" s="106"/>
      <c r="X75" s="106"/>
      <c r="Y75" s="104"/>
      <c r="Z75" s="104"/>
      <c r="AA75" s="104"/>
      <c r="AB75" s="104"/>
      <c r="AC75" s="104"/>
      <c r="AD75" s="104"/>
      <c r="AE75" s="104"/>
      <c r="AF75" s="104"/>
      <c r="AG75" s="104"/>
      <c r="AH75" s="104"/>
      <c r="AI75" s="104"/>
      <c r="AJ75" s="104"/>
      <c r="AK75" s="106"/>
      <c r="AL75" s="106"/>
      <c r="AM75" s="106"/>
      <c r="AN75" s="104"/>
      <c r="AO75" s="104"/>
      <c r="AP75" s="145"/>
      <c r="AQ75" s="146"/>
      <c r="AR75" s="104"/>
      <c r="AS75" s="104"/>
      <c r="AT75" s="104"/>
      <c r="AU75" s="104"/>
      <c r="AV75" s="104"/>
      <c r="AW75" s="104"/>
      <c r="AX75" s="104"/>
      <c r="AY75" s="104"/>
      <c r="AZ75" s="104"/>
      <c r="BA75" s="104"/>
      <c r="BB75" s="145"/>
      <c r="BC75" s="146"/>
      <c r="BD75" s="104"/>
      <c r="BE75" s="104"/>
      <c r="BF75" s="104"/>
      <c r="BG75" s="104"/>
      <c r="BH75" s="104"/>
      <c r="BI75" s="104"/>
      <c r="BJ75" s="104"/>
      <c r="BK75" s="104"/>
      <c r="BL75" s="104"/>
      <c r="BM75" s="104"/>
      <c r="BN75" s="145"/>
      <c r="BO75" s="148">
        <f t="shared" si="30"/>
        <v>0</v>
      </c>
      <c r="BP75" s="105"/>
      <c r="BQ75" s="105"/>
      <c r="BR75" s="105"/>
      <c r="BS75" s="71" t="e">
        <f t="shared" si="39"/>
        <v>#DIV/0!</v>
      </c>
      <c r="BT75" s="71" t="e">
        <f t="shared" si="40"/>
        <v>#DIV/0!</v>
      </c>
      <c r="BU75" s="71">
        <f t="shared" si="41"/>
        <v>0</v>
      </c>
      <c r="BV75" s="15">
        <f t="shared" si="34"/>
        <v>1</v>
      </c>
      <c r="BW75" s="15" t="str">
        <f t="shared" si="35"/>
        <v>тўғри</v>
      </c>
      <c r="BX75" s="71">
        <f t="shared" si="36"/>
        <v>0</v>
      </c>
      <c r="BY75" s="15">
        <f t="shared" si="37"/>
        <v>1</v>
      </c>
      <c r="BZ75" s="15" t="str">
        <f t="shared" si="38"/>
        <v>тўғри</v>
      </c>
    </row>
    <row r="76" spans="1:78" ht="14.25" customHeight="1" x14ac:dyDescent="0.25">
      <c r="A76" s="85" t="s">
        <v>12</v>
      </c>
      <c r="B76" s="104"/>
      <c r="C76" s="104"/>
      <c r="D76" s="178" t="s">
        <v>131</v>
      </c>
      <c r="E76" s="178"/>
      <c r="F76" s="178"/>
      <c r="G76" s="178"/>
      <c r="H76" s="178"/>
      <c r="I76" s="178"/>
      <c r="J76" s="178"/>
      <c r="K76" s="178"/>
      <c r="L76" s="178"/>
      <c r="M76" s="178"/>
      <c r="N76" s="178"/>
      <c r="O76" s="179"/>
      <c r="P76" s="144">
        <f>SUM(V76+AN76)</f>
        <v>90</v>
      </c>
      <c r="Q76" s="106"/>
      <c r="R76" s="106"/>
      <c r="S76" s="131"/>
      <c r="T76" s="131"/>
      <c r="U76" s="151"/>
      <c r="V76" s="152">
        <f t="shared" ref="V76" si="44">SUM(AQ76+AT76+AW76+AZ76)*15</f>
        <v>30</v>
      </c>
      <c r="W76" s="106"/>
      <c r="X76" s="106"/>
      <c r="Y76" s="104">
        <v>10</v>
      </c>
      <c r="Z76" s="104"/>
      <c r="AA76" s="104"/>
      <c r="AB76" s="104">
        <v>10</v>
      </c>
      <c r="AC76" s="104"/>
      <c r="AD76" s="104"/>
      <c r="AE76" s="104"/>
      <c r="AF76" s="104"/>
      <c r="AG76" s="104"/>
      <c r="AH76" s="104">
        <v>10</v>
      </c>
      <c r="AI76" s="104"/>
      <c r="AJ76" s="104"/>
      <c r="AK76" s="106"/>
      <c r="AL76" s="106"/>
      <c r="AM76" s="106"/>
      <c r="AN76" s="104">
        <v>60</v>
      </c>
      <c r="AO76" s="104"/>
      <c r="AP76" s="145"/>
      <c r="AQ76" s="146"/>
      <c r="AR76" s="104"/>
      <c r="AS76" s="104"/>
      <c r="AT76" s="104"/>
      <c r="AU76" s="104"/>
      <c r="AV76" s="104"/>
      <c r="AW76" s="104">
        <v>2</v>
      </c>
      <c r="AX76" s="104"/>
      <c r="AY76" s="104"/>
      <c r="AZ76" s="104"/>
      <c r="BA76" s="104"/>
      <c r="BB76" s="145"/>
      <c r="BC76" s="146"/>
      <c r="BD76" s="104"/>
      <c r="BE76" s="104"/>
      <c r="BF76" s="104"/>
      <c r="BG76" s="104"/>
      <c r="BH76" s="104"/>
      <c r="BI76" s="104">
        <v>3</v>
      </c>
      <c r="BJ76" s="104"/>
      <c r="BK76" s="104"/>
      <c r="BL76" s="104"/>
      <c r="BM76" s="104"/>
      <c r="BN76" s="145"/>
      <c r="BO76" s="148">
        <f t="shared" si="30"/>
        <v>3</v>
      </c>
      <c r="BP76" s="105"/>
      <c r="BQ76" s="105"/>
      <c r="BR76" s="105"/>
      <c r="BS76" s="71">
        <f t="shared" si="39"/>
        <v>33.333333333333329</v>
      </c>
      <c r="BT76" s="71">
        <f t="shared" si="40"/>
        <v>66.666666666666657</v>
      </c>
      <c r="BU76" s="71">
        <f t="shared" si="41"/>
        <v>30</v>
      </c>
      <c r="BV76" s="15">
        <f t="shared" si="34"/>
        <v>1</v>
      </c>
      <c r="BW76" s="15" t="str">
        <f t="shared" si="35"/>
        <v>тўғри</v>
      </c>
      <c r="BX76" s="71">
        <f t="shared" si="36"/>
        <v>3</v>
      </c>
      <c r="BY76" s="15">
        <f t="shared" si="37"/>
        <v>1</v>
      </c>
      <c r="BZ76" s="15" t="str">
        <f t="shared" si="38"/>
        <v>тўғри</v>
      </c>
    </row>
    <row r="77" spans="1:78" ht="14.25" customHeight="1" x14ac:dyDescent="0.25">
      <c r="A77" s="71">
        <v>1</v>
      </c>
      <c r="B77" s="104" t="s">
        <v>32</v>
      </c>
      <c r="C77" s="104"/>
      <c r="D77" s="149" t="s">
        <v>247</v>
      </c>
      <c r="E77" s="149"/>
      <c r="F77" s="149"/>
      <c r="G77" s="149"/>
      <c r="H77" s="149"/>
      <c r="I77" s="149"/>
      <c r="J77" s="149"/>
      <c r="K77" s="149"/>
      <c r="L77" s="149"/>
      <c r="M77" s="149"/>
      <c r="N77" s="149"/>
      <c r="O77" s="150"/>
      <c r="P77" s="144"/>
      <c r="Q77" s="106"/>
      <c r="R77" s="106"/>
      <c r="S77" s="131"/>
      <c r="T77" s="131"/>
      <c r="U77" s="151"/>
      <c r="V77" s="152"/>
      <c r="W77" s="106"/>
      <c r="X77" s="106"/>
      <c r="Y77" s="104"/>
      <c r="Z77" s="104"/>
      <c r="AA77" s="104"/>
      <c r="AB77" s="104"/>
      <c r="AC77" s="104"/>
      <c r="AD77" s="104"/>
      <c r="AE77" s="104"/>
      <c r="AF77" s="104"/>
      <c r="AG77" s="104"/>
      <c r="AH77" s="104"/>
      <c r="AI77" s="104"/>
      <c r="AJ77" s="104"/>
      <c r="AK77" s="106"/>
      <c r="AL77" s="106"/>
      <c r="AM77" s="106"/>
      <c r="AN77" s="104"/>
      <c r="AO77" s="104"/>
      <c r="AP77" s="145"/>
      <c r="AQ77" s="146"/>
      <c r="AR77" s="104"/>
      <c r="AS77" s="104"/>
      <c r="AT77" s="104"/>
      <c r="AU77" s="104"/>
      <c r="AV77" s="104"/>
      <c r="AW77" s="104"/>
      <c r="AX77" s="104"/>
      <c r="AY77" s="104"/>
      <c r="AZ77" s="104"/>
      <c r="BA77" s="104"/>
      <c r="BB77" s="145"/>
      <c r="BC77" s="146"/>
      <c r="BD77" s="104"/>
      <c r="BE77" s="104"/>
      <c r="BF77" s="104"/>
      <c r="BG77" s="104"/>
      <c r="BH77" s="104"/>
      <c r="BI77" s="104"/>
      <c r="BJ77" s="104"/>
      <c r="BK77" s="104"/>
      <c r="BL77" s="104"/>
      <c r="BM77" s="104"/>
      <c r="BN77" s="145"/>
      <c r="BO77" s="148">
        <f t="shared" si="30"/>
        <v>0</v>
      </c>
      <c r="BP77" s="105"/>
      <c r="BQ77" s="105"/>
      <c r="BR77" s="105"/>
      <c r="BS77" s="71" t="e">
        <f t="shared" si="39"/>
        <v>#DIV/0!</v>
      </c>
      <c r="BT77" s="71" t="e">
        <f t="shared" si="40"/>
        <v>#DIV/0!</v>
      </c>
      <c r="BU77" s="71">
        <f t="shared" si="41"/>
        <v>0</v>
      </c>
      <c r="BV77" s="15">
        <f t="shared" si="34"/>
        <v>1</v>
      </c>
      <c r="BW77" s="15" t="str">
        <f t="shared" si="35"/>
        <v>тўғри</v>
      </c>
      <c r="BX77" s="71">
        <f t="shared" si="36"/>
        <v>0</v>
      </c>
      <c r="BY77" s="15">
        <f t="shared" si="37"/>
        <v>1</v>
      </c>
      <c r="BZ77" s="15" t="str">
        <f t="shared" si="38"/>
        <v>тўғри</v>
      </c>
    </row>
    <row r="78" spans="1:78" ht="14.25" customHeight="1" x14ac:dyDescent="0.25">
      <c r="A78" s="71">
        <v>2</v>
      </c>
      <c r="B78" s="104" t="s">
        <v>33</v>
      </c>
      <c r="C78" s="104"/>
      <c r="D78" s="149" t="s">
        <v>140</v>
      </c>
      <c r="E78" s="149"/>
      <c r="F78" s="149"/>
      <c r="G78" s="149"/>
      <c r="H78" s="149"/>
      <c r="I78" s="149"/>
      <c r="J78" s="149"/>
      <c r="K78" s="149"/>
      <c r="L78" s="149"/>
      <c r="M78" s="149"/>
      <c r="N78" s="149"/>
      <c r="O78" s="150"/>
      <c r="P78" s="144"/>
      <c r="Q78" s="106"/>
      <c r="R78" s="106"/>
      <c r="S78" s="131"/>
      <c r="T78" s="131"/>
      <c r="U78" s="151"/>
      <c r="V78" s="152"/>
      <c r="W78" s="106"/>
      <c r="X78" s="106"/>
      <c r="Y78" s="104"/>
      <c r="Z78" s="104"/>
      <c r="AA78" s="104"/>
      <c r="AB78" s="104"/>
      <c r="AC78" s="104"/>
      <c r="AD78" s="104"/>
      <c r="AE78" s="104"/>
      <c r="AF78" s="104"/>
      <c r="AG78" s="104"/>
      <c r="AH78" s="104"/>
      <c r="AI78" s="104"/>
      <c r="AJ78" s="104"/>
      <c r="AK78" s="106"/>
      <c r="AL78" s="106"/>
      <c r="AM78" s="106"/>
      <c r="AN78" s="104"/>
      <c r="AO78" s="104"/>
      <c r="AP78" s="145"/>
      <c r="AQ78" s="146"/>
      <c r="AR78" s="104"/>
      <c r="AS78" s="104"/>
      <c r="AT78" s="104"/>
      <c r="AU78" s="104"/>
      <c r="AV78" s="104"/>
      <c r="AW78" s="104"/>
      <c r="AX78" s="104"/>
      <c r="AY78" s="104"/>
      <c r="AZ78" s="104"/>
      <c r="BA78" s="104"/>
      <c r="BB78" s="145"/>
      <c r="BC78" s="146"/>
      <c r="BD78" s="104"/>
      <c r="BE78" s="104"/>
      <c r="BF78" s="104"/>
      <c r="BG78" s="104"/>
      <c r="BH78" s="104"/>
      <c r="BI78" s="104"/>
      <c r="BJ78" s="104"/>
      <c r="BK78" s="104"/>
      <c r="BL78" s="104"/>
      <c r="BM78" s="104"/>
      <c r="BN78" s="145"/>
      <c r="BO78" s="148">
        <f t="shared" si="30"/>
        <v>0</v>
      </c>
      <c r="BP78" s="105"/>
      <c r="BQ78" s="105"/>
      <c r="BR78" s="105"/>
      <c r="BS78" s="71" t="e">
        <f t="shared" si="39"/>
        <v>#DIV/0!</v>
      </c>
      <c r="BT78" s="71" t="e">
        <f t="shared" si="40"/>
        <v>#DIV/0!</v>
      </c>
      <c r="BU78" s="71">
        <f t="shared" si="41"/>
        <v>0</v>
      </c>
      <c r="BV78" s="15">
        <f t="shared" si="34"/>
        <v>1</v>
      </c>
      <c r="BW78" s="15" t="str">
        <f t="shared" si="35"/>
        <v>тўғри</v>
      </c>
      <c r="BX78" s="71">
        <f t="shared" si="36"/>
        <v>0</v>
      </c>
      <c r="BY78" s="15">
        <f t="shared" si="37"/>
        <v>1</v>
      </c>
      <c r="BZ78" s="15" t="str">
        <f t="shared" si="38"/>
        <v>тўғри</v>
      </c>
    </row>
    <row r="79" spans="1:78" ht="14.25" customHeight="1" x14ac:dyDescent="0.25">
      <c r="A79" s="71"/>
      <c r="B79" s="104"/>
      <c r="C79" s="104"/>
      <c r="D79" s="184" t="s">
        <v>133</v>
      </c>
      <c r="E79" s="184"/>
      <c r="F79" s="184"/>
      <c r="G79" s="184"/>
      <c r="H79" s="184"/>
      <c r="I79" s="184"/>
      <c r="J79" s="184"/>
      <c r="K79" s="184"/>
      <c r="L79" s="184"/>
      <c r="M79" s="184"/>
      <c r="N79" s="184"/>
      <c r="O79" s="185"/>
      <c r="P79" s="144">
        <f>SUM(V79+AN79)</f>
        <v>1800</v>
      </c>
      <c r="Q79" s="106"/>
      <c r="R79" s="106"/>
      <c r="S79" s="131">
        <f>P79/3600*100</f>
        <v>50</v>
      </c>
      <c r="T79" s="131"/>
      <c r="U79" s="151"/>
      <c r="V79" s="152">
        <f t="shared" ref="V79" si="45">SUM(AQ79+AT79+AW79+AZ79)*15</f>
        <v>690</v>
      </c>
      <c r="W79" s="106"/>
      <c r="X79" s="106"/>
      <c r="Y79" s="106">
        <f>SUM(Y69+Y57)</f>
        <v>120</v>
      </c>
      <c r="Z79" s="106"/>
      <c r="AA79" s="106"/>
      <c r="AB79" s="106">
        <f>SUM(AB69+AB57)</f>
        <v>326</v>
      </c>
      <c r="AC79" s="106"/>
      <c r="AD79" s="106"/>
      <c r="AE79" s="106">
        <f>SUM(AE69+AE57)</f>
        <v>180</v>
      </c>
      <c r="AF79" s="106"/>
      <c r="AG79" s="106"/>
      <c r="AH79" s="106">
        <f>SUM(AH69+AH57)</f>
        <v>64</v>
      </c>
      <c r="AI79" s="106"/>
      <c r="AJ79" s="106"/>
      <c r="AK79" s="106"/>
      <c r="AL79" s="106"/>
      <c r="AM79" s="106"/>
      <c r="AN79" s="106">
        <f>SUM(AN69+AN57)</f>
        <v>1110</v>
      </c>
      <c r="AO79" s="106"/>
      <c r="AP79" s="147"/>
      <c r="AQ79" s="144">
        <f>SUM(AQ69+AQ57)</f>
        <v>18</v>
      </c>
      <c r="AR79" s="106"/>
      <c r="AS79" s="106"/>
      <c r="AT79" s="106">
        <f>SUM(AT69+AT57)</f>
        <v>10</v>
      </c>
      <c r="AU79" s="106"/>
      <c r="AV79" s="106"/>
      <c r="AW79" s="106">
        <f>SUM(AW69+AW57)</f>
        <v>12</v>
      </c>
      <c r="AX79" s="106"/>
      <c r="AY79" s="106"/>
      <c r="AZ79" s="106">
        <f>SUM(AZ69+AZ57)</f>
        <v>6</v>
      </c>
      <c r="BA79" s="106"/>
      <c r="BB79" s="147"/>
      <c r="BC79" s="144">
        <f>SUM(BC69+BC57)</f>
        <v>24</v>
      </c>
      <c r="BD79" s="106"/>
      <c r="BE79" s="106"/>
      <c r="BF79" s="106">
        <f>SUM(BF69+BF57)</f>
        <v>13</v>
      </c>
      <c r="BG79" s="106"/>
      <c r="BH79" s="106"/>
      <c r="BI79" s="106">
        <f>SUM(BI69+BI57)</f>
        <v>15</v>
      </c>
      <c r="BJ79" s="106"/>
      <c r="BK79" s="106"/>
      <c r="BL79" s="106">
        <f>SUM(BL69+BL57)</f>
        <v>8</v>
      </c>
      <c r="BM79" s="106"/>
      <c r="BN79" s="147"/>
      <c r="BO79" s="148">
        <f>SUM(P79/30)</f>
        <v>60</v>
      </c>
      <c r="BP79" s="105"/>
      <c r="BQ79" s="105"/>
      <c r="BR79" s="105"/>
      <c r="BS79" s="71">
        <f t="shared" si="31"/>
        <v>38.333333333333336</v>
      </c>
      <c r="BT79" s="71">
        <f t="shared" si="32"/>
        <v>61.666666666666671</v>
      </c>
      <c r="BU79" s="71">
        <f t="shared" si="33"/>
        <v>690</v>
      </c>
      <c r="BV79" s="15">
        <f t="shared" si="34"/>
        <v>1</v>
      </c>
      <c r="BW79" s="15" t="str">
        <f t="shared" si="35"/>
        <v>тўғри</v>
      </c>
      <c r="BX79" s="71">
        <f t="shared" si="36"/>
        <v>60</v>
      </c>
      <c r="BY79" s="15">
        <f t="shared" si="37"/>
        <v>1</v>
      </c>
      <c r="BZ79" s="15" t="str">
        <f>IF(BY79=1,"тўғри","хато")</f>
        <v>тўғри</v>
      </c>
    </row>
    <row r="80" spans="1:78" ht="14.25" customHeight="1" x14ac:dyDescent="0.25">
      <c r="A80" s="72" t="s">
        <v>49</v>
      </c>
      <c r="B80" s="104"/>
      <c r="C80" s="104"/>
      <c r="D80" s="182" t="s">
        <v>132</v>
      </c>
      <c r="E80" s="182"/>
      <c r="F80" s="182"/>
      <c r="G80" s="182"/>
      <c r="H80" s="182"/>
      <c r="I80" s="182"/>
      <c r="J80" s="182"/>
      <c r="K80" s="182"/>
      <c r="L80" s="182"/>
      <c r="M80" s="182"/>
      <c r="N80" s="182"/>
      <c r="O80" s="183"/>
      <c r="P80" s="144">
        <f>SUM(V80+AN80)</f>
        <v>1800</v>
      </c>
      <c r="Q80" s="106"/>
      <c r="R80" s="106"/>
      <c r="S80" s="131">
        <f>P80/3600*100</f>
        <v>50</v>
      </c>
      <c r="T80" s="131"/>
      <c r="U80" s="151"/>
      <c r="V80" s="152">
        <f>SUM(V81:X83)</f>
        <v>750</v>
      </c>
      <c r="W80" s="106"/>
      <c r="X80" s="106"/>
      <c r="Y80" s="106"/>
      <c r="Z80" s="106"/>
      <c r="AA80" s="106"/>
      <c r="AB80" s="106"/>
      <c r="AC80" s="106"/>
      <c r="AD80" s="106"/>
      <c r="AE80" s="106"/>
      <c r="AF80" s="106"/>
      <c r="AG80" s="106"/>
      <c r="AH80" s="106"/>
      <c r="AI80" s="106"/>
      <c r="AJ80" s="106"/>
      <c r="AK80" s="106"/>
      <c r="AL80" s="106"/>
      <c r="AM80" s="106"/>
      <c r="AN80" s="106">
        <f>SUM(AN81:AP83)</f>
        <v>1050</v>
      </c>
      <c r="AO80" s="106"/>
      <c r="AP80" s="147"/>
      <c r="AQ80" s="144">
        <f>SUM(AQ81:AS83)</f>
        <v>6</v>
      </c>
      <c r="AR80" s="106"/>
      <c r="AS80" s="106"/>
      <c r="AT80" s="106">
        <f>SUM(AT81:AV83)</f>
        <v>14</v>
      </c>
      <c r="AU80" s="106"/>
      <c r="AV80" s="106"/>
      <c r="AW80" s="106">
        <f>SUM(AW81:AY83)</f>
        <v>12</v>
      </c>
      <c r="AX80" s="106"/>
      <c r="AY80" s="106"/>
      <c r="AZ80" s="106">
        <f>SUM(AZ81:BB83)</f>
        <v>18</v>
      </c>
      <c r="BA80" s="106"/>
      <c r="BB80" s="147"/>
      <c r="BC80" s="144">
        <f>SUM(BC81:BE83)</f>
        <v>6</v>
      </c>
      <c r="BD80" s="106"/>
      <c r="BE80" s="106"/>
      <c r="BF80" s="106">
        <f>SUM(BF81:BH83)</f>
        <v>17</v>
      </c>
      <c r="BG80" s="106"/>
      <c r="BH80" s="106"/>
      <c r="BI80" s="106">
        <f>SUM(BI81:BK83)</f>
        <v>15</v>
      </c>
      <c r="BJ80" s="106"/>
      <c r="BK80" s="106"/>
      <c r="BL80" s="106">
        <f>SUM(BL81:BN83)</f>
        <v>22</v>
      </c>
      <c r="BM80" s="106"/>
      <c r="BN80" s="147"/>
      <c r="BO80" s="148">
        <f>SUM(P80/30)</f>
        <v>60</v>
      </c>
      <c r="BP80" s="105"/>
      <c r="BQ80" s="105"/>
      <c r="BR80" s="105"/>
      <c r="BS80" s="71">
        <f t="shared" si="31"/>
        <v>41.666666666666671</v>
      </c>
      <c r="BT80" s="71">
        <f t="shared" si="32"/>
        <v>58.333333333333336</v>
      </c>
      <c r="BU80" s="71"/>
      <c r="BV80" s="15"/>
      <c r="BW80" s="15"/>
      <c r="BX80" s="71">
        <f>SUM(BC80:BN80)</f>
        <v>60</v>
      </c>
      <c r="BY80" s="15">
        <f t="shared" si="37"/>
        <v>1</v>
      </c>
      <c r="BZ80" s="15" t="str">
        <f t="shared" ref="BZ80:BZ82" si="46">IF(BY80=1,"тўғри","хато")</f>
        <v>тўғри</v>
      </c>
    </row>
    <row r="81" spans="1:78" ht="28.5" customHeight="1" x14ac:dyDescent="0.25">
      <c r="A81" s="14" t="s">
        <v>50</v>
      </c>
      <c r="B81" s="104"/>
      <c r="C81" s="104"/>
      <c r="D81" s="180" t="s">
        <v>99</v>
      </c>
      <c r="E81" s="180"/>
      <c r="F81" s="180"/>
      <c r="G81" s="180"/>
      <c r="H81" s="180"/>
      <c r="I81" s="180"/>
      <c r="J81" s="180"/>
      <c r="K81" s="180"/>
      <c r="L81" s="180"/>
      <c r="M81" s="180"/>
      <c r="N81" s="180"/>
      <c r="O81" s="181"/>
      <c r="P81" s="144">
        <f>SUM(V81+AN81)</f>
        <v>1080</v>
      </c>
      <c r="Q81" s="106"/>
      <c r="R81" s="106"/>
      <c r="S81" s="106"/>
      <c r="T81" s="106"/>
      <c r="U81" s="147"/>
      <c r="V81" s="152">
        <f t="shared" ref="V81:V83" si="47">SUM(AQ81+AT81+AW81+AZ81)*15</f>
        <v>480</v>
      </c>
      <c r="W81" s="106"/>
      <c r="X81" s="106"/>
      <c r="Y81" s="106"/>
      <c r="Z81" s="106"/>
      <c r="AA81" s="106"/>
      <c r="AB81" s="106"/>
      <c r="AC81" s="106"/>
      <c r="AD81" s="106"/>
      <c r="AE81" s="106"/>
      <c r="AF81" s="106"/>
      <c r="AG81" s="106"/>
      <c r="AH81" s="106"/>
      <c r="AI81" s="106"/>
      <c r="AJ81" s="106"/>
      <c r="AK81" s="106"/>
      <c r="AL81" s="106"/>
      <c r="AM81" s="106"/>
      <c r="AN81" s="104">
        <v>600</v>
      </c>
      <c r="AO81" s="104"/>
      <c r="AP81" s="145"/>
      <c r="AQ81" s="146">
        <v>4</v>
      </c>
      <c r="AR81" s="104"/>
      <c r="AS81" s="104"/>
      <c r="AT81" s="104">
        <v>6</v>
      </c>
      <c r="AU81" s="104"/>
      <c r="AV81" s="104"/>
      <c r="AW81" s="104">
        <v>10</v>
      </c>
      <c r="AX81" s="104"/>
      <c r="AY81" s="104"/>
      <c r="AZ81" s="104">
        <v>12</v>
      </c>
      <c r="BA81" s="104"/>
      <c r="BB81" s="145"/>
      <c r="BC81" s="146">
        <v>4</v>
      </c>
      <c r="BD81" s="104"/>
      <c r="BE81" s="104"/>
      <c r="BF81" s="104">
        <v>6</v>
      </c>
      <c r="BG81" s="104"/>
      <c r="BH81" s="104"/>
      <c r="BI81" s="104">
        <v>12</v>
      </c>
      <c r="BJ81" s="104"/>
      <c r="BK81" s="104"/>
      <c r="BL81" s="104">
        <v>14</v>
      </c>
      <c r="BM81" s="104"/>
      <c r="BN81" s="145"/>
      <c r="BO81" s="148">
        <f t="shared" ref="BO81:BO83" si="48">SUM(P81/30)</f>
        <v>36</v>
      </c>
      <c r="BP81" s="105"/>
      <c r="BQ81" s="105"/>
      <c r="BR81" s="105"/>
      <c r="BS81" s="71">
        <f t="shared" ref="BS81:BS83" si="49">SUM(V81/P81)*100</f>
        <v>44.444444444444443</v>
      </c>
      <c r="BT81" s="71">
        <f t="shared" ref="BT81:BT83" si="50">SUM(AN81/P81)*100</f>
        <v>55.555555555555557</v>
      </c>
      <c r="BU81" s="71"/>
      <c r="BV81" s="15"/>
      <c r="BW81" s="15" t="str">
        <f>IF(BV81=1,"тўғри","хато")</f>
        <v>хато</v>
      </c>
      <c r="BX81" s="71">
        <f>SUM(BC81:BN81)</f>
        <v>36</v>
      </c>
      <c r="BY81" s="15">
        <f t="shared" si="37"/>
        <v>1</v>
      </c>
      <c r="BZ81" s="15" t="str">
        <f t="shared" si="46"/>
        <v>тўғри</v>
      </c>
    </row>
    <row r="82" spans="1:78" ht="14.25" customHeight="1" x14ac:dyDescent="0.25">
      <c r="A82" s="14" t="s">
        <v>51</v>
      </c>
      <c r="B82" s="104"/>
      <c r="C82" s="104"/>
      <c r="D82" s="149" t="s">
        <v>134</v>
      </c>
      <c r="E82" s="149"/>
      <c r="F82" s="149"/>
      <c r="G82" s="149"/>
      <c r="H82" s="149"/>
      <c r="I82" s="149"/>
      <c r="J82" s="149"/>
      <c r="K82" s="149"/>
      <c r="L82" s="149"/>
      <c r="M82" s="149"/>
      <c r="N82" s="149"/>
      <c r="O82" s="150"/>
      <c r="P82" s="144">
        <f t="shared" ref="P82:P83" si="51">SUM(V82+AN82)</f>
        <v>240</v>
      </c>
      <c r="Q82" s="106"/>
      <c r="R82" s="106"/>
      <c r="S82" s="106"/>
      <c r="T82" s="106"/>
      <c r="U82" s="147"/>
      <c r="V82" s="152">
        <f t="shared" si="47"/>
        <v>90</v>
      </c>
      <c r="W82" s="106"/>
      <c r="X82" s="106"/>
      <c r="Y82" s="106"/>
      <c r="Z82" s="106"/>
      <c r="AA82" s="106"/>
      <c r="AB82" s="106"/>
      <c r="AC82" s="106"/>
      <c r="AD82" s="106"/>
      <c r="AE82" s="106"/>
      <c r="AF82" s="106"/>
      <c r="AG82" s="106"/>
      <c r="AH82" s="106"/>
      <c r="AI82" s="106"/>
      <c r="AJ82" s="106"/>
      <c r="AK82" s="106"/>
      <c r="AL82" s="106"/>
      <c r="AM82" s="106"/>
      <c r="AN82" s="104">
        <v>150</v>
      </c>
      <c r="AO82" s="104"/>
      <c r="AP82" s="145"/>
      <c r="AQ82" s="146">
        <v>2</v>
      </c>
      <c r="AR82" s="104"/>
      <c r="AS82" s="104"/>
      <c r="AT82" s="104">
        <v>2</v>
      </c>
      <c r="AU82" s="104"/>
      <c r="AV82" s="104"/>
      <c r="AW82" s="104">
        <v>2</v>
      </c>
      <c r="AX82" s="104"/>
      <c r="AY82" s="104"/>
      <c r="AZ82" s="104"/>
      <c r="BA82" s="104"/>
      <c r="BB82" s="145"/>
      <c r="BC82" s="146">
        <v>2</v>
      </c>
      <c r="BD82" s="104"/>
      <c r="BE82" s="104"/>
      <c r="BF82" s="104">
        <v>3</v>
      </c>
      <c r="BG82" s="104"/>
      <c r="BH82" s="104"/>
      <c r="BI82" s="104">
        <v>3</v>
      </c>
      <c r="BJ82" s="104"/>
      <c r="BK82" s="104"/>
      <c r="BL82" s="104"/>
      <c r="BM82" s="104"/>
      <c r="BN82" s="145"/>
      <c r="BO82" s="148">
        <f t="shared" si="48"/>
        <v>8</v>
      </c>
      <c r="BP82" s="105"/>
      <c r="BQ82" s="105"/>
      <c r="BR82" s="105"/>
      <c r="BS82" s="71">
        <f t="shared" si="49"/>
        <v>37.5</v>
      </c>
      <c r="BT82" s="71">
        <f t="shared" si="50"/>
        <v>62.5</v>
      </c>
      <c r="BU82" s="71"/>
      <c r="BV82" s="15"/>
      <c r="BW82" s="15" t="str">
        <f t="shared" ref="BW82:BW83" si="52">IF(BV82=1,"тўғри","хато")</f>
        <v>хато</v>
      </c>
      <c r="BX82" s="71">
        <f t="shared" ref="BX82:BX83" si="53">SUM(BC82:BN82)</f>
        <v>8</v>
      </c>
      <c r="BY82" s="15">
        <f t="shared" si="37"/>
        <v>1</v>
      </c>
      <c r="BZ82" s="15" t="str">
        <f t="shared" si="46"/>
        <v>тўғри</v>
      </c>
    </row>
    <row r="83" spans="1:78" ht="14.25" customHeight="1" x14ac:dyDescent="0.25">
      <c r="A83" s="14" t="s">
        <v>52</v>
      </c>
      <c r="B83" s="104"/>
      <c r="C83" s="104"/>
      <c r="D83" s="149" t="s">
        <v>135</v>
      </c>
      <c r="E83" s="149"/>
      <c r="F83" s="149"/>
      <c r="G83" s="149"/>
      <c r="H83" s="149"/>
      <c r="I83" s="149"/>
      <c r="J83" s="149"/>
      <c r="K83" s="149"/>
      <c r="L83" s="149"/>
      <c r="M83" s="149"/>
      <c r="N83" s="149"/>
      <c r="O83" s="150"/>
      <c r="P83" s="144">
        <f t="shared" si="51"/>
        <v>480</v>
      </c>
      <c r="Q83" s="106"/>
      <c r="R83" s="106"/>
      <c r="S83" s="106"/>
      <c r="T83" s="106"/>
      <c r="U83" s="147"/>
      <c r="V83" s="152">
        <f t="shared" si="47"/>
        <v>180</v>
      </c>
      <c r="W83" s="106"/>
      <c r="X83" s="106"/>
      <c r="Y83" s="106"/>
      <c r="Z83" s="106"/>
      <c r="AA83" s="106"/>
      <c r="AB83" s="106"/>
      <c r="AC83" s="106"/>
      <c r="AD83" s="106"/>
      <c r="AE83" s="106"/>
      <c r="AF83" s="106"/>
      <c r="AG83" s="106"/>
      <c r="AH83" s="106"/>
      <c r="AI83" s="106"/>
      <c r="AJ83" s="106"/>
      <c r="AK83" s="106"/>
      <c r="AL83" s="106"/>
      <c r="AM83" s="106"/>
      <c r="AN83" s="104">
        <v>300</v>
      </c>
      <c r="AO83" s="104"/>
      <c r="AP83" s="145"/>
      <c r="AQ83" s="146"/>
      <c r="AR83" s="104"/>
      <c r="AS83" s="104"/>
      <c r="AT83" s="104">
        <v>6</v>
      </c>
      <c r="AU83" s="104"/>
      <c r="AV83" s="104"/>
      <c r="AW83" s="104"/>
      <c r="AX83" s="104"/>
      <c r="AY83" s="104"/>
      <c r="AZ83" s="104">
        <v>6</v>
      </c>
      <c r="BA83" s="104"/>
      <c r="BB83" s="145"/>
      <c r="BC83" s="146"/>
      <c r="BD83" s="104"/>
      <c r="BE83" s="104"/>
      <c r="BF83" s="104">
        <v>8</v>
      </c>
      <c r="BG83" s="104"/>
      <c r="BH83" s="104"/>
      <c r="BI83" s="104"/>
      <c r="BJ83" s="104"/>
      <c r="BK83" s="104"/>
      <c r="BL83" s="104">
        <v>8</v>
      </c>
      <c r="BM83" s="104"/>
      <c r="BN83" s="145"/>
      <c r="BO83" s="148">
        <f t="shared" si="48"/>
        <v>16</v>
      </c>
      <c r="BP83" s="105"/>
      <c r="BQ83" s="105"/>
      <c r="BR83" s="105"/>
      <c r="BS83" s="71">
        <f t="shared" si="49"/>
        <v>37.5</v>
      </c>
      <c r="BT83" s="71">
        <f t="shared" si="50"/>
        <v>62.5</v>
      </c>
      <c r="BU83" s="71"/>
      <c r="BV83" s="15"/>
      <c r="BW83" s="15" t="str">
        <f t="shared" si="52"/>
        <v>хато</v>
      </c>
      <c r="BX83" s="71">
        <f t="shared" si="53"/>
        <v>16</v>
      </c>
      <c r="BY83" s="15">
        <f t="shared" si="37"/>
        <v>1</v>
      </c>
      <c r="BZ83" s="15" t="str">
        <f>IF(BY83=1,"тўғри","хато")</f>
        <v>тўғри</v>
      </c>
    </row>
    <row r="84" spans="1:78" ht="14.25" customHeight="1" x14ac:dyDescent="0.25">
      <c r="A84" s="71"/>
      <c r="B84" s="130"/>
      <c r="C84" s="130"/>
      <c r="D84" s="184" t="s">
        <v>133</v>
      </c>
      <c r="E84" s="184"/>
      <c r="F84" s="184"/>
      <c r="G84" s="184"/>
      <c r="H84" s="184"/>
      <c r="I84" s="184"/>
      <c r="J84" s="184"/>
      <c r="K84" s="184"/>
      <c r="L84" s="184"/>
      <c r="M84" s="184"/>
      <c r="N84" s="184"/>
      <c r="O84" s="185"/>
      <c r="P84" s="144">
        <f>SUM(P80,P79)</f>
        <v>3600</v>
      </c>
      <c r="Q84" s="106"/>
      <c r="R84" s="106"/>
      <c r="S84" s="131">
        <f>P84/3600*100</f>
        <v>100</v>
      </c>
      <c r="T84" s="131"/>
      <c r="U84" s="151"/>
      <c r="V84" s="152">
        <f>SUM(V80+V78)</f>
        <v>750</v>
      </c>
      <c r="W84" s="106"/>
      <c r="X84" s="106"/>
      <c r="Y84" s="106"/>
      <c r="Z84" s="106"/>
      <c r="AA84" s="106"/>
      <c r="AB84" s="106"/>
      <c r="AC84" s="106"/>
      <c r="AD84" s="106"/>
      <c r="AE84" s="106"/>
      <c r="AF84" s="106"/>
      <c r="AG84" s="106"/>
      <c r="AH84" s="106"/>
      <c r="AI84" s="106"/>
      <c r="AJ84" s="106"/>
      <c r="AK84" s="106"/>
      <c r="AL84" s="106"/>
      <c r="AM84" s="106"/>
      <c r="AN84" s="106">
        <f>SUM(AN80+AN79)</f>
        <v>2160</v>
      </c>
      <c r="AO84" s="106"/>
      <c r="AP84" s="147"/>
      <c r="AQ84" s="144">
        <f>SUM(AQ80+AQ79)</f>
        <v>24</v>
      </c>
      <c r="AR84" s="106"/>
      <c r="AS84" s="106"/>
      <c r="AT84" s="106">
        <f>SUM(AT80+AT79)</f>
        <v>24</v>
      </c>
      <c r="AU84" s="106"/>
      <c r="AV84" s="106"/>
      <c r="AW84" s="106">
        <f>SUM(AW80+AW79)</f>
        <v>24</v>
      </c>
      <c r="AX84" s="106"/>
      <c r="AY84" s="106"/>
      <c r="AZ84" s="106">
        <f>SUM(AZ80+AZ79)</f>
        <v>24</v>
      </c>
      <c r="BA84" s="106"/>
      <c r="BB84" s="147"/>
      <c r="BC84" s="144">
        <f>SUM(BC80+BC79)</f>
        <v>30</v>
      </c>
      <c r="BD84" s="106"/>
      <c r="BE84" s="106"/>
      <c r="BF84" s="106">
        <f>SUM(BF80+BF79)</f>
        <v>30</v>
      </c>
      <c r="BG84" s="106"/>
      <c r="BH84" s="106"/>
      <c r="BI84" s="106">
        <f>SUM(BI80+BI79)</f>
        <v>30</v>
      </c>
      <c r="BJ84" s="106"/>
      <c r="BK84" s="106"/>
      <c r="BL84" s="106">
        <f>SUM(BL80+BL79)</f>
        <v>30</v>
      </c>
      <c r="BM84" s="106"/>
      <c r="BN84" s="147"/>
      <c r="BO84" s="148">
        <f>SUM(P84/30)</f>
        <v>120</v>
      </c>
      <c r="BP84" s="105"/>
      <c r="BQ84" s="105"/>
      <c r="BR84" s="105"/>
      <c r="BS84" s="71">
        <f>SUM(V84/P84)*100</f>
        <v>20.833333333333336</v>
      </c>
      <c r="BT84" s="71">
        <f>SUM(AN84/P84)*100</f>
        <v>60</v>
      </c>
      <c r="BU84" s="71"/>
      <c r="BV84" s="15"/>
      <c r="BW84" s="15"/>
      <c r="BX84" s="71">
        <f t="shared" si="36"/>
        <v>120</v>
      </c>
      <c r="BY84" s="15">
        <f t="shared" si="37"/>
        <v>1</v>
      </c>
      <c r="BZ84" s="15" t="str">
        <f t="shared" si="38"/>
        <v>тўғри</v>
      </c>
    </row>
    <row r="85" spans="1:78" ht="14.25" customHeight="1" x14ac:dyDescent="0.25">
      <c r="A85" s="1"/>
      <c r="B85" s="16"/>
      <c r="C85" s="16"/>
      <c r="D85" s="17"/>
      <c r="E85" s="17"/>
      <c r="F85" s="17"/>
      <c r="G85" s="17"/>
      <c r="H85" s="17"/>
      <c r="I85" s="17"/>
      <c r="J85" s="17"/>
      <c r="K85" s="17"/>
      <c r="L85" s="17"/>
      <c r="M85" s="17"/>
      <c r="N85" s="17"/>
      <c r="O85" s="17"/>
      <c r="P85" s="18"/>
      <c r="Q85" s="18"/>
      <c r="R85" s="18"/>
      <c r="S85" s="18"/>
      <c r="T85" s="18"/>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
      <c r="BC85" s="1"/>
      <c r="BD85" s="1"/>
      <c r="BE85" s="1"/>
      <c r="BF85" s="1"/>
      <c r="BG85" s="1"/>
      <c r="BH85" s="1"/>
      <c r="BI85" s="1"/>
      <c r="BJ85" s="1"/>
      <c r="BK85" s="1"/>
      <c r="BL85" s="1"/>
      <c r="BM85" s="1"/>
      <c r="BN85" s="1"/>
      <c r="BO85" s="20"/>
      <c r="BP85" s="20"/>
      <c r="BQ85" s="20"/>
      <c r="BR85" s="20"/>
    </row>
    <row r="86" spans="1:78" ht="14.25" customHeight="1" thickBot="1" x14ac:dyDescent="0.3">
      <c r="A86" s="1"/>
      <c r="B86" s="16"/>
      <c r="C86" s="16"/>
      <c r="D86" s="17"/>
      <c r="E86" s="17"/>
      <c r="F86" s="17"/>
      <c r="G86" s="17"/>
      <c r="H86" s="17"/>
      <c r="I86" s="17"/>
      <c r="J86" s="17"/>
      <c r="K86" s="17"/>
      <c r="L86" s="17"/>
      <c r="M86" s="17"/>
      <c r="N86" s="17"/>
      <c r="O86" s="17"/>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
      <c r="BC86" s="1"/>
      <c r="BD86" s="1"/>
      <c r="BE86" s="1"/>
      <c r="BF86" s="1"/>
      <c r="BG86" s="1"/>
      <c r="BH86" s="1"/>
      <c r="BI86" s="1"/>
      <c r="BJ86" s="1"/>
      <c r="BK86" s="1"/>
      <c r="BL86" s="1"/>
      <c r="BM86" s="1"/>
      <c r="BN86" s="1"/>
      <c r="BO86" s="20"/>
      <c r="BP86" s="20"/>
      <c r="BQ86" s="20"/>
      <c r="BR86" s="20"/>
    </row>
    <row r="87" spans="1:78" s="24" customFormat="1" ht="14.25" customHeight="1" x14ac:dyDescent="0.35">
      <c r="A87" s="21"/>
      <c r="B87" s="16"/>
      <c r="C87" s="16"/>
      <c r="D87" s="74"/>
      <c r="E87" s="74"/>
      <c r="F87" s="74"/>
      <c r="G87" s="74"/>
      <c r="H87" s="74"/>
      <c r="I87" s="74"/>
      <c r="J87" s="74"/>
      <c r="K87" s="74"/>
      <c r="L87" s="74"/>
      <c r="M87" s="74"/>
      <c r="N87" s="74"/>
      <c r="O87" s="74"/>
      <c r="P87" s="22"/>
      <c r="Q87" s="22"/>
      <c r="R87" s="22"/>
      <c r="S87" s="22"/>
      <c r="T87" s="22"/>
      <c r="U87" s="22"/>
      <c r="V87" s="191" t="s">
        <v>129</v>
      </c>
      <c r="W87" s="192"/>
      <c r="X87" s="192"/>
      <c r="Y87" s="192"/>
      <c r="Z87" s="192"/>
      <c r="AA87" s="192"/>
      <c r="AB87" s="192"/>
      <c r="AC87" s="192"/>
      <c r="AD87" s="192"/>
      <c r="AE87" s="192"/>
      <c r="AF87" s="192"/>
      <c r="AG87" s="192"/>
      <c r="AH87" s="192"/>
      <c r="AI87" s="192"/>
      <c r="AJ87" s="192"/>
      <c r="AK87" s="192"/>
      <c r="AL87" s="192"/>
      <c r="AM87" s="192"/>
      <c r="AN87" s="192"/>
      <c r="AO87" s="192"/>
      <c r="AP87" s="192"/>
      <c r="AQ87" s="192"/>
      <c r="AR87" s="192"/>
      <c r="AS87" s="192"/>
      <c r="AT87" s="192"/>
      <c r="AU87" s="192"/>
      <c r="AV87" s="192"/>
      <c r="AW87" s="192"/>
      <c r="AX87" s="192"/>
      <c r="AY87" s="192"/>
      <c r="AZ87" s="193"/>
      <c r="BA87" s="22"/>
      <c r="BB87" s="22"/>
      <c r="BC87" s="22"/>
      <c r="BD87" s="22"/>
      <c r="BE87" s="22"/>
      <c r="BF87" s="22"/>
      <c r="BG87" s="22"/>
      <c r="BH87" s="22"/>
      <c r="BI87" s="22"/>
      <c r="BJ87" s="22"/>
      <c r="BK87" s="22"/>
      <c r="BL87" s="22"/>
      <c r="BM87" s="22"/>
      <c r="BN87" s="22"/>
      <c r="BO87" s="23"/>
      <c r="BP87" s="23"/>
      <c r="BQ87" s="23"/>
      <c r="BR87" s="23"/>
      <c r="BS87" s="1"/>
      <c r="BT87" s="1"/>
      <c r="BU87" s="1"/>
      <c r="BV87" s="1"/>
      <c r="BW87" s="1"/>
      <c r="BX87" s="1"/>
      <c r="BY87" s="1"/>
      <c r="BZ87" s="1"/>
    </row>
    <row r="88" spans="1:78" s="24" customFormat="1" ht="14.25" customHeight="1" x14ac:dyDescent="0.35">
      <c r="A88" s="21"/>
      <c r="B88" s="16"/>
      <c r="C88" s="16"/>
      <c r="D88" s="74"/>
      <c r="E88" s="74"/>
      <c r="F88" s="74"/>
      <c r="G88" s="74"/>
      <c r="H88" s="74"/>
      <c r="I88" s="74"/>
      <c r="J88" s="74"/>
      <c r="K88" s="74"/>
      <c r="L88" s="74"/>
      <c r="M88" s="74"/>
      <c r="N88" s="74"/>
      <c r="O88" s="74"/>
      <c r="P88" s="22"/>
      <c r="Q88" s="22"/>
      <c r="R88" s="22"/>
      <c r="S88" s="22"/>
      <c r="T88" s="22"/>
      <c r="U88" s="22"/>
      <c r="V88" s="194"/>
      <c r="W88" s="195"/>
      <c r="X88" s="195"/>
      <c r="Y88" s="195"/>
      <c r="Z88" s="195"/>
      <c r="AA88" s="195"/>
      <c r="AB88" s="195"/>
      <c r="AC88" s="195"/>
      <c r="AD88" s="195"/>
      <c r="AE88" s="195"/>
      <c r="AF88" s="195"/>
      <c r="AG88" s="195"/>
      <c r="AH88" s="195"/>
      <c r="AI88" s="195"/>
      <c r="AJ88" s="195"/>
      <c r="AK88" s="195"/>
      <c r="AL88" s="195"/>
      <c r="AM88" s="195"/>
      <c r="AN88" s="195"/>
      <c r="AO88" s="195"/>
      <c r="AP88" s="195"/>
      <c r="AQ88" s="195"/>
      <c r="AR88" s="195"/>
      <c r="AS88" s="195"/>
      <c r="AT88" s="195"/>
      <c r="AU88" s="195"/>
      <c r="AV88" s="195"/>
      <c r="AW88" s="195"/>
      <c r="AX88" s="195"/>
      <c r="AY88" s="195"/>
      <c r="AZ88" s="196"/>
      <c r="BA88" s="22"/>
      <c r="BB88" s="22"/>
      <c r="BC88" s="22"/>
      <c r="BD88" s="22"/>
      <c r="BE88" s="22"/>
      <c r="BF88" s="22"/>
      <c r="BG88" s="22"/>
      <c r="BH88" s="22"/>
      <c r="BI88" s="22"/>
      <c r="BJ88" s="22"/>
      <c r="BK88" s="22"/>
      <c r="BL88" s="22"/>
      <c r="BM88" s="22"/>
      <c r="BN88" s="22"/>
      <c r="BO88" s="23"/>
      <c r="BP88" s="23"/>
      <c r="BQ88" s="23"/>
      <c r="BR88" s="23"/>
      <c r="BS88" s="1"/>
      <c r="BT88" s="1"/>
      <c r="BU88" s="1"/>
      <c r="BV88" s="1"/>
      <c r="BW88" s="1"/>
      <c r="BX88" s="1"/>
      <c r="BY88" s="1"/>
      <c r="BZ88" s="1"/>
    </row>
    <row r="89" spans="1:78" s="24" customFormat="1" ht="14.25" customHeight="1" x14ac:dyDescent="0.35">
      <c r="A89" s="21"/>
      <c r="B89" s="16"/>
      <c r="C89" s="16"/>
      <c r="D89" s="74"/>
      <c r="E89" s="74"/>
      <c r="F89" s="74"/>
      <c r="G89" s="74"/>
      <c r="H89" s="74"/>
      <c r="I89" s="74"/>
      <c r="J89" s="74"/>
      <c r="K89" s="74"/>
      <c r="L89" s="74"/>
      <c r="M89" s="74"/>
      <c r="N89" s="74"/>
      <c r="O89" s="74"/>
      <c r="P89" s="22"/>
      <c r="Q89" s="22"/>
      <c r="R89" s="22"/>
      <c r="S89" s="22"/>
      <c r="T89" s="22"/>
      <c r="U89" s="22"/>
      <c r="V89" s="197" t="s">
        <v>141</v>
      </c>
      <c r="W89" s="198"/>
      <c r="X89" s="198"/>
      <c r="Y89" s="198"/>
      <c r="Z89" s="198"/>
      <c r="AA89" s="198"/>
      <c r="AB89" s="198"/>
      <c r="AC89" s="198"/>
      <c r="AD89" s="198"/>
      <c r="AE89" s="198"/>
      <c r="AF89" s="198"/>
      <c r="AG89" s="198"/>
      <c r="AH89" s="198"/>
      <c r="AI89" s="198"/>
      <c r="AJ89" s="198"/>
      <c r="AK89" s="198"/>
      <c r="AL89" s="198"/>
      <c r="AM89" s="198"/>
      <c r="AN89" s="198"/>
      <c r="AO89" s="198"/>
      <c r="AP89" s="198"/>
      <c r="AQ89" s="198"/>
      <c r="AR89" s="198"/>
      <c r="AS89" s="198"/>
      <c r="AT89" s="198"/>
      <c r="AU89" s="198"/>
      <c r="AV89" s="198"/>
      <c r="AW89" s="198"/>
      <c r="AX89" s="198"/>
      <c r="AY89" s="198"/>
      <c r="AZ89" s="199"/>
      <c r="BA89" s="22"/>
      <c r="BB89" s="22"/>
      <c r="BC89" s="22"/>
      <c r="BD89" s="22"/>
      <c r="BE89" s="22"/>
      <c r="BF89" s="22"/>
      <c r="BG89" s="22"/>
      <c r="BH89" s="22"/>
      <c r="BI89" s="22"/>
      <c r="BJ89" s="22"/>
      <c r="BK89" s="22"/>
      <c r="BL89" s="22"/>
      <c r="BM89" s="22"/>
      <c r="BN89" s="22"/>
      <c r="BO89" s="23"/>
      <c r="BP89" s="23"/>
      <c r="BQ89" s="23"/>
      <c r="BR89" s="23"/>
      <c r="BS89" s="1"/>
      <c r="BT89" s="1"/>
      <c r="BU89" s="1"/>
      <c r="BV89" s="1"/>
      <c r="BW89" s="1"/>
      <c r="BX89" s="1"/>
      <c r="BY89" s="1"/>
      <c r="BZ89" s="1"/>
    </row>
    <row r="90" spans="1:78" ht="14.25" customHeight="1" thickBot="1" x14ac:dyDescent="0.3">
      <c r="A90" s="1"/>
      <c r="B90" s="16"/>
      <c r="C90" s="16"/>
      <c r="D90" s="18"/>
      <c r="E90" s="18"/>
      <c r="F90" s="18"/>
      <c r="G90" s="18"/>
      <c r="H90" s="18"/>
      <c r="I90" s="18"/>
      <c r="J90" s="18"/>
      <c r="K90" s="18"/>
      <c r="L90" s="18"/>
      <c r="M90" s="18"/>
      <c r="N90" s="18"/>
      <c r="O90" s="18"/>
      <c r="P90" s="25"/>
      <c r="Q90" s="25"/>
      <c r="R90" s="25"/>
      <c r="S90" s="25"/>
      <c r="T90" s="25"/>
      <c r="U90" s="25"/>
      <c r="V90" s="200"/>
      <c r="W90" s="201"/>
      <c r="X90" s="201"/>
      <c r="Y90" s="201"/>
      <c r="Z90" s="201"/>
      <c r="AA90" s="201"/>
      <c r="AB90" s="201"/>
      <c r="AC90" s="201"/>
      <c r="AD90" s="201"/>
      <c r="AE90" s="201"/>
      <c r="AF90" s="201"/>
      <c r="AG90" s="201"/>
      <c r="AH90" s="201"/>
      <c r="AI90" s="201"/>
      <c r="AJ90" s="201"/>
      <c r="AK90" s="201"/>
      <c r="AL90" s="201"/>
      <c r="AM90" s="201"/>
      <c r="AN90" s="201"/>
      <c r="AO90" s="201"/>
      <c r="AP90" s="201"/>
      <c r="AQ90" s="201"/>
      <c r="AR90" s="201"/>
      <c r="AS90" s="201"/>
      <c r="AT90" s="201"/>
      <c r="AU90" s="201"/>
      <c r="AV90" s="201"/>
      <c r="AW90" s="201"/>
      <c r="AX90" s="201"/>
      <c r="AY90" s="201"/>
      <c r="AZ90" s="202"/>
      <c r="BA90" s="25"/>
      <c r="BB90" s="25"/>
      <c r="BC90" s="25"/>
      <c r="BD90" s="25"/>
      <c r="BE90" s="25"/>
      <c r="BF90" s="25"/>
      <c r="BG90" s="25"/>
      <c r="BH90" s="25"/>
      <c r="BI90" s="25"/>
      <c r="BJ90" s="25"/>
      <c r="BK90" s="25"/>
      <c r="BL90" s="25"/>
      <c r="BM90" s="25"/>
      <c r="BN90" s="25"/>
      <c r="BO90" s="26"/>
      <c r="BP90" s="26"/>
      <c r="BQ90" s="26"/>
      <c r="BR90" s="26"/>
    </row>
    <row r="91" spans="1:78" ht="14.25" customHeight="1" x14ac:dyDescent="0.25">
      <c r="A91" s="1"/>
      <c r="B91" s="16"/>
      <c r="C91" s="16"/>
      <c r="D91" s="18"/>
      <c r="E91" s="18"/>
      <c r="F91" s="18"/>
      <c r="G91" s="18"/>
      <c r="H91" s="18"/>
      <c r="I91" s="18"/>
      <c r="J91" s="18"/>
      <c r="K91" s="18"/>
      <c r="L91" s="18"/>
      <c r="M91" s="18"/>
      <c r="N91" s="18"/>
      <c r="O91" s="18"/>
      <c r="P91" s="25"/>
      <c r="Q91" s="25"/>
      <c r="R91" s="25"/>
      <c r="S91" s="25"/>
      <c r="T91" s="25"/>
      <c r="U91" s="25"/>
      <c r="V91" s="80"/>
      <c r="W91" s="80"/>
      <c r="X91" s="80"/>
      <c r="Y91" s="80"/>
      <c r="Z91" s="80"/>
      <c r="AA91" s="80"/>
      <c r="AB91" s="80"/>
      <c r="AC91" s="80"/>
      <c r="AD91" s="80"/>
      <c r="AE91" s="80"/>
      <c r="AF91" s="80"/>
      <c r="AG91" s="80"/>
      <c r="AH91" s="80"/>
      <c r="AI91" s="80"/>
      <c r="AJ91" s="80"/>
      <c r="AK91" s="80"/>
      <c r="AL91" s="80"/>
      <c r="AM91" s="80"/>
      <c r="AN91" s="80"/>
      <c r="AO91" s="80"/>
      <c r="AP91" s="80"/>
      <c r="AQ91" s="80"/>
      <c r="AR91" s="80"/>
      <c r="AS91" s="80"/>
      <c r="AT91" s="80"/>
      <c r="AU91" s="80"/>
      <c r="AV91" s="80"/>
      <c r="AW91" s="80"/>
      <c r="AX91" s="80"/>
      <c r="AY91" s="80"/>
      <c r="AZ91" s="80"/>
      <c r="BA91" s="25"/>
      <c r="BB91" s="25"/>
      <c r="BC91" s="25"/>
      <c r="BD91" s="25"/>
      <c r="BE91" s="25"/>
      <c r="BF91" s="25"/>
      <c r="BG91" s="25"/>
      <c r="BH91" s="25"/>
      <c r="BI91" s="25"/>
      <c r="BJ91" s="25"/>
      <c r="BK91" s="25"/>
      <c r="BL91" s="25"/>
      <c r="BM91" s="25"/>
      <c r="BN91" s="25"/>
      <c r="BO91" s="26"/>
      <c r="BP91" s="26"/>
      <c r="BQ91" s="26"/>
      <c r="BR91" s="26"/>
    </row>
    <row r="92" spans="1:78" ht="14.25" customHeight="1" x14ac:dyDescent="0.25">
      <c r="A92" s="27" t="s">
        <v>149</v>
      </c>
      <c r="B92" s="28"/>
      <c r="C92" s="28"/>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c r="AZ92" s="29"/>
      <c r="BA92" s="29"/>
      <c r="BB92" s="29"/>
      <c r="BC92" s="29"/>
      <c r="BD92" s="29"/>
      <c r="BE92" s="29"/>
      <c r="BF92" s="29"/>
      <c r="BG92" s="29"/>
      <c r="BH92" s="29"/>
      <c r="BI92" s="29"/>
      <c r="BJ92" s="29"/>
      <c r="BK92" s="29"/>
      <c r="BL92" s="29"/>
      <c r="BM92" s="29"/>
      <c r="BN92" s="29"/>
      <c r="BO92" s="30"/>
      <c r="BP92" s="30"/>
      <c r="BQ92" s="60"/>
      <c r="BR92" s="60"/>
    </row>
    <row r="93" spans="1:78" ht="14.25" customHeight="1" x14ac:dyDescent="0.25">
      <c r="A93" s="31" t="s">
        <v>13</v>
      </c>
      <c r="B93" s="207" t="s">
        <v>144</v>
      </c>
      <c r="C93" s="207"/>
      <c r="D93" s="207"/>
      <c r="E93" s="207"/>
      <c r="F93" s="207"/>
      <c r="G93" s="207"/>
      <c r="H93" s="207"/>
      <c r="I93" s="207"/>
      <c r="J93" s="207"/>
      <c r="K93" s="207"/>
      <c r="L93" s="207"/>
      <c r="M93" s="207"/>
      <c r="N93" s="207"/>
      <c r="O93" s="207"/>
      <c r="P93" s="207"/>
      <c r="Q93" s="207"/>
      <c r="R93" s="207"/>
      <c r="S93" s="207"/>
      <c r="T93" s="207"/>
      <c r="U93" s="207"/>
      <c r="V93" s="207"/>
      <c r="W93" s="207"/>
      <c r="X93" s="207"/>
      <c r="Y93" s="207"/>
      <c r="Z93" s="207"/>
      <c r="AA93" s="207"/>
      <c r="AB93" s="207"/>
      <c r="AC93" s="207"/>
      <c r="AD93" s="207"/>
      <c r="AE93" s="207"/>
      <c r="AF93" s="207"/>
      <c r="AG93" s="207"/>
      <c r="AH93" s="207"/>
      <c r="AI93" s="207"/>
      <c r="AJ93" s="207"/>
      <c r="AK93" s="207"/>
      <c r="AL93" s="207"/>
      <c r="AM93" s="207"/>
      <c r="AN93" s="207"/>
      <c r="AO93" s="207"/>
      <c r="AP93" s="207"/>
      <c r="AQ93" s="207"/>
      <c r="AR93" s="207"/>
      <c r="AS93" s="207"/>
      <c r="AT93" s="207"/>
      <c r="AU93" s="207"/>
      <c r="AV93" s="207"/>
      <c r="AW93" s="207"/>
      <c r="AX93" s="207"/>
      <c r="AY93" s="207"/>
      <c r="AZ93" s="207"/>
      <c r="BA93" s="207"/>
      <c r="BB93" s="207"/>
      <c r="BC93" s="207"/>
      <c r="BD93" s="207"/>
      <c r="BE93" s="207"/>
      <c r="BF93" s="207"/>
      <c r="BG93" s="207"/>
      <c r="BH93" s="207"/>
      <c r="BI93" s="207"/>
      <c r="BJ93" s="207"/>
      <c r="BK93" s="207"/>
      <c r="BL93" s="207"/>
      <c r="BM93" s="207"/>
      <c r="BN93" s="207"/>
      <c r="BO93" s="207"/>
      <c r="BP93" s="207"/>
      <c r="BQ93" s="207"/>
      <c r="BR93" s="207"/>
    </row>
    <row r="94" spans="1:78" ht="14.25" customHeight="1" x14ac:dyDescent="0.25">
      <c r="A94" s="31" t="s">
        <v>14</v>
      </c>
      <c r="B94" s="207" t="s">
        <v>145</v>
      </c>
      <c r="C94" s="207"/>
      <c r="D94" s="207"/>
      <c r="E94" s="207"/>
      <c r="F94" s="207"/>
      <c r="G94" s="207"/>
      <c r="H94" s="207"/>
      <c r="I94" s="207"/>
      <c r="J94" s="207"/>
      <c r="K94" s="207"/>
      <c r="L94" s="207"/>
      <c r="M94" s="207"/>
      <c r="N94" s="207"/>
      <c r="O94" s="207"/>
      <c r="P94" s="207"/>
      <c r="Q94" s="207"/>
      <c r="R94" s="207"/>
      <c r="S94" s="207"/>
      <c r="T94" s="207"/>
      <c r="U94" s="207"/>
      <c r="V94" s="207"/>
      <c r="W94" s="207"/>
      <c r="X94" s="207"/>
      <c r="Y94" s="207"/>
      <c r="Z94" s="207"/>
      <c r="AA94" s="207"/>
      <c r="AB94" s="207"/>
      <c r="AC94" s="207"/>
      <c r="AD94" s="207"/>
      <c r="AE94" s="207"/>
      <c r="AF94" s="207"/>
      <c r="AG94" s="207"/>
      <c r="AH94" s="207"/>
      <c r="AI94" s="207"/>
      <c r="AJ94" s="207"/>
      <c r="AK94" s="207"/>
      <c r="AL94" s="207"/>
      <c r="AM94" s="207"/>
      <c r="AN94" s="207"/>
      <c r="AO94" s="207"/>
      <c r="AP94" s="207"/>
      <c r="AQ94" s="207"/>
      <c r="AR94" s="207"/>
      <c r="AS94" s="207"/>
      <c r="AT94" s="207"/>
      <c r="AU94" s="207"/>
      <c r="AV94" s="207"/>
      <c r="AW94" s="207"/>
      <c r="AX94" s="207"/>
      <c r="AY94" s="207"/>
      <c r="AZ94" s="207"/>
      <c r="BA94" s="207"/>
      <c r="BB94" s="207"/>
      <c r="BC94" s="207"/>
      <c r="BD94" s="207"/>
      <c r="BE94" s="207"/>
      <c r="BF94" s="207"/>
      <c r="BG94" s="207"/>
      <c r="BH94" s="207"/>
      <c r="BI94" s="207"/>
      <c r="BJ94" s="207"/>
      <c r="BK94" s="207"/>
      <c r="BL94" s="207"/>
      <c r="BM94" s="207"/>
      <c r="BN94" s="207"/>
      <c r="BO94" s="207"/>
      <c r="BP94" s="207"/>
      <c r="BQ94" s="207"/>
      <c r="BR94" s="207"/>
    </row>
    <row r="95" spans="1:78" ht="14.25" customHeight="1" x14ac:dyDescent="0.25">
      <c r="A95" s="31" t="s">
        <v>15</v>
      </c>
      <c r="B95" s="207" t="s">
        <v>146</v>
      </c>
      <c r="C95" s="207"/>
      <c r="D95" s="207"/>
      <c r="E95" s="207"/>
      <c r="F95" s="207"/>
      <c r="G95" s="207"/>
      <c r="H95" s="207"/>
      <c r="I95" s="207"/>
      <c r="J95" s="207"/>
      <c r="K95" s="207"/>
      <c r="L95" s="207"/>
      <c r="M95" s="207"/>
      <c r="N95" s="207"/>
      <c r="O95" s="207"/>
      <c r="P95" s="207"/>
      <c r="Q95" s="207"/>
      <c r="R95" s="207"/>
      <c r="S95" s="207"/>
      <c r="T95" s="207"/>
      <c r="U95" s="207"/>
      <c r="V95" s="207"/>
      <c r="W95" s="207"/>
      <c r="X95" s="207"/>
      <c r="Y95" s="207"/>
      <c r="Z95" s="207"/>
      <c r="AA95" s="207"/>
      <c r="AB95" s="207"/>
      <c r="AC95" s="207"/>
      <c r="AD95" s="207"/>
      <c r="AE95" s="207"/>
      <c r="AF95" s="207"/>
      <c r="AG95" s="207"/>
      <c r="AH95" s="207"/>
      <c r="AI95" s="207"/>
      <c r="AJ95" s="207"/>
      <c r="AK95" s="207"/>
      <c r="AL95" s="207"/>
      <c r="AM95" s="207"/>
      <c r="AN95" s="207"/>
      <c r="AO95" s="207"/>
      <c r="AP95" s="207"/>
      <c r="AQ95" s="207"/>
      <c r="AR95" s="207"/>
      <c r="AS95" s="207"/>
      <c r="AT95" s="207"/>
      <c r="AU95" s="207"/>
      <c r="AV95" s="207"/>
      <c r="AW95" s="207"/>
      <c r="AX95" s="207"/>
      <c r="AY95" s="207"/>
      <c r="AZ95" s="207"/>
      <c r="BA95" s="207"/>
      <c r="BB95" s="207"/>
      <c r="BC95" s="207"/>
      <c r="BD95" s="207"/>
      <c r="BE95" s="207"/>
      <c r="BF95" s="207"/>
      <c r="BG95" s="207"/>
      <c r="BH95" s="207"/>
      <c r="BI95" s="207"/>
      <c r="BJ95" s="207"/>
      <c r="BK95" s="207"/>
      <c r="BL95" s="207"/>
      <c r="BM95" s="207"/>
      <c r="BN95" s="207"/>
      <c r="BO95" s="207"/>
      <c r="BP95" s="207"/>
      <c r="BQ95" s="207"/>
      <c r="BR95" s="207"/>
    </row>
    <row r="96" spans="1:78" ht="14.25" customHeight="1" x14ac:dyDescent="0.25">
      <c r="A96" s="31" t="s">
        <v>16</v>
      </c>
      <c r="B96" s="207" t="s">
        <v>188</v>
      </c>
      <c r="C96" s="207"/>
      <c r="D96" s="207"/>
      <c r="E96" s="207"/>
      <c r="F96" s="207"/>
      <c r="G96" s="207"/>
      <c r="H96" s="207"/>
      <c r="I96" s="207"/>
      <c r="J96" s="207"/>
      <c r="K96" s="207"/>
      <c r="L96" s="207"/>
      <c r="M96" s="207"/>
      <c r="N96" s="207"/>
      <c r="O96" s="207"/>
      <c r="P96" s="207"/>
      <c r="Q96" s="207"/>
      <c r="R96" s="207"/>
      <c r="S96" s="207"/>
      <c r="T96" s="207"/>
      <c r="U96" s="207"/>
      <c r="V96" s="207"/>
      <c r="W96" s="207"/>
      <c r="X96" s="207"/>
      <c r="Y96" s="207"/>
      <c r="Z96" s="207"/>
      <c r="AA96" s="207"/>
      <c r="AB96" s="207"/>
      <c r="AC96" s="207"/>
      <c r="AD96" s="207"/>
      <c r="AE96" s="207"/>
      <c r="AF96" s="207"/>
      <c r="AG96" s="207"/>
      <c r="AH96" s="207"/>
      <c r="AI96" s="207"/>
      <c r="AJ96" s="207"/>
      <c r="AK96" s="207"/>
      <c r="AL96" s="207"/>
      <c r="AM96" s="207"/>
      <c r="AN96" s="207"/>
      <c r="AO96" s="207"/>
      <c r="AP96" s="207"/>
      <c r="AQ96" s="207"/>
      <c r="AR96" s="207"/>
      <c r="AS96" s="207"/>
      <c r="AT96" s="207"/>
      <c r="AU96" s="207"/>
      <c r="AV96" s="207"/>
      <c r="AW96" s="207"/>
      <c r="AX96" s="207"/>
      <c r="AY96" s="207"/>
      <c r="AZ96" s="207"/>
      <c r="BA96" s="207"/>
      <c r="BB96" s="207"/>
      <c r="BC96" s="207"/>
      <c r="BD96" s="207"/>
      <c r="BE96" s="207"/>
      <c r="BF96" s="207"/>
      <c r="BG96" s="207"/>
      <c r="BH96" s="207"/>
      <c r="BI96" s="207"/>
      <c r="BJ96" s="207"/>
      <c r="BK96" s="207"/>
      <c r="BL96" s="207"/>
      <c r="BM96" s="207"/>
      <c r="BN96" s="207"/>
      <c r="BO96" s="207"/>
      <c r="BP96" s="207"/>
      <c r="BQ96" s="207"/>
      <c r="BR96" s="207"/>
    </row>
    <row r="97" spans="1:70" ht="14.25" customHeight="1" x14ac:dyDescent="0.25">
      <c r="A97" s="31" t="s">
        <v>17</v>
      </c>
      <c r="B97" s="207" t="s">
        <v>189</v>
      </c>
      <c r="C97" s="207"/>
      <c r="D97" s="207"/>
      <c r="E97" s="207"/>
      <c r="F97" s="207"/>
      <c r="G97" s="207"/>
      <c r="H97" s="207"/>
      <c r="I97" s="207"/>
      <c r="J97" s="207"/>
      <c r="K97" s="207"/>
      <c r="L97" s="207"/>
      <c r="M97" s="207"/>
      <c r="N97" s="207"/>
      <c r="O97" s="207"/>
      <c r="P97" s="207"/>
      <c r="Q97" s="207"/>
      <c r="R97" s="207"/>
      <c r="S97" s="207"/>
      <c r="T97" s="207"/>
      <c r="U97" s="207"/>
      <c r="V97" s="207"/>
      <c r="W97" s="207"/>
      <c r="X97" s="207"/>
      <c r="Y97" s="207"/>
      <c r="Z97" s="207"/>
      <c r="AA97" s="207"/>
      <c r="AB97" s="207"/>
      <c r="AC97" s="207"/>
      <c r="AD97" s="207"/>
      <c r="AE97" s="207"/>
      <c r="AF97" s="207"/>
      <c r="AG97" s="207"/>
      <c r="AH97" s="207"/>
      <c r="AI97" s="207"/>
      <c r="AJ97" s="207"/>
      <c r="AK97" s="207"/>
      <c r="AL97" s="207"/>
      <c r="AM97" s="207"/>
      <c r="AN97" s="207"/>
      <c r="AO97" s="207"/>
      <c r="AP97" s="207"/>
      <c r="AQ97" s="207"/>
      <c r="AR97" s="207"/>
      <c r="AS97" s="207"/>
      <c r="AT97" s="207"/>
      <c r="AU97" s="207"/>
      <c r="AV97" s="207"/>
      <c r="AW97" s="207"/>
      <c r="AX97" s="207"/>
      <c r="AY97" s="207"/>
      <c r="AZ97" s="207"/>
      <c r="BA97" s="207"/>
      <c r="BB97" s="207"/>
      <c r="BC97" s="207"/>
      <c r="BD97" s="207"/>
      <c r="BE97" s="207"/>
      <c r="BF97" s="207"/>
      <c r="BG97" s="207"/>
      <c r="BH97" s="207"/>
      <c r="BI97" s="207"/>
      <c r="BJ97" s="207"/>
      <c r="BK97" s="207"/>
      <c r="BL97" s="207"/>
      <c r="BM97" s="207"/>
      <c r="BN97" s="207"/>
      <c r="BO97" s="207"/>
      <c r="BP97" s="207"/>
      <c r="BQ97" s="207"/>
      <c r="BR97" s="207"/>
    </row>
    <row r="98" spans="1:70" ht="14.25" customHeight="1" x14ac:dyDescent="0.25">
      <c r="A98" s="31" t="s">
        <v>18</v>
      </c>
      <c r="B98" s="207" t="s">
        <v>199</v>
      </c>
      <c r="C98" s="207"/>
      <c r="D98" s="207"/>
      <c r="E98" s="207"/>
      <c r="F98" s="207"/>
      <c r="G98" s="207"/>
      <c r="H98" s="207"/>
      <c r="I98" s="207"/>
      <c r="J98" s="207"/>
      <c r="K98" s="207"/>
      <c r="L98" s="207"/>
      <c r="M98" s="207"/>
      <c r="N98" s="207"/>
      <c r="O98" s="207"/>
      <c r="P98" s="207"/>
      <c r="Q98" s="207"/>
      <c r="R98" s="207"/>
      <c r="S98" s="207"/>
      <c r="T98" s="207"/>
      <c r="U98" s="207"/>
      <c r="V98" s="207"/>
      <c r="W98" s="207"/>
      <c r="X98" s="207"/>
      <c r="Y98" s="207"/>
      <c r="Z98" s="207"/>
      <c r="AA98" s="207"/>
      <c r="AB98" s="207"/>
      <c r="AC98" s="207"/>
      <c r="AD98" s="207"/>
      <c r="AE98" s="207"/>
      <c r="AF98" s="207"/>
      <c r="AG98" s="207"/>
      <c r="AH98" s="207"/>
      <c r="AI98" s="207"/>
      <c r="AJ98" s="207"/>
      <c r="AK98" s="207"/>
      <c r="AL98" s="207"/>
      <c r="AM98" s="207"/>
      <c r="AN98" s="207"/>
      <c r="AO98" s="207"/>
      <c r="AP98" s="207"/>
      <c r="AQ98" s="207"/>
      <c r="AR98" s="207"/>
      <c r="AS98" s="207"/>
      <c r="AT98" s="207"/>
      <c r="AU98" s="207"/>
      <c r="AV98" s="207"/>
      <c r="AW98" s="207"/>
      <c r="AX98" s="207"/>
      <c r="AY98" s="207"/>
      <c r="AZ98" s="207"/>
      <c r="BA98" s="207"/>
      <c r="BB98" s="207"/>
      <c r="BC98" s="207"/>
      <c r="BD98" s="207"/>
      <c r="BE98" s="207"/>
      <c r="BF98" s="207"/>
      <c r="BG98" s="207"/>
      <c r="BH98" s="207"/>
      <c r="BI98" s="207"/>
      <c r="BJ98" s="207"/>
      <c r="BK98" s="207"/>
      <c r="BL98" s="207"/>
      <c r="BM98" s="207"/>
      <c r="BN98" s="207"/>
      <c r="BO98" s="207"/>
      <c r="BP98" s="207"/>
      <c r="BQ98" s="207"/>
      <c r="BR98" s="207"/>
    </row>
    <row r="99" spans="1:70" ht="14.25" customHeight="1" x14ac:dyDescent="0.25">
      <c r="A99" s="31"/>
      <c r="B99" s="207" t="s">
        <v>200</v>
      </c>
      <c r="C99" s="207"/>
      <c r="D99" s="207"/>
      <c r="E99" s="207"/>
      <c r="F99" s="207"/>
      <c r="G99" s="207"/>
      <c r="H99" s="207"/>
      <c r="I99" s="207"/>
      <c r="J99" s="207"/>
      <c r="K99" s="207"/>
      <c r="L99" s="207"/>
      <c r="M99" s="207"/>
      <c r="N99" s="207"/>
      <c r="O99" s="207"/>
      <c r="P99" s="207"/>
      <c r="Q99" s="207"/>
      <c r="R99" s="207"/>
      <c r="S99" s="207"/>
      <c r="T99" s="207"/>
      <c r="U99" s="207"/>
      <c r="V99" s="207"/>
      <c r="W99" s="207"/>
      <c r="X99" s="207"/>
      <c r="Y99" s="207"/>
      <c r="Z99" s="207"/>
      <c r="AA99" s="207"/>
      <c r="AB99" s="207"/>
      <c r="AC99" s="207"/>
      <c r="AD99" s="207"/>
      <c r="AE99" s="207"/>
      <c r="AF99" s="207"/>
      <c r="AG99" s="207"/>
      <c r="AH99" s="207"/>
      <c r="AI99" s="207"/>
      <c r="AJ99" s="207"/>
      <c r="AK99" s="207"/>
      <c r="AL99" s="207"/>
      <c r="AM99" s="207"/>
      <c r="AN99" s="207"/>
      <c r="AO99" s="207"/>
      <c r="AP99" s="207"/>
      <c r="AQ99" s="207"/>
      <c r="AR99" s="207"/>
      <c r="AS99" s="207"/>
      <c r="AT99" s="207"/>
      <c r="AU99" s="207"/>
      <c r="AV99" s="207"/>
      <c r="AW99" s="207"/>
      <c r="AX99" s="207"/>
      <c r="AY99" s="207"/>
      <c r="AZ99" s="207"/>
      <c r="BA99" s="207"/>
      <c r="BB99" s="207"/>
      <c r="BC99" s="207"/>
      <c r="BD99" s="207"/>
      <c r="BE99" s="207"/>
      <c r="BF99" s="207"/>
      <c r="BG99" s="207"/>
      <c r="BH99" s="207"/>
      <c r="BI99" s="207"/>
      <c r="BJ99" s="207"/>
      <c r="BK99" s="207"/>
      <c r="BL99" s="207"/>
      <c r="BM99" s="207"/>
      <c r="BN99" s="207"/>
      <c r="BO99" s="207"/>
      <c r="BP99" s="207"/>
      <c r="BQ99" s="207"/>
      <c r="BR99" s="207"/>
    </row>
    <row r="100" spans="1:70" ht="14.25" customHeight="1" x14ac:dyDescent="0.25">
      <c r="A100" s="31"/>
      <c r="B100" s="207" t="s">
        <v>201</v>
      </c>
      <c r="C100" s="207"/>
      <c r="D100" s="207"/>
      <c r="E100" s="207"/>
      <c r="F100" s="207"/>
      <c r="G100" s="207"/>
      <c r="H100" s="207"/>
      <c r="I100" s="207"/>
      <c r="J100" s="207"/>
      <c r="K100" s="207"/>
      <c r="L100" s="207"/>
      <c r="M100" s="207"/>
      <c r="N100" s="207"/>
      <c r="O100" s="207"/>
      <c r="P100" s="207"/>
      <c r="Q100" s="207"/>
      <c r="R100" s="207"/>
      <c r="S100" s="207"/>
      <c r="T100" s="207"/>
      <c r="U100" s="207"/>
      <c r="V100" s="207"/>
      <c r="W100" s="207"/>
      <c r="X100" s="207"/>
      <c r="Y100" s="207"/>
      <c r="Z100" s="207"/>
      <c r="AA100" s="207"/>
      <c r="AB100" s="207"/>
      <c r="AC100" s="207"/>
      <c r="AD100" s="207"/>
      <c r="AE100" s="207"/>
      <c r="AF100" s="207"/>
      <c r="AG100" s="207"/>
      <c r="AH100" s="207"/>
      <c r="AI100" s="207"/>
      <c r="AJ100" s="207"/>
      <c r="AK100" s="207"/>
      <c r="AL100" s="207"/>
      <c r="AM100" s="207"/>
      <c r="AN100" s="207"/>
      <c r="AO100" s="207"/>
      <c r="AP100" s="207"/>
      <c r="AQ100" s="207"/>
      <c r="AR100" s="207"/>
      <c r="AS100" s="207"/>
      <c r="AT100" s="207"/>
      <c r="AU100" s="207"/>
      <c r="AV100" s="207"/>
      <c r="AW100" s="207"/>
      <c r="AX100" s="207"/>
      <c r="AY100" s="207"/>
      <c r="AZ100" s="207"/>
      <c r="BA100" s="207"/>
      <c r="BB100" s="207"/>
      <c r="BC100" s="207"/>
      <c r="BD100" s="207"/>
      <c r="BE100" s="207"/>
      <c r="BF100" s="207"/>
      <c r="BG100" s="207"/>
      <c r="BH100" s="207"/>
      <c r="BI100" s="207"/>
      <c r="BJ100" s="207"/>
      <c r="BK100" s="207"/>
      <c r="BL100" s="207"/>
      <c r="BM100" s="207"/>
      <c r="BN100" s="207"/>
      <c r="BO100" s="207"/>
      <c r="BP100" s="207"/>
      <c r="BQ100" s="207"/>
      <c r="BR100" s="207"/>
    </row>
    <row r="101" spans="1:70" ht="14.25" customHeight="1" x14ac:dyDescent="0.25">
      <c r="A101" s="31"/>
      <c r="B101" s="207" t="s">
        <v>166</v>
      </c>
      <c r="C101" s="207"/>
      <c r="D101" s="207"/>
      <c r="E101" s="207"/>
      <c r="F101" s="207"/>
      <c r="G101" s="207"/>
      <c r="H101" s="207"/>
      <c r="I101" s="207"/>
      <c r="J101" s="207"/>
      <c r="K101" s="207"/>
      <c r="L101" s="207"/>
      <c r="M101" s="207"/>
      <c r="N101" s="207"/>
      <c r="O101" s="207"/>
      <c r="P101" s="207"/>
      <c r="Q101" s="207"/>
      <c r="R101" s="207"/>
      <c r="S101" s="207"/>
      <c r="T101" s="207"/>
      <c r="U101" s="207"/>
      <c r="V101" s="207"/>
      <c r="W101" s="207"/>
      <c r="X101" s="207"/>
      <c r="Y101" s="207"/>
      <c r="Z101" s="207"/>
      <c r="AA101" s="207"/>
      <c r="AB101" s="207"/>
      <c r="AC101" s="207"/>
      <c r="AD101" s="207"/>
      <c r="AE101" s="207"/>
      <c r="AF101" s="207"/>
      <c r="AG101" s="207"/>
      <c r="AH101" s="207"/>
      <c r="AI101" s="207"/>
      <c r="AJ101" s="207"/>
      <c r="AK101" s="207"/>
      <c r="AL101" s="207"/>
      <c r="AM101" s="207"/>
      <c r="AN101" s="207"/>
      <c r="AO101" s="207"/>
      <c r="AP101" s="207"/>
      <c r="AQ101" s="207"/>
      <c r="AR101" s="207"/>
      <c r="AS101" s="207"/>
      <c r="AT101" s="207"/>
      <c r="AU101" s="207"/>
      <c r="AV101" s="207"/>
      <c r="AW101" s="207"/>
      <c r="AX101" s="207"/>
      <c r="AY101" s="207"/>
      <c r="AZ101" s="207"/>
      <c r="BA101" s="207"/>
      <c r="BB101" s="207"/>
      <c r="BC101" s="207"/>
      <c r="BD101" s="207"/>
      <c r="BE101" s="207"/>
      <c r="BF101" s="207"/>
      <c r="BG101" s="207"/>
      <c r="BH101" s="207"/>
      <c r="BI101" s="207"/>
      <c r="BJ101" s="207"/>
      <c r="BK101" s="207"/>
      <c r="BL101" s="207"/>
      <c r="BM101" s="207"/>
      <c r="BN101" s="207"/>
      <c r="BO101" s="207"/>
      <c r="BP101" s="207"/>
      <c r="BQ101" s="207"/>
      <c r="BR101" s="207"/>
    </row>
    <row r="102" spans="1:70" ht="14.25" customHeight="1" x14ac:dyDescent="0.25">
      <c r="A102" s="31" t="s">
        <v>19</v>
      </c>
      <c r="B102" s="207" t="s">
        <v>158</v>
      </c>
      <c r="C102" s="207"/>
      <c r="D102" s="207"/>
      <c r="E102" s="207"/>
      <c r="F102" s="207"/>
      <c r="G102" s="207"/>
      <c r="H102" s="207"/>
      <c r="I102" s="207"/>
      <c r="J102" s="207"/>
      <c r="K102" s="207"/>
      <c r="L102" s="207"/>
      <c r="M102" s="207"/>
      <c r="N102" s="207"/>
      <c r="O102" s="207"/>
      <c r="P102" s="207"/>
      <c r="Q102" s="207"/>
      <c r="R102" s="207"/>
      <c r="S102" s="207"/>
      <c r="T102" s="207"/>
      <c r="U102" s="207"/>
      <c r="V102" s="207"/>
      <c r="W102" s="207"/>
      <c r="X102" s="207"/>
      <c r="Y102" s="207"/>
      <c r="Z102" s="207"/>
      <c r="AA102" s="207"/>
      <c r="AB102" s="207"/>
      <c r="AC102" s="207"/>
      <c r="AD102" s="207"/>
      <c r="AE102" s="207"/>
      <c r="AF102" s="207"/>
      <c r="AG102" s="207"/>
      <c r="AH102" s="207"/>
      <c r="AI102" s="207"/>
      <c r="AJ102" s="207"/>
      <c r="AK102" s="207"/>
      <c r="AL102" s="207"/>
      <c r="AM102" s="207"/>
      <c r="AN102" s="207"/>
      <c r="AO102" s="207"/>
      <c r="AP102" s="207"/>
      <c r="AQ102" s="207"/>
      <c r="AR102" s="207"/>
      <c r="AS102" s="207"/>
      <c r="AT102" s="207"/>
      <c r="AU102" s="207"/>
      <c r="AV102" s="207"/>
      <c r="AW102" s="207"/>
      <c r="AX102" s="207"/>
      <c r="AY102" s="207"/>
      <c r="AZ102" s="207"/>
      <c r="BA102" s="207"/>
      <c r="BB102" s="207"/>
      <c r="BC102" s="207"/>
      <c r="BD102" s="207"/>
      <c r="BE102" s="207"/>
      <c r="BF102" s="207"/>
      <c r="BG102" s="207"/>
      <c r="BH102" s="207"/>
      <c r="BI102" s="207"/>
      <c r="BJ102" s="207"/>
      <c r="BK102" s="207"/>
      <c r="BL102" s="207"/>
      <c r="BM102" s="207"/>
      <c r="BN102" s="207"/>
      <c r="BO102" s="207"/>
      <c r="BP102" s="207"/>
      <c r="BQ102" s="207"/>
      <c r="BR102" s="207"/>
    </row>
    <row r="103" spans="1:70" ht="14.25" customHeight="1" x14ac:dyDescent="0.25">
      <c r="A103" s="31" t="s">
        <v>20</v>
      </c>
      <c r="B103" s="207" t="s">
        <v>167</v>
      </c>
      <c r="C103" s="207"/>
      <c r="D103" s="207"/>
      <c r="E103" s="207"/>
      <c r="F103" s="207"/>
      <c r="G103" s="207"/>
      <c r="H103" s="207"/>
      <c r="I103" s="207"/>
      <c r="J103" s="207"/>
      <c r="K103" s="207"/>
      <c r="L103" s="207"/>
      <c r="M103" s="207"/>
      <c r="N103" s="207"/>
      <c r="O103" s="207"/>
      <c r="P103" s="207"/>
      <c r="Q103" s="207"/>
      <c r="R103" s="207"/>
      <c r="S103" s="207"/>
      <c r="T103" s="207"/>
      <c r="U103" s="207"/>
      <c r="V103" s="207"/>
      <c r="W103" s="207"/>
      <c r="X103" s="207"/>
      <c r="Y103" s="207"/>
      <c r="Z103" s="207"/>
      <c r="AA103" s="207"/>
      <c r="AB103" s="207"/>
      <c r="AC103" s="207"/>
      <c r="AD103" s="207"/>
      <c r="AE103" s="207"/>
      <c r="AF103" s="207"/>
      <c r="AG103" s="207"/>
      <c r="AH103" s="207"/>
      <c r="AI103" s="207"/>
      <c r="AJ103" s="207"/>
      <c r="AK103" s="207"/>
      <c r="AL103" s="207"/>
      <c r="AM103" s="207"/>
      <c r="AN103" s="207"/>
      <c r="AO103" s="207"/>
      <c r="AP103" s="207"/>
      <c r="AQ103" s="207"/>
      <c r="AR103" s="207"/>
      <c r="AS103" s="207"/>
      <c r="AT103" s="207"/>
      <c r="AU103" s="207"/>
      <c r="AV103" s="207"/>
      <c r="AW103" s="207"/>
      <c r="AX103" s="207"/>
      <c r="AY103" s="207"/>
      <c r="AZ103" s="207"/>
      <c r="BA103" s="207"/>
      <c r="BB103" s="207"/>
      <c r="BC103" s="207"/>
      <c r="BD103" s="207"/>
      <c r="BE103" s="207"/>
      <c r="BF103" s="207"/>
      <c r="BG103" s="207"/>
      <c r="BH103" s="207"/>
      <c r="BI103" s="207"/>
      <c r="BJ103" s="207"/>
      <c r="BK103" s="207"/>
      <c r="BL103" s="207"/>
      <c r="BM103" s="207"/>
      <c r="BN103" s="207"/>
      <c r="BO103" s="207"/>
      <c r="BP103" s="207"/>
      <c r="BQ103" s="207"/>
      <c r="BR103" s="207"/>
    </row>
    <row r="104" spans="1:70" ht="14.25" customHeight="1" x14ac:dyDescent="0.25">
      <c r="A104" s="31"/>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row>
    <row r="105" spans="1:70" ht="14.25" customHeight="1" x14ac:dyDescent="0.25">
      <c r="A105" s="31"/>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row>
    <row r="106" spans="1:70" ht="14.25" customHeight="1" x14ac:dyDescent="0.25">
      <c r="A106" s="143"/>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32"/>
      <c r="Z106" s="32"/>
      <c r="AA106" s="32"/>
      <c r="AB106" s="32"/>
      <c r="AC106" s="32"/>
      <c r="AD106" s="32"/>
      <c r="AE106" s="32"/>
      <c r="AF106" s="32"/>
      <c r="AG106" s="32"/>
      <c r="AH106" s="32"/>
      <c r="AI106" s="32"/>
      <c r="AJ106" s="142" t="s">
        <v>71</v>
      </c>
      <c r="AK106" s="142"/>
      <c r="AL106" s="142"/>
      <c r="AM106" s="142"/>
      <c r="AN106" s="142"/>
      <c r="AO106" s="142"/>
      <c r="AP106" s="142"/>
      <c r="AQ106" s="142"/>
      <c r="AR106" s="142"/>
      <c r="AS106" s="142"/>
      <c r="AT106" s="142"/>
      <c r="AU106" s="142"/>
      <c r="AV106" s="142"/>
      <c r="AW106" s="142"/>
      <c r="AX106" s="142"/>
      <c r="AY106" s="142"/>
      <c r="AZ106" s="142"/>
      <c r="BA106" s="142"/>
      <c r="BB106" s="142"/>
      <c r="BC106" s="142"/>
      <c r="BD106" s="142"/>
      <c r="BE106" s="142"/>
      <c r="BF106" s="142"/>
      <c r="BG106" s="142"/>
      <c r="BH106" s="142"/>
      <c r="BI106" s="142"/>
      <c r="BJ106" s="142"/>
      <c r="BK106" s="142"/>
      <c r="BL106" s="142"/>
      <c r="BM106" s="142"/>
      <c r="BN106" s="142"/>
      <c r="BO106" s="142"/>
      <c r="BP106" s="142"/>
      <c r="BQ106" s="142"/>
      <c r="BR106" s="142"/>
    </row>
    <row r="107" spans="1:70" ht="14.25" customHeight="1" x14ac:dyDescent="0.25">
      <c r="A107" s="33"/>
      <c r="B107" s="34"/>
      <c r="C107" s="34"/>
      <c r="D107" s="33"/>
      <c r="E107" s="33"/>
      <c r="F107" s="33"/>
      <c r="G107" s="33"/>
      <c r="H107" s="33"/>
      <c r="I107" s="33"/>
      <c r="J107" s="33"/>
      <c r="K107" s="33"/>
      <c r="L107" s="33"/>
      <c r="M107" s="33"/>
      <c r="N107" s="33"/>
      <c r="O107" s="33"/>
      <c r="P107" s="33"/>
      <c r="Q107" s="33"/>
      <c r="R107" s="33"/>
      <c r="S107" s="33"/>
      <c r="T107" s="35"/>
      <c r="U107" s="35"/>
      <c r="V107" s="35"/>
      <c r="W107" s="35"/>
      <c r="X107" s="35"/>
      <c r="Y107" s="36"/>
      <c r="Z107" s="36"/>
      <c r="AA107" s="36"/>
      <c r="AB107" s="36"/>
      <c r="AC107" s="36"/>
      <c r="AD107" s="36"/>
      <c r="AE107" s="36"/>
      <c r="AF107" s="36"/>
      <c r="AG107" s="36"/>
      <c r="AH107" s="36"/>
      <c r="AI107" s="36"/>
      <c r="AJ107" s="142"/>
      <c r="AK107" s="142"/>
      <c r="AL107" s="142"/>
      <c r="AM107" s="142"/>
      <c r="AN107" s="142"/>
      <c r="AO107" s="142"/>
      <c r="AP107" s="142"/>
      <c r="AQ107" s="142"/>
      <c r="AR107" s="142"/>
      <c r="AS107" s="142"/>
      <c r="AT107" s="142"/>
      <c r="AU107" s="142"/>
      <c r="AV107" s="142"/>
      <c r="AW107" s="142"/>
      <c r="AX107" s="142"/>
      <c r="AY107" s="142"/>
      <c r="AZ107" s="142"/>
      <c r="BA107" s="142"/>
      <c r="BB107" s="142"/>
      <c r="BC107" s="142"/>
      <c r="BD107" s="142"/>
      <c r="BE107" s="142"/>
      <c r="BF107" s="142"/>
      <c r="BG107" s="142"/>
      <c r="BH107" s="142"/>
      <c r="BI107" s="142"/>
      <c r="BJ107" s="142"/>
      <c r="BK107" s="142"/>
      <c r="BL107" s="142"/>
      <c r="BM107" s="142"/>
      <c r="BN107" s="142"/>
      <c r="BO107" s="142"/>
      <c r="BP107" s="142"/>
      <c r="BQ107" s="142"/>
      <c r="BR107" s="142"/>
    </row>
    <row r="108" spans="1:70" ht="14.25" customHeight="1" x14ac:dyDescent="0.25">
      <c r="A108" s="33"/>
      <c r="B108" s="34"/>
      <c r="C108" s="34"/>
      <c r="D108" s="33"/>
      <c r="E108" s="33"/>
      <c r="F108" s="33"/>
      <c r="G108" s="33"/>
      <c r="H108" s="33"/>
      <c r="I108" s="33"/>
      <c r="J108" s="33"/>
      <c r="K108" s="33"/>
      <c r="L108" s="33"/>
      <c r="M108" s="33"/>
      <c r="N108" s="33"/>
      <c r="O108" s="33"/>
      <c r="P108" s="33"/>
      <c r="Q108" s="33"/>
      <c r="R108" s="33"/>
      <c r="S108" s="33"/>
      <c r="T108" s="35"/>
      <c r="U108" s="35"/>
      <c r="V108" s="35"/>
      <c r="W108" s="35"/>
      <c r="X108" s="35"/>
      <c r="Y108" s="36"/>
      <c r="Z108" s="36"/>
      <c r="AA108" s="36"/>
      <c r="AB108" s="36"/>
      <c r="AC108" s="36"/>
      <c r="AD108" s="36"/>
      <c r="AE108" s="36"/>
      <c r="AF108" s="36"/>
      <c r="AG108" s="36"/>
      <c r="AH108" s="36"/>
      <c r="AI108" s="36"/>
      <c r="AJ108" s="142"/>
      <c r="AK108" s="142"/>
      <c r="AL108" s="142"/>
      <c r="AM108" s="142"/>
      <c r="AN108" s="142"/>
      <c r="AO108" s="142"/>
      <c r="AP108" s="142"/>
      <c r="AQ108" s="142"/>
      <c r="AR108" s="142"/>
      <c r="AS108" s="142"/>
      <c r="AT108" s="142"/>
      <c r="AU108" s="142"/>
      <c r="AV108" s="142"/>
      <c r="AW108" s="142"/>
      <c r="AX108" s="142"/>
      <c r="AY108" s="142"/>
      <c r="AZ108" s="142"/>
      <c r="BA108" s="142"/>
      <c r="BB108" s="142"/>
      <c r="BC108" s="142"/>
      <c r="BD108" s="142"/>
      <c r="BE108" s="142"/>
      <c r="BF108" s="142"/>
      <c r="BG108" s="142"/>
      <c r="BH108" s="142"/>
      <c r="BI108" s="142"/>
      <c r="BJ108" s="142"/>
      <c r="BK108" s="142"/>
      <c r="BL108" s="142"/>
      <c r="BM108" s="142"/>
      <c r="BN108" s="142"/>
      <c r="BO108" s="142"/>
      <c r="BP108" s="142"/>
      <c r="BQ108" s="142"/>
      <c r="BR108" s="142"/>
    </row>
    <row r="109" spans="1:70" ht="14.25" customHeight="1" x14ac:dyDescent="0.25">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6"/>
      <c r="AG109" s="36"/>
      <c r="AH109" s="36"/>
      <c r="AI109" s="36"/>
      <c r="AJ109" s="142"/>
      <c r="AK109" s="142"/>
      <c r="AL109" s="142"/>
      <c r="AM109" s="142"/>
      <c r="AN109" s="142"/>
      <c r="AO109" s="142"/>
      <c r="AP109" s="142"/>
      <c r="AQ109" s="142"/>
      <c r="AR109" s="142"/>
      <c r="AS109" s="142"/>
      <c r="AT109" s="142"/>
      <c r="AU109" s="142"/>
      <c r="AV109" s="142"/>
      <c r="AW109" s="142"/>
      <c r="AX109" s="142"/>
      <c r="AY109" s="142"/>
      <c r="AZ109" s="142"/>
      <c r="BA109" s="142"/>
      <c r="BB109" s="142"/>
      <c r="BC109" s="142"/>
      <c r="BD109" s="142"/>
      <c r="BE109" s="142"/>
      <c r="BF109" s="142"/>
      <c r="BG109" s="142"/>
      <c r="BH109" s="142"/>
      <c r="BI109" s="142"/>
      <c r="BJ109" s="142"/>
      <c r="BK109" s="142"/>
      <c r="BL109" s="142"/>
      <c r="BM109" s="142"/>
      <c r="BN109" s="142"/>
      <c r="BO109" s="142"/>
      <c r="BP109" s="142"/>
      <c r="BQ109" s="142"/>
      <c r="BR109" s="142"/>
    </row>
    <row r="110" spans="1:70" ht="14.25" customHeight="1" x14ac:dyDescent="0.25">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6"/>
      <c r="AG110" s="36"/>
      <c r="AH110" s="36"/>
      <c r="AI110" s="36"/>
      <c r="AJ110" s="142"/>
      <c r="AK110" s="142"/>
      <c r="AL110" s="142"/>
      <c r="AM110" s="142"/>
      <c r="AN110" s="142"/>
      <c r="AO110" s="142"/>
      <c r="AP110" s="142"/>
      <c r="AQ110" s="142"/>
      <c r="AR110" s="142"/>
      <c r="AS110" s="142"/>
      <c r="AT110" s="142"/>
      <c r="AU110" s="142"/>
      <c r="AV110" s="142"/>
      <c r="AW110" s="142"/>
      <c r="AX110" s="142"/>
      <c r="AY110" s="142"/>
      <c r="AZ110" s="142"/>
      <c r="BA110" s="142"/>
      <c r="BB110" s="142"/>
      <c r="BC110" s="142"/>
      <c r="BD110" s="142"/>
      <c r="BE110" s="142"/>
      <c r="BF110" s="142"/>
      <c r="BG110" s="142"/>
      <c r="BH110" s="142"/>
      <c r="BI110" s="142"/>
      <c r="BJ110" s="142"/>
      <c r="BK110" s="142"/>
      <c r="BL110" s="142"/>
      <c r="BM110" s="142"/>
      <c r="BN110" s="142"/>
      <c r="BO110" s="142"/>
      <c r="BP110" s="142"/>
      <c r="BQ110" s="142"/>
      <c r="BR110" s="142"/>
    </row>
    <row r="111" spans="1:70" ht="14.25" customHeight="1" x14ac:dyDescent="0.25">
      <c r="A111" s="38"/>
      <c r="B111" s="16"/>
      <c r="C111" s="16"/>
      <c r="D111" s="38"/>
      <c r="E111" s="38"/>
      <c r="F111" s="38"/>
      <c r="G111" s="38"/>
      <c r="H111" s="38"/>
      <c r="I111" s="38"/>
      <c r="J111" s="38"/>
      <c r="K111" s="38"/>
      <c r="L111" s="38"/>
      <c r="M111" s="38"/>
      <c r="N111" s="38"/>
      <c r="O111" s="38"/>
      <c r="P111" s="38"/>
      <c r="Q111" s="38"/>
      <c r="R111" s="38"/>
      <c r="S111" s="38"/>
      <c r="T111" s="39"/>
      <c r="U111" s="39"/>
      <c r="V111" s="39"/>
      <c r="W111" s="39"/>
      <c r="X111" s="39"/>
      <c r="Y111" s="38"/>
      <c r="Z111" s="38"/>
      <c r="AA111" s="38"/>
      <c r="AB111" s="38"/>
      <c r="AC111" s="38"/>
      <c r="AD111" s="38"/>
      <c r="AE111" s="38"/>
      <c r="AF111" s="36"/>
      <c r="AG111" s="36"/>
      <c r="AH111" s="36"/>
      <c r="AI111" s="36"/>
      <c r="AJ111" s="142"/>
      <c r="AK111" s="142"/>
      <c r="AL111" s="142"/>
      <c r="AM111" s="142"/>
      <c r="AN111" s="142"/>
      <c r="AO111" s="142"/>
      <c r="AP111" s="142"/>
      <c r="AQ111" s="142"/>
      <c r="AR111" s="142"/>
      <c r="AS111" s="142"/>
      <c r="AT111" s="142"/>
      <c r="AU111" s="142"/>
      <c r="AV111" s="142"/>
      <c r="AW111" s="142"/>
      <c r="AX111" s="142"/>
      <c r="AY111" s="142"/>
      <c r="AZ111" s="142"/>
      <c r="BA111" s="142"/>
      <c r="BB111" s="142"/>
      <c r="BC111" s="142"/>
      <c r="BD111" s="142"/>
      <c r="BE111" s="142"/>
      <c r="BF111" s="142"/>
      <c r="BG111" s="142"/>
      <c r="BH111" s="142"/>
      <c r="BI111" s="142"/>
      <c r="BJ111" s="142"/>
      <c r="BK111" s="142"/>
      <c r="BL111" s="142"/>
      <c r="BM111" s="142"/>
      <c r="BN111" s="142"/>
      <c r="BO111" s="142"/>
      <c r="BP111" s="142"/>
      <c r="BQ111" s="142"/>
      <c r="BR111" s="142"/>
    </row>
    <row r="112" spans="1:70" ht="14.25" customHeight="1" x14ac:dyDescent="0.25">
      <c r="A112" s="70"/>
      <c r="B112" s="16"/>
      <c r="C112" s="16"/>
      <c r="D112" s="70"/>
      <c r="E112" s="70"/>
      <c r="F112" s="70"/>
      <c r="G112" s="70"/>
      <c r="H112" s="70"/>
      <c r="I112" s="70"/>
      <c r="J112" s="70"/>
      <c r="K112" s="70"/>
      <c r="L112" s="70"/>
      <c r="M112" s="70"/>
      <c r="N112" s="70"/>
      <c r="O112" s="70"/>
      <c r="P112" s="70"/>
      <c r="Q112" s="70"/>
      <c r="R112" s="70"/>
      <c r="S112" s="70"/>
      <c r="T112" s="40"/>
      <c r="U112" s="40"/>
      <c r="V112" s="40"/>
      <c r="W112" s="40"/>
      <c r="X112" s="40"/>
      <c r="Y112" s="38"/>
      <c r="Z112" s="38"/>
      <c r="AA112" s="38"/>
      <c r="AB112" s="38"/>
      <c r="AC112" s="38"/>
      <c r="AD112" s="38"/>
      <c r="AE112" s="38"/>
      <c r="AF112" s="36"/>
      <c r="AG112" s="36"/>
      <c r="AH112" s="36"/>
      <c r="AI112" s="36"/>
      <c r="AJ112" s="142"/>
      <c r="AK112" s="142"/>
      <c r="AL112" s="142"/>
      <c r="AM112" s="142"/>
      <c r="AN112" s="142"/>
      <c r="AO112" s="142"/>
      <c r="AP112" s="142"/>
      <c r="AQ112" s="142"/>
      <c r="AR112" s="142"/>
      <c r="AS112" s="142"/>
      <c r="AT112" s="142"/>
      <c r="AU112" s="142"/>
      <c r="AV112" s="142"/>
      <c r="AW112" s="142"/>
      <c r="AX112" s="142"/>
      <c r="AY112" s="142"/>
      <c r="AZ112" s="142"/>
      <c r="BA112" s="142"/>
      <c r="BB112" s="142"/>
      <c r="BC112" s="142"/>
      <c r="BD112" s="142"/>
      <c r="BE112" s="142"/>
      <c r="BF112" s="142"/>
      <c r="BG112" s="142"/>
      <c r="BH112" s="142"/>
      <c r="BI112" s="142"/>
      <c r="BJ112" s="142"/>
      <c r="BK112" s="142"/>
      <c r="BL112" s="142"/>
      <c r="BM112" s="142"/>
      <c r="BN112" s="142"/>
      <c r="BO112" s="142"/>
      <c r="BP112" s="142"/>
      <c r="BQ112" s="142"/>
      <c r="BR112" s="142"/>
    </row>
    <row r="113" spans="1:70" ht="14.25" customHeight="1" x14ac:dyDescent="0.3">
      <c r="A113" s="70"/>
      <c r="B113" s="16"/>
      <c r="C113" s="16"/>
      <c r="D113" s="70"/>
      <c r="E113" s="70"/>
      <c r="F113" s="70"/>
      <c r="G113" s="70"/>
      <c r="H113" s="70"/>
      <c r="I113" s="70"/>
      <c r="J113" s="70"/>
      <c r="K113" s="70"/>
      <c r="L113" s="70"/>
      <c r="M113" s="70"/>
      <c r="N113" s="70"/>
      <c r="O113" s="70"/>
      <c r="P113" s="70"/>
      <c r="Q113" s="70"/>
      <c r="R113" s="70"/>
      <c r="S113" s="70"/>
      <c r="T113" s="40"/>
      <c r="U113" s="40"/>
      <c r="V113" s="40"/>
      <c r="W113" s="40"/>
      <c r="X113" s="40"/>
      <c r="Y113" s="38"/>
      <c r="Z113" s="38"/>
      <c r="AA113" s="38"/>
      <c r="AB113" s="38"/>
      <c r="AC113" s="38"/>
      <c r="AD113" s="38"/>
      <c r="AE113" s="38"/>
      <c r="AF113" s="36"/>
      <c r="AG113" s="36"/>
      <c r="AH113" s="36"/>
      <c r="AI113" s="36"/>
      <c r="AJ113" s="36"/>
      <c r="AK113" s="41"/>
      <c r="AL113" s="69"/>
      <c r="AM113" s="69"/>
      <c r="AN113" s="69"/>
      <c r="AO113" s="69"/>
      <c r="AP113" s="69"/>
      <c r="AQ113" s="69"/>
      <c r="AR113" s="69"/>
      <c r="AS113" s="69"/>
      <c r="AT113" s="69"/>
      <c r="AU113" s="69"/>
      <c r="AV113" s="69"/>
      <c r="AW113" s="69"/>
      <c r="AX113" s="69"/>
      <c r="AY113" s="69"/>
      <c r="AZ113" s="69"/>
      <c r="BA113" s="69"/>
      <c r="BB113" s="69"/>
      <c r="BC113" s="69"/>
      <c r="BD113" s="69"/>
      <c r="BE113" s="69"/>
      <c r="BF113" s="69"/>
      <c r="BG113" s="69"/>
      <c r="BH113" s="69"/>
      <c r="BI113" s="69"/>
      <c r="BJ113" s="69"/>
      <c r="BK113" s="69"/>
      <c r="BL113" s="69"/>
      <c r="BM113" s="69"/>
      <c r="BN113" s="69"/>
      <c r="BO113" s="69"/>
      <c r="BP113" s="69"/>
    </row>
    <row r="114" spans="1:70" ht="14.25" customHeight="1" x14ac:dyDescent="0.3">
      <c r="A114" s="70"/>
      <c r="B114" s="16"/>
      <c r="C114" s="16"/>
      <c r="D114" s="70"/>
      <c r="E114" s="70"/>
      <c r="F114" s="70"/>
      <c r="G114" s="70"/>
      <c r="H114" s="70"/>
      <c r="I114" s="70"/>
      <c r="J114" s="70"/>
      <c r="K114" s="70"/>
      <c r="L114" s="70"/>
      <c r="M114" s="70"/>
      <c r="N114" s="70"/>
      <c r="O114" s="70"/>
      <c r="P114" s="70"/>
      <c r="Q114" s="70"/>
      <c r="R114" s="70"/>
      <c r="S114" s="70"/>
      <c r="T114" s="40"/>
      <c r="U114" s="40"/>
      <c r="V114" s="40"/>
      <c r="W114" s="40"/>
      <c r="X114" s="40"/>
      <c r="Y114" s="38"/>
      <c r="Z114" s="38"/>
      <c r="AA114" s="38"/>
      <c r="AB114" s="38"/>
      <c r="AC114" s="38"/>
      <c r="AD114" s="38"/>
      <c r="AE114" s="38"/>
      <c r="AF114" s="36"/>
      <c r="AG114" s="36"/>
      <c r="AH114" s="36"/>
      <c r="AI114" s="36"/>
      <c r="AJ114" s="36"/>
      <c r="AK114" s="41"/>
      <c r="AL114" s="69"/>
      <c r="AM114" s="69"/>
      <c r="AN114" s="69"/>
      <c r="AO114" s="69"/>
      <c r="AP114" s="69"/>
      <c r="AQ114" s="69"/>
      <c r="AR114" s="69"/>
      <c r="AS114" s="69"/>
      <c r="AT114" s="69"/>
      <c r="AU114" s="69"/>
      <c r="AV114" s="69"/>
      <c r="AW114" s="69"/>
      <c r="AX114" s="69"/>
      <c r="AY114" s="69"/>
      <c r="AZ114" s="69"/>
      <c r="BA114" s="69"/>
      <c r="BB114" s="69"/>
      <c r="BC114" s="69"/>
      <c r="BD114" s="69"/>
      <c r="BE114" s="69"/>
      <c r="BF114" s="69"/>
      <c r="BG114" s="69"/>
      <c r="BH114" s="69"/>
      <c r="BI114" s="69"/>
      <c r="BJ114" s="69"/>
      <c r="BK114" s="69"/>
      <c r="BL114" s="69"/>
      <c r="BM114" s="69"/>
      <c r="BN114" s="69"/>
      <c r="BO114" s="69"/>
      <c r="BP114" s="69"/>
    </row>
    <row r="115" spans="1:70" ht="14.25" customHeight="1" x14ac:dyDescent="0.25">
      <c r="A115" s="141" t="s">
        <v>67</v>
      </c>
      <c r="B115" s="141"/>
      <c r="C115" s="141"/>
      <c r="D115" s="141"/>
      <c r="E115" s="141"/>
      <c r="F115" s="141"/>
      <c r="G115" s="141"/>
      <c r="H115" s="141"/>
      <c r="I115" s="141"/>
      <c r="J115" s="141"/>
      <c r="K115" s="141"/>
      <c r="L115" s="141"/>
      <c r="M115" s="141"/>
      <c r="N115" s="141"/>
      <c r="O115" s="141"/>
      <c r="P115" s="142" t="s">
        <v>21</v>
      </c>
      <c r="Q115" s="142"/>
      <c r="R115" s="142"/>
      <c r="S115" s="142"/>
      <c r="T115" s="142"/>
      <c r="U115" s="142"/>
      <c r="V115" s="142"/>
      <c r="W115" s="142"/>
      <c r="X115" s="142"/>
      <c r="Y115" s="141" t="s">
        <v>68</v>
      </c>
      <c r="Z115" s="141"/>
      <c r="AA115" s="141"/>
      <c r="AB115" s="141"/>
      <c r="AC115" s="141"/>
      <c r="AD115" s="141"/>
      <c r="AE115" s="141"/>
      <c r="AF115" s="42"/>
      <c r="AG115" s="42"/>
      <c r="AH115" s="43"/>
      <c r="AI115" s="43"/>
      <c r="AJ115" s="203" t="s">
        <v>238</v>
      </c>
      <c r="AK115" s="203"/>
      <c r="AL115" s="203"/>
      <c r="AM115" s="203"/>
      <c r="AN115" s="203"/>
      <c r="AO115" s="203"/>
      <c r="AP115" s="203"/>
      <c r="AQ115" s="203"/>
      <c r="AR115" s="203"/>
      <c r="AS115" s="203"/>
      <c r="AT115" s="203"/>
      <c r="AU115" s="203"/>
      <c r="AV115" s="203"/>
      <c r="AW115" s="203"/>
      <c r="AX115" s="203"/>
      <c r="AY115" s="142" t="s">
        <v>21</v>
      </c>
      <c r="AZ115" s="142"/>
      <c r="BA115" s="142"/>
      <c r="BB115" s="142"/>
      <c r="BC115" s="142"/>
      <c r="BD115" s="142"/>
      <c r="BE115" s="142"/>
      <c r="BF115" s="142"/>
      <c r="BG115" s="142"/>
      <c r="BH115" s="203" t="s">
        <v>241</v>
      </c>
      <c r="BI115" s="203"/>
      <c r="BJ115" s="203"/>
      <c r="BK115" s="203"/>
      <c r="BL115" s="203"/>
      <c r="BM115" s="203"/>
      <c r="BN115" s="203"/>
      <c r="BO115" s="203"/>
      <c r="BP115" s="203"/>
      <c r="BQ115" s="203"/>
      <c r="BR115" s="203"/>
    </row>
    <row r="116" spans="1:70" ht="14.25" customHeight="1" x14ac:dyDescent="0.25">
      <c r="A116" s="141"/>
      <c r="B116" s="141"/>
      <c r="C116" s="141"/>
      <c r="D116" s="141"/>
      <c r="E116" s="141"/>
      <c r="F116" s="141"/>
      <c r="G116" s="141"/>
      <c r="H116" s="141"/>
      <c r="I116" s="141"/>
      <c r="J116" s="141"/>
      <c r="K116" s="141"/>
      <c r="L116" s="141"/>
      <c r="M116" s="141"/>
      <c r="N116" s="141"/>
      <c r="O116" s="141"/>
      <c r="P116" s="142"/>
      <c r="Q116" s="142"/>
      <c r="R116" s="142"/>
      <c r="S116" s="142"/>
      <c r="T116" s="142"/>
      <c r="U116" s="142"/>
      <c r="V116" s="142"/>
      <c r="W116" s="142"/>
      <c r="X116" s="142"/>
      <c r="Y116" s="141"/>
      <c r="Z116" s="141"/>
      <c r="AA116" s="141"/>
      <c r="AB116" s="141"/>
      <c r="AC116" s="141"/>
      <c r="AD116" s="141"/>
      <c r="AE116" s="141"/>
      <c r="AF116" s="42"/>
      <c r="AG116" s="42"/>
      <c r="AH116" s="43"/>
      <c r="AI116" s="43"/>
      <c r="AJ116" s="203"/>
      <c r="AK116" s="203"/>
      <c r="AL116" s="203"/>
      <c r="AM116" s="203"/>
      <c r="AN116" s="203"/>
      <c r="AO116" s="203"/>
      <c r="AP116" s="203"/>
      <c r="AQ116" s="203"/>
      <c r="AR116" s="203"/>
      <c r="AS116" s="203"/>
      <c r="AT116" s="203"/>
      <c r="AU116" s="203"/>
      <c r="AV116" s="203"/>
      <c r="AW116" s="203"/>
      <c r="AX116" s="203"/>
      <c r="AY116" s="142"/>
      <c r="AZ116" s="142"/>
      <c r="BA116" s="142"/>
      <c r="BB116" s="142"/>
      <c r="BC116" s="142"/>
      <c r="BD116" s="142"/>
      <c r="BE116" s="142"/>
      <c r="BF116" s="142"/>
      <c r="BG116" s="142"/>
      <c r="BH116" s="203"/>
      <c r="BI116" s="203"/>
      <c r="BJ116" s="203"/>
      <c r="BK116" s="203"/>
      <c r="BL116" s="203"/>
      <c r="BM116" s="203"/>
      <c r="BN116" s="203"/>
      <c r="BO116" s="203"/>
      <c r="BP116" s="203"/>
      <c r="BQ116" s="203"/>
      <c r="BR116" s="203"/>
    </row>
    <row r="117" spans="1:70" ht="14.25" customHeight="1" x14ac:dyDescent="0.25">
      <c r="A117" s="141"/>
      <c r="B117" s="141"/>
      <c r="C117" s="141"/>
      <c r="D117" s="141"/>
      <c r="E117" s="141"/>
      <c r="F117" s="141"/>
      <c r="G117" s="141"/>
      <c r="H117" s="141"/>
      <c r="I117" s="141"/>
      <c r="J117" s="141"/>
      <c r="K117" s="141"/>
      <c r="L117" s="141"/>
      <c r="M117" s="141"/>
      <c r="N117" s="141"/>
      <c r="O117" s="141"/>
      <c r="P117" s="142"/>
      <c r="Q117" s="142"/>
      <c r="R117" s="142"/>
      <c r="S117" s="142"/>
      <c r="T117" s="142"/>
      <c r="U117" s="142"/>
      <c r="V117" s="142"/>
      <c r="W117" s="142"/>
      <c r="X117" s="142"/>
      <c r="Y117" s="141"/>
      <c r="Z117" s="141"/>
      <c r="AA117" s="141"/>
      <c r="AB117" s="141"/>
      <c r="AC117" s="141"/>
      <c r="AD117" s="141"/>
      <c r="AE117" s="141"/>
      <c r="AF117" s="42"/>
      <c r="AG117" s="42"/>
      <c r="AH117" s="43"/>
      <c r="AI117" s="43"/>
      <c r="AJ117" s="203"/>
      <c r="AK117" s="203"/>
      <c r="AL117" s="203"/>
      <c r="AM117" s="203"/>
      <c r="AN117" s="203"/>
      <c r="AO117" s="203"/>
      <c r="AP117" s="203"/>
      <c r="AQ117" s="203"/>
      <c r="AR117" s="203"/>
      <c r="AS117" s="203"/>
      <c r="AT117" s="203"/>
      <c r="AU117" s="203"/>
      <c r="AV117" s="203"/>
      <c r="AW117" s="203"/>
      <c r="AX117" s="203"/>
      <c r="AY117" s="142"/>
      <c r="AZ117" s="142"/>
      <c r="BA117" s="142"/>
      <c r="BB117" s="142"/>
      <c r="BC117" s="142"/>
      <c r="BD117" s="142"/>
      <c r="BE117" s="142"/>
      <c r="BF117" s="142"/>
      <c r="BG117" s="142"/>
      <c r="BH117" s="203"/>
      <c r="BI117" s="203"/>
      <c r="BJ117" s="203"/>
      <c r="BK117" s="203"/>
      <c r="BL117" s="203"/>
      <c r="BM117" s="203"/>
      <c r="BN117" s="203"/>
      <c r="BO117" s="203"/>
      <c r="BP117" s="203"/>
      <c r="BQ117" s="203"/>
      <c r="BR117" s="203"/>
    </row>
    <row r="118" spans="1:70" ht="14.25" customHeight="1" x14ac:dyDescent="0.25">
      <c r="A118" s="141"/>
      <c r="B118" s="141"/>
      <c r="C118" s="141"/>
      <c r="D118" s="141"/>
      <c r="E118" s="141"/>
      <c r="F118" s="141"/>
      <c r="G118" s="141"/>
      <c r="H118" s="141"/>
      <c r="I118" s="141"/>
      <c r="J118" s="141"/>
      <c r="K118" s="141"/>
      <c r="L118" s="141"/>
      <c r="M118" s="141"/>
      <c r="N118" s="141"/>
      <c r="O118" s="141"/>
      <c r="P118" s="142"/>
      <c r="Q118" s="142"/>
      <c r="R118" s="142"/>
      <c r="S118" s="142"/>
      <c r="T118" s="142"/>
      <c r="U118" s="142"/>
      <c r="V118" s="142"/>
      <c r="W118" s="142"/>
      <c r="X118" s="142"/>
      <c r="Y118" s="141"/>
      <c r="Z118" s="141"/>
      <c r="AA118" s="141"/>
      <c r="AB118" s="141"/>
      <c r="AC118" s="141"/>
      <c r="AD118" s="141"/>
      <c r="AE118" s="141"/>
      <c r="AF118" s="42"/>
      <c r="AG118" s="42"/>
      <c r="AH118" s="43"/>
      <c r="AI118" s="43"/>
      <c r="AJ118" s="203"/>
      <c r="AK118" s="203"/>
      <c r="AL118" s="203"/>
      <c r="AM118" s="203"/>
      <c r="AN118" s="203"/>
      <c r="AO118" s="203"/>
      <c r="AP118" s="203"/>
      <c r="AQ118" s="203"/>
      <c r="AR118" s="203"/>
      <c r="AS118" s="203"/>
      <c r="AT118" s="203"/>
      <c r="AU118" s="203"/>
      <c r="AV118" s="203"/>
      <c r="AW118" s="203"/>
      <c r="AX118" s="203"/>
      <c r="AY118" s="142"/>
      <c r="AZ118" s="142"/>
      <c r="BA118" s="142"/>
      <c r="BB118" s="142"/>
      <c r="BC118" s="142"/>
      <c r="BD118" s="142"/>
      <c r="BE118" s="142"/>
      <c r="BF118" s="142"/>
      <c r="BG118" s="142"/>
      <c r="BH118" s="203"/>
      <c r="BI118" s="203"/>
      <c r="BJ118" s="203"/>
      <c r="BK118" s="203"/>
      <c r="BL118" s="203"/>
      <c r="BM118" s="203"/>
      <c r="BN118" s="203"/>
      <c r="BO118" s="203"/>
      <c r="BP118" s="203"/>
      <c r="BQ118" s="203"/>
      <c r="BR118" s="203"/>
    </row>
    <row r="119" spans="1:70" ht="14.25" customHeight="1" x14ac:dyDescent="0.25">
      <c r="A119" s="68"/>
      <c r="B119" s="68"/>
      <c r="C119" s="68"/>
      <c r="D119" s="68"/>
      <c r="E119" s="68"/>
      <c r="F119" s="68"/>
      <c r="G119" s="68"/>
      <c r="H119" s="68"/>
      <c r="I119" s="68"/>
      <c r="J119" s="68"/>
      <c r="K119" s="68"/>
      <c r="L119" s="68"/>
      <c r="M119" s="68"/>
      <c r="N119" s="68"/>
      <c r="O119" s="68"/>
      <c r="P119" s="69"/>
      <c r="Q119" s="69"/>
      <c r="R119" s="69"/>
      <c r="S119" s="69"/>
      <c r="T119" s="69"/>
      <c r="U119" s="69"/>
      <c r="V119" s="69"/>
      <c r="W119" s="69"/>
      <c r="X119" s="69"/>
      <c r="Y119" s="68"/>
      <c r="Z119" s="68"/>
      <c r="AA119" s="68"/>
      <c r="AB119" s="68"/>
      <c r="AC119" s="68"/>
      <c r="AD119" s="68"/>
      <c r="AE119" s="68"/>
      <c r="AF119" s="42"/>
      <c r="AG119" s="42"/>
      <c r="AH119" s="43"/>
      <c r="AI119" s="43"/>
      <c r="AJ119" s="68"/>
      <c r="AK119" s="68"/>
      <c r="AL119" s="68"/>
      <c r="AM119" s="68"/>
      <c r="AN119" s="68"/>
      <c r="AO119" s="68"/>
      <c r="AP119" s="68"/>
      <c r="AQ119" s="68"/>
      <c r="AR119" s="68"/>
      <c r="AS119" s="68"/>
      <c r="AT119" s="68"/>
      <c r="AU119" s="68"/>
      <c r="AV119" s="68"/>
      <c r="AW119" s="68"/>
      <c r="AX119" s="68"/>
      <c r="AY119" s="69"/>
      <c r="AZ119" s="69"/>
      <c r="BA119" s="69"/>
      <c r="BB119" s="69"/>
      <c r="BC119" s="69"/>
      <c r="BD119" s="69"/>
      <c r="BE119" s="69"/>
      <c r="BF119" s="69"/>
      <c r="BG119" s="69"/>
      <c r="BH119" s="81"/>
      <c r="BI119" s="81"/>
      <c r="BJ119" s="81"/>
      <c r="BK119" s="81"/>
      <c r="BL119" s="81"/>
      <c r="BM119" s="81"/>
      <c r="BN119" s="81"/>
      <c r="BO119" s="81"/>
      <c r="BP119" s="81"/>
      <c r="BQ119" s="81"/>
      <c r="BR119" s="81"/>
    </row>
    <row r="120" spans="1:70" ht="14.25" customHeight="1" x14ac:dyDescent="0.3">
      <c r="A120" s="68"/>
      <c r="B120" s="68"/>
      <c r="C120" s="68"/>
      <c r="D120" s="68"/>
      <c r="E120" s="68"/>
      <c r="F120" s="68"/>
      <c r="G120" s="68"/>
      <c r="H120" s="68"/>
      <c r="I120" s="68"/>
      <c r="J120" s="68"/>
      <c r="K120" s="68"/>
      <c r="L120" s="68"/>
      <c r="M120" s="68"/>
      <c r="N120" s="68"/>
      <c r="O120" s="68"/>
      <c r="P120" s="68"/>
      <c r="Q120" s="42"/>
      <c r="R120" s="42"/>
      <c r="S120" s="42"/>
      <c r="T120" s="68"/>
      <c r="U120" s="68"/>
      <c r="V120" s="44"/>
      <c r="W120" s="44"/>
      <c r="X120" s="44"/>
      <c r="Y120" s="81"/>
      <c r="Z120" s="81"/>
      <c r="AA120" s="81"/>
      <c r="AB120" s="81"/>
      <c r="AC120" s="81"/>
      <c r="AD120" s="81"/>
      <c r="AE120" s="81"/>
      <c r="AF120" s="81"/>
      <c r="AG120" s="81"/>
      <c r="AH120" s="81"/>
      <c r="AI120" s="43"/>
      <c r="AJ120" s="68"/>
      <c r="AK120" s="68"/>
      <c r="AL120" s="68"/>
      <c r="AM120" s="68"/>
      <c r="AN120" s="68"/>
      <c r="AO120" s="68"/>
      <c r="AP120" s="68"/>
      <c r="AQ120" s="68"/>
      <c r="AR120" s="68"/>
      <c r="AS120" s="68"/>
      <c r="AT120" s="68"/>
      <c r="AU120" s="68"/>
      <c r="AV120" s="68"/>
      <c r="AW120" s="68"/>
      <c r="AX120" s="68"/>
      <c r="AY120" s="68"/>
      <c r="AZ120" s="42"/>
      <c r="BA120" s="42"/>
      <c r="BB120" s="42"/>
      <c r="BC120" s="68"/>
      <c r="BD120" s="68"/>
      <c r="BE120" s="44"/>
      <c r="BF120" s="44"/>
      <c r="BG120" s="44"/>
      <c r="BH120" s="81"/>
      <c r="BI120" s="81"/>
      <c r="BJ120" s="81"/>
      <c r="BK120" s="81"/>
      <c r="BL120" s="81"/>
      <c r="BM120" s="81"/>
      <c r="BN120" s="81"/>
      <c r="BO120" s="45"/>
      <c r="BP120" s="45"/>
    </row>
    <row r="121" spans="1:70" ht="14.25" customHeight="1" x14ac:dyDescent="0.25">
      <c r="A121" s="141" t="s">
        <v>254</v>
      </c>
      <c r="B121" s="141"/>
      <c r="C121" s="141"/>
      <c r="D121" s="141"/>
      <c r="E121" s="141"/>
      <c r="F121" s="141"/>
      <c r="G121" s="141"/>
      <c r="H121" s="141"/>
      <c r="I121" s="141"/>
      <c r="J121" s="141"/>
      <c r="K121" s="141"/>
      <c r="L121" s="141"/>
      <c r="M121" s="141"/>
      <c r="N121" s="141"/>
      <c r="O121" s="141"/>
      <c r="P121" s="142" t="s">
        <v>21</v>
      </c>
      <c r="Q121" s="142"/>
      <c r="R121" s="142"/>
      <c r="S121" s="142"/>
      <c r="T121" s="142"/>
      <c r="U121" s="142"/>
      <c r="V121" s="142"/>
      <c r="W121" s="142"/>
      <c r="X121" s="142"/>
      <c r="Y121" s="141" t="s">
        <v>69</v>
      </c>
      <c r="Z121" s="141"/>
      <c r="AA121" s="141"/>
      <c r="AB121" s="141"/>
      <c r="AC121" s="141"/>
      <c r="AD121" s="141"/>
      <c r="AE121" s="141"/>
      <c r="AF121" s="42"/>
      <c r="AG121" s="42"/>
      <c r="AH121" s="43"/>
      <c r="AI121" s="43"/>
      <c r="AJ121" s="141" t="s">
        <v>70</v>
      </c>
      <c r="AK121" s="141"/>
      <c r="AL121" s="141"/>
      <c r="AM121" s="141"/>
      <c r="AN121" s="141"/>
      <c r="AO121" s="141"/>
      <c r="AP121" s="141"/>
      <c r="AQ121" s="141"/>
      <c r="AR121" s="141"/>
      <c r="AS121" s="141"/>
      <c r="AT121" s="141"/>
      <c r="AU121" s="141"/>
      <c r="AV121" s="141"/>
      <c r="AW121" s="141"/>
      <c r="AX121" s="141"/>
      <c r="AY121" s="142" t="s">
        <v>21</v>
      </c>
      <c r="AZ121" s="142"/>
      <c r="BA121" s="142"/>
      <c r="BB121" s="142"/>
      <c r="BC121" s="142"/>
      <c r="BD121" s="142"/>
      <c r="BE121" s="142"/>
      <c r="BF121" s="142"/>
      <c r="BG121" s="142"/>
      <c r="BH121" s="203" t="s">
        <v>245</v>
      </c>
      <c r="BI121" s="203"/>
      <c r="BJ121" s="203"/>
      <c r="BK121" s="203"/>
      <c r="BL121" s="203"/>
      <c r="BM121" s="203"/>
      <c r="BN121" s="203"/>
      <c r="BO121" s="203"/>
      <c r="BP121" s="203"/>
      <c r="BQ121" s="203"/>
      <c r="BR121" s="203"/>
    </row>
    <row r="122" spans="1:70" ht="14.25" customHeight="1" x14ac:dyDescent="0.25">
      <c r="A122" s="141"/>
      <c r="B122" s="141"/>
      <c r="C122" s="141"/>
      <c r="D122" s="141"/>
      <c r="E122" s="141"/>
      <c r="F122" s="141"/>
      <c r="G122" s="141"/>
      <c r="H122" s="141"/>
      <c r="I122" s="141"/>
      <c r="J122" s="141"/>
      <c r="K122" s="141"/>
      <c r="L122" s="141"/>
      <c r="M122" s="141"/>
      <c r="N122" s="141"/>
      <c r="O122" s="141"/>
      <c r="P122" s="142"/>
      <c r="Q122" s="142"/>
      <c r="R122" s="142"/>
      <c r="S122" s="142"/>
      <c r="T122" s="142"/>
      <c r="U122" s="142"/>
      <c r="V122" s="142"/>
      <c r="W122" s="142"/>
      <c r="X122" s="142"/>
      <c r="Y122" s="141"/>
      <c r="Z122" s="141"/>
      <c r="AA122" s="141"/>
      <c r="AB122" s="141"/>
      <c r="AC122" s="141"/>
      <c r="AD122" s="141"/>
      <c r="AE122" s="141"/>
      <c r="AF122" s="42"/>
      <c r="AG122" s="42"/>
      <c r="AH122" s="43"/>
      <c r="AI122" s="43"/>
      <c r="AJ122" s="141"/>
      <c r="AK122" s="141"/>
      <c r="AL122" s="141"/>
      <c r="AM122" s="141"/>
      <c r="AN122" s="141"/>
      <c r="AO122" s="141"/>
      <c r="AP122" s="141"/>
      <c r="AQ122" s="141"/>
      <c r="AR122" s="141"/>
      <c r="AS122" s="141"/>
      <c r="AT122" s="141"/>
      <c r="AU122" s="141"/>
      <c r="AV122" s="141"/>
      <c r="AW122" s="141"/>
      <c r="AX122" s="141"/>
      <c r="AY122" s="142"/>
      <c r="AZ122" s="142"/>
      <c r="BA122" s="142"/>
      <c r="BB122" s="142"/>
      <c r="BC122" s="142"/>
      <c r="BD122" s="142"/>
      <c r="BE122" s="142"/>
      <c r="BF122" s="142"/>
      <c r="BG122" s="142"/>
      <c r="BH122" s="203"/>
      <c r="BI122" s="203"/>
      <c r="BJ122" s="203"/>
      <c r="BK122" s="203"/>
      <c r="BL122" s="203"/>
      <c r="BM122" s="203"/>
      <c r="BN122" s="203"/>
      <c r="BO122" s="203"/>
      <c r="BP122" s="203"/>
      <c r="BQ122" s="203"/>
      <c r="BR122" s="203"/>
    </row>
    <row r="123" spans="1:70" ht="14.25" customHeight="1" x14ac:dyDescent="0.25">
      <c r="A123" s="141"/>
      <c r="B123" s="141"/>
      <c r="C123" s="141"/>
      <c r="D123" s="141"/>
      <c r="E123" s="141"/>
      <c r="F123" s="141"/>
      <c r="G123" s="141"/>
      <c r="H123" s="141"/>
      <c r="I123" s="141"/>
      <c r="J123" s="141"/>
      <c r="K123" s="141"/>
      <c r="L123" s="141"/>
      <c r="M123" s="141"/>
      <c r="N123" s="141"/>
      <c r="O123" s="141"/>
      <c r="P123" s="142"/>
      <c r="Q123" s="142"/>
      <c r="R123" s="142"/>
      <c r="S123" s="142"/>
      <c r="T123" s="142"/>
      <c r="U123" s="142"/>
      <c r="V123" s="142"/>
      <c r="W123" s="142"/>
      <c r="X123" s="142"/>
      <c r="Y123" s="141"/>
      <c r="Z123" s="141"/>
      <c r="AA123" s="141"/>
      <c r="AB123" s="141"/>
      <c r="AC123" s="141"/>
      <c r="AD123" s="141"/>
      <c r="AE123" s="141"/>
      <c r="AF123" s="42"/>
      <c r="AG123" s="42"/>
      <c r="AH123" s="43"/>
      <c r="AI123" s="43"/>
      <c r="AJ123" s="141"/>
      <c r="AK123" s="141"/>
      <c r="AL123" s="141"/>
      <c r="AM123" s="141"/>
      <c r="AN123" s="141"/>
      <c r="AO123" s="141"/>
      <c r="AP123" s="141"/>
      <c r="AQ123" s="141"/>
      <c r="AR123" s="141"/>
      <c r="AS123" s="141"/>
      <c r="AT123" s="141"/>
      <c r="AU123" s="141"/>
      <c r="AV123" s="141"/>
      <c r="AW123" s="141"/>
      <c r="AX123" s="141"/>
      <c r="AY123" s="142"/>
      <c r="AZ123" s="142"/>
      <c r="BA123" s="142"/>
      <c r="BB123" s="142"/>
      <c r="BC123" s="142"/>
      <c r="BD123" s="142"/>
      <c r="BE123" s="142"/>
      <c r="BF123" s="142"/>
      <c r="BG123" s="142"/>
      <c r="BH123" s="203"/>
      <c r="BI123" s="203"/>
      <c r="BJ123" s="203"/>
      <c r="BK123" s="203"/>
      <c r="BL123" s="203"/>
      <c r="BM123" s="203"/>
      <c r="BN123" s="203"/>
      <c r="BO123" s="203"/>
      <c r="BP123" s="203"/>
      <c r="BQ123" s="203"/>
      <c r="BR123" s="203"/>
    </row>
    <row r="124" spans="1:70" ht="14.25" customHeight="1" x14ac:dyDescent="0.25">
      <c r="A124" s="141"/>
      <c r="B124" s="141"/>
      <c r="C124" s="141"/>
      <c r="D124" s="141"/>
      <c r="E124" s="141"/>
      <c r="F124" s="141"/>
      <c r="G124" s="141"/>
      <c r="H124" s="141"/>
      <c r="I124" s="141"/>
      <c r="J124" s="141"/>
      <c r="K124" s="141"/>
      <c r="L124" s="141"/>
      <c r="M124" s="141"/>
      <c r="N124" s="141"/>
      <c r="O124" s="141"/>
      <c r="P124" s="142"/>
      <c r="Q124" s="142"/>
      <c r="R124" s="142"/>
      <c r="S124" s="142"/>
      <c r="T124" s="142"/>
      <c r="U124" s="142"/>
      <c r="V124" s="142"/>
      <c r="W124" s="142"/>
      <c r="X124" s="142"/>
      <c r="Y124" s="141"/>
      <c r="Z124" s="141"/>
      <c r="AA124" s="141"/>
      <c r="AB124" s="141"/>
      <c r="AC124" s="141"/>
      <c r="AD124" s="141"/>
      <c r="AE124" s="141"/>
      <c r="AF124" s="42"/>
      <c r="AG124" s="42"/>
      <c r="AH124" s="43"/>
      <c r="AI124" s="81"/>
      <c r="AJ124" s="141"/>
      <c r="AK124" s="141"/>
      <c r="AL124" s="141"/>
      <c r="AM124" s="141"/>
      <c r="AN124" s="141"/>
      <c r="AO124" s="141"/>
      <c r="AP124" s="141"/>
      <c r="AQ124" s="141"/>
      <c r="AR124" s="141"/>
      <c r="AS124" s="141"/>
      <c r="AT124" s="141"/>
      <c r="AU124" s="141"/>
      <c r="AV124" s="141"/>
      <c r="AW124" s="141"/>
      <c r="AX124" s="141"/>
      <c r="AY124" s="142"/>
      <c r="AZ124" s="142"/>
      <c r="BA124" s="142"/>
      <c r="BB124" s="142"/>
      <c r="BC124" s="142"/>
      <c r="BD124" s="142"/>
      <c r="BE124" s="142"/>
      <c r="BF124" s="142"/>
      <c r="BG124" s="142"/>
      <c r="BH124" s="203"/>
      <c r="BI124" s="203"/>
      <c r="BJ124" s="203"/>
      <c r="BK124" s="203"/>
      <c r="BL124" s="203"/>
      <c r="BM124" s="203"/>
      <c r="BN124" s="203"/>
      <c r="BO124" s="203"/>
      <c r="BP124" s="203"/>
      <c r="BQ124" s="203"/>
      <c r="BR124" s="203"/>
    </row>
    <row r="125" spans="1:70" ht="14.25" customHeight="1" x14ac:dyDescent="0.25">
      <c r="A125" s="68"/>
      <c r="B125" s="68"/>
      <c r="C125" s="68"/>
      <c r="D125" s="68"/>
      <c r="E125" s="68"/>
      <c r="F125" s="68"/>
      <c r="G125" s="68"/>
      <c r="H125" s="68"/>
      <c r="I125" s="68"/>
      <c r="J125" s="68"/>
      <c r="K125" s="68"/>
      <c r="L125" s="68"/>
      <c r="M125" s="68"/>
      <c r="N125" s="68"/>
      <c r="O125" s="68"/>
      <c r="P125" s="43"/>
      <c r="Q125" s="43"/>
      <c r="R125" s="43"/>
      <c r="S125" s="43"/>
      <c r="T125" s="43"/>
      <c r="U125" s="43"/>
      <c r="V125" s="43"/>
      <c r="W125" s="43"/>
      <c r="X125" s="43"/>
      <c r="Y125" s="81"/>
      <c r="Z125" s="81"/>
      <c r="AA125" s="81"/>
      <c r="AB125" s="81"/>
      <c r="AC125" s="81"/>
      <c r="AD125" s="81"/>
      <c r="AE125" s="81"/>
      <c r="AF125" s="81"/>
      <c r="AG125" s="81"/>
      <c r="AH125" s="43"/>
      <c r="AI125" s="81"/>
      <c r="AJ125" s="68"/>
      <c r="AK125" s="68"/>
      <c r="AL125" s="68"/>
      <c r="AM125" s="68"/>
      <c r="AN125" s="68"/>
      <c r="AO125" s="68"/>
      <c r="AP125" s="68"/>
      <c r="AQ125" s="68"/>
      <c r="AR125" s="68"/>
      <c r="AS125" s="68"/>
      <c r="AT125" s="68"/>
      <c r="AU125" s="68"/>
      <c r="AV125" s="68"/>
      <c r="AW125" s="68"/>
      <c r="AX125" s="68"/>
      <c r="AY125" s="43"/>
      <c r="AZ125" s="43"/>
      <c r="BA125" s="43"/>
      <c r="BB125" s="43"/>
      <c r="BC125" s="43"/>
      <c r="BD125" s="43"/>
      <c r="BE125" s="43"/>
      <c r="BF125" s="43"/>
      <c r="BG125" s="43"/>
      <c r="BH125" s="81"/>
      <c r="BI125" s="81"/>
      <c r="BJ125" s="81"/>
      <c r="BK125" s="81"/>
      <c r="BL125" s="81"/>
      <c r="BM125" s="81"/>
      <c r="BN125" s="81"/>
      <c r="BO125" s="61"/>
      <c r="BP125" s="61"/>
    </row>
    <row r="126" spans="1:70" ht="14.25" customHeight="1" x14ac:dyDescent="0.25">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3"/>
      <c r="Z126" s="43"/>
      <c r="AA126" s="43"/>
      <c r="AB126" s="43"/>
      <c r="AC126" s="43"/>
      <c r="AD126" s="43"/>
      <c r="AE126" s="43"/>
      <c r="AF126" s="42"/>
      <c r="AG126" s="42"/>
      <c r="AH126" s="43"/>
      <c r="AI126" s="43"/>
      <c r="AJ126" s="42"/>
      <c r="AK126" s="42"/>
      <c r="AL126" s="42"/>
      <c r="AM126" s="42"/>
      <c r="AN126" s="42"/>
      <c r="AO126" s="42"/>
      <c r="AP126" s="42"/>
      <c r="AQ126" s="42"/>
      <c r="AR126" s="42"/>
      <c r="AS126" s="42"/>
      <c r="AT126" s="42"/>
      <c r="AU126" s="42"/>
      <c r="AV126" s="42"/>
      <c r="AW126" s="42"/>
      <c r="AX126" s="42"/>
      <c r="AY126" s="42"/>
      <c r="AZ126" s="42"/>
      <c r="BA126" s="42"/>
      <c r="BB126" s="42"/>
      <c r="BC126" s="42"/>
      <c r="BD126" s="42"/>
      <c r="BE126" s="42"/>
      <c r="BF126" s="42"/>
      <c r="BG126" s="42"/>
      <c r="BH126" s="42"/>
      <c r="BI126" s="42"/>
      <c r="BJ126" s="42"/>
      <c r="BK126" s="42"/>
      <c r="BL126" s="42"/>
      <c r="BM126" s="42"/>
      <c r="BN126" s="42"/>
      <c r="BO126" s="61"/>
      <c r="BP126" s="61"/>
    </row>
    <row r="127" spans="1:70" ht="14.25" customHeight="1" x14ac:dyDescent="0.25">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3"/>
      <c r="Z127" s="43"/>
      <c r="AA127" s="43"/>
      <c r="AB127" s="43"/>
      <c r="AC127" s="43"/>
      <c r="AD127" s="43"/>
      <c r="AE127" s="43"/>
      <c r="AF127" s="42"/>
      <c r="AG127" s="42"/>
      <c r="AH127" s="43"/>
      <c r="AI127" s="43"/>
      <c r="AJ127" s="42"/>
      <c r="AK127" s="42"/>
      <c r="AL127" s="42"/>
      <c r="AM127" s="42"/>
      <c r="AN127" s="42"/>
      <c r="AO127" s="42"/>
      <c r="AP127" s="42"/>
      <c r="AQ127" s="42"/>
      <c r="AR127" s="42"/>
      <c r="AS127" s="42"/>
      <c r="AT127" s="42"/>
      <c r="AU127" s="42"/>
      <c r="AV127" s="42"/>
      <c r="AW127" s="42"/>
      <c r="AX127" s="42"/>
      <c r="AY127" s="42"/>
      <c r="AZ127" s="42"/>
      <c r="BA127" s="42"/>
      <c r="BB127" s="42"/>
      <c r="BC127" s="42"/>
      <c r="BD127" s="42"/>
      <c r="BE127" s="42"/>
      <c r="BF127" s="42"/>
      <c r="BG127" s="42"/>
      <c r="BH127" s="42"/>
      <c r="BI127" s="42"/>
      <c r="BJ127" s="42"/>
      <c r="BK127" s="42"/>
      <c r="BL127" s="42"/>
      <c r="BM127" s="42"/>
      <c r="BN127" s="42"/>
      <c r="BO127" s="61"/>
      <c r="BP127" s="61"/>
    </row>
    <row r="128" spans="1:70" ht="14.25" customHeight="1" x14ac:dyDescent="0.25">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3"/>
      <c r="Z128" s="43"/>
      <c r="AA128" s="43"/>
      <c r="AB128" s="43"/>
      <c r="AC128" s="43"/>
      <c r="AD128" s="43"/>
      <c r="AE128" s="43"/>
      <c r="AF128" s="42"/>
      <c r="AG128" s="42"/>
      <c r="AH128" s="43"/>
      <c r="AI128" s="43"/>
      <c r="AJ128" s="42"/>
      <c r="AK128" s="42"/>
      <c r="AL128" s="42"/>
      <c r="AM128" s="42"/>
      <c r="AN128" s="42"/>
      <c r="AO128" s="42"/>
      <c r="AP128" s="42"/>
      <c r="AQ128" s="42"/>
      <c r="AR128" s="42"/>
      <c r="AS128" s="42"/>
      <c r="AT128" s="42"/>
      <c r="AU128" s="42"/>
      <c r="AV128" s="42"/>
      <c r="AW128" s="42"/>
      <c r="AX128" s="42"/>
      <c r="AY128" s="42"/>
      <c r="AZ128" s="42"/>
      <c r="BA128" s="42"/>
      <c r="BB128" s="42"/>
      <c r="BC128" s="42"/>
      <c r="BD128" s="42"/>
      <c r="BE128" s="42"/>
      <c r="BF128" s="42"/>
      <c r="BG128" s="42"/>
      <c r="BH128" s="42"/>
      <c r="BI128" s="42"/>
      <c r="BJ128" s="42"/>
      <c r="BK128" s="42"/>
      <c r="BL128" s="42"/>
      <c r="BM128" s="42"/>
      <c r="BN128" s="42"/>
      <c r="BO128" s="61"/>
      <c r="BP128" s="61"/>
    </row>
    <row r="129" spans="1:68" ht="14.25" customHeight="1" x14ac:dyDescent="0.25">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3"/>
      <c r="Z129" s="43"/>
      <c r="AA129" s="43"/>
      <c r="AB129" s="43"/>
      <c r="AC129" s="43"/>
      <c r="AD129" s="43"/>
      <c r="AE129" s="43"/>
      <c r="AF129" s="42"/>
      <c r="AG129" s="42"/>
      <c r="AH129" s="43"/>
      <c r="AI129" s="37"/>
      <c r="AJ129" s="42"/>
      <c r="AK129" s="42"/>
      <c r="AL129" s="42"/>
      <c r="AM129" s="42"/>
      <c r="AN129" s="42"/>
      <c r="AO129" s="42"/>
      <c r="AP129" s="42"/>
      <c r="AQ129" s="42"/>
      <c r="AR129" s="42"/>
      <c r="AS129" s="42"/>
      <c r="AT129" s="42"/>
      <c r="AU129" s="42"/>
      <c r="AV129" s="42"/>
      <c r="AW129" s="42"/>
      <c r="AX129" s="42"/>
      <c r="AY129" s="42"/>
      <c r="AZ129" s="42"/>
      <c r="BA129" s="42"/>
      <c r="BB129" s="42"/>
      <c r="BC129" s="42"/>
      <c r="BD129" s="42"/>
      <c r="BE129" s="42"/>
      <c r="BF129" s="42"/>
      <c r="BG129" s="42"/>
      <c r="BH129" s="42"/>
      <c r="BI129" s="42"/>
      <c r="BJ129" s="42"/>
      <c r="BK129" s="42"/>
      <c r="BL129" s="42"/>
      <c r="BM129" s="42"/>
      <c r="BN129" s="42"/>
    </row>
    <row r="130" spans="1:68" ht="14.25" customHeight="1" x14ac:dyDescent="0.3">
      <c r="A130" s="68"/>
      <c r="B130" s="46"/>
      <c r="C130" s="46"/>
      <c r="D130" s="68"/>
      <c r="E130" s="68"/>
      <c r="F130" s="68"/>
      <c r="G130" s="68"/>
      <c r="H130" s="68"/>
      <c r="I130" s="68"/>
      <c r="J130" s="68"/>
      <c r="K130" s="68"/>
      <c r="L130" s="68"/>
      <c r="M130" s="68"/>
      <c r="N130" s="68"/>
      <c r="O130" s="68"/>
      <c r="P130" s="42"/>
      <c r="Q130" s="42"/>
      <c r="R130" s="42"/>
      <c r="S130" s="42"/>
      <c r="T130" s="42"/>
      <c r="U130" s="42"/>
      <c r="V130" s="42"/>
      <c r="W130" s="42"/>
      <c r="X130" s="42"/>
      <c r="Y130" s="43"/>
      <c r="Z130" s="43"/>
      <c r="AA130" s="43"/>
      <c r="AB130" s="43"/>
      <c r="AC130" s="43"/>
      <c r="AD130" s="43"/>
      <c r="AE130" s="43"/>
      <c r="AF130" s="47"/>
      <c r="AG130" s="47"/>
      <c r="AH130" s="48"/>
      <c r="AI130" s="47"/>
      <c r="AJ130" s="68"/>
      <c r="AK130" s="68"/>
      <c r="AL130" s="68"/>
      <c r="AM130" s="68"/>
      <c r="AN130" s="68"/>
      <c r="AO130" s="68"/>
      <c r="AP130" s="68"/>
      <c r="AQ130" s="68"/>
      <c r="AR130" s="68"/>
      <c r="AS130" s="68"/>
      <c r="AT130" s="68"/>
      <c r="AU130" s="68"/>
      <c r="AV130" s="68"/>
      <c r="AW130" s="68"/>
      <c r="AX130" s="68"/>
      <c r="AY130" s="187"/>
      <c r="AZ130" s="187"/>
      <c r="BA130" s="187"/>
      <c r="BB130" s="187"/>
      <c r="BC130" s="187"/>
      <c r="BD130" s="187"/>
      <c r="BE130" s="187"/>
      <c r="BF130" s="187"/>
      <c r="BG130" s="187"/>
      <c r="BH130" s="187"/>
      <c r="BI130" s="187"/>
      <c r="BJ130" s="187"/>
      <c r="BK130" s="187"/>
      <c r="BL130" s="187"/>
      <c r="BM130" s="187"/>
      <c r="BN130" s="187"/>
      <c r="BO130" s="187"/>
      <c r="BP130" s="187"/>
    </row>
    <row r="131" spans="1:68" ht="14.25" customHeight="1" x14ac:dyDescent="0.3">
      <c r="A131" s="68"/>
      <c r="B131" s="46"/>
      <c r="C131" s="46"/>
      <c r="D131" s="68"/>
      <c r="E131" s="68"/>
      <c r="F131" s="68"/>
      <c r="G131" s="68"/>
      <c r="H131" s="68"/>
      <c r="I131" s="68"/>
      <c r="J131" s="68"/>
      <c r="K131" s="68"/>
      <c r="L131" s="68"/>
      <c r="M131" s="68"/>
      <c r="N131" s="68"/>
      <c r="O131" s="68"/>
      <c r="P131" s="42"/>
      <c r="Q131" s="42"/>
      <c r="R131" s="42"/>
      <c r="S131" s="42"/>
      <c r="T131" s="42"/>
      <c r="U131" s="42"/>
      <c r="V131" s="42"/>
      <c r="W131" s="42"/>
      <c r="X131" s="42"/>
      <c r="Y131" s="43"/>
      <c r="Z131" s="43"/>
      <c r="AA131" s="43"/>
      <c r="AB131" s="43"/>
      <c r="AC131" s="43"/>
      <c r="AD131" s="43"/>
      <c r="AE131" s="43"/>
      <c r="AF131" s="47"/>
      <c r="AG131" s="47"/>
      <c r="AH131" s="48"/>
      <c r="AI131" s="47"/>
      <c r="AJ131" s="68"/>
      <c r="AK131" s="68"/>
      <c r="AL131" s="68"/>
      <c r="AM131" s="68"/>
      <c r="AN131" s="68"/>
      <c r="AO131" s="68"/>
      <c r="AP131" s="68"/>
      <c r="AQ131" s="68"/>
      <c r="AR131" s="68"/>
      <c r="AS131" s="68"/>
      <c r="AT131" s="68"/>
      <c r="AU131" s="68"/>
      <c r="AV131" s="68"/>
      <c r="AW131" s="68"/>
      <c r="AX131" s="68"/>
      <c r="AY131" s="78"/>
      <c r="AZ131" s="78"/>
      <c r="BA131" s="78"/>
      <c r="BB131" s="78"/>
      <c r="BC131" s="78"/>
      <c r="BD131" s="78"/>
      <c r="BE131" s="78"/>
      <c r="BF131" s="78"/>
      <c r="BG131" s="78"/>
      <c r="BH131" s="78"/>
      <c r="BI131" s="78"/>
      <c r="BJ131" s="78"/>
      <c r="BK131" s="78"/>
      <c r="BL131" s="78"/>
      <c r="BM131" s="78"/>
      <c r="BN131" s="78"/>
      <c r="BO131" s="78"/>
      <c r="BP131" s="78"/>
    </row>
    <row r="132" spans="1:68" ht="14.25" customHeight="1" x14ac:dyDescent="0.3">
      <c r="A132" s="68"/>
      <c r="B132" s="46"/>
      <c r="C132" s="46"/>
      <c r="D132" s="68"/>
      <c r="E132" s="68"/>
      <c r="F132" s="68"/>
      <c r="G132" s="68"/>
      <c r="H132" s="68"/>
      <c r="I132" s="68"/>
      <c r="J132" s="68"/>
      <c r="K132" s="68"/>
      <c r="L132" s="68"/>
      <c r="M132" s="68"/>
      <c r="N132" s="68"/>
      <c r="O132" s="68"/>
      <c r="P132" s="42"/>
      <c r="Q132" s="42"/>
      <c r="R132" s="42"/>
      <c r="S132" s="42"/>
      <c r="T132" s="42"/>
      <c r="U132" s="42"/>
      <c r="V132" s="42"/>
      <c r="W132" s="42"/>
      <c r="X132" s="42"/>
      <c r="Y132" s="43"/>
      <c r="Z132" s="43"/>
      <c r="AA132" s="43"/>
      <c r="AB132" s="43"/>
      <c r="AC132" s="43"/>
      <c r="AD132" s="43"/>
      <c r="AE132" s="43"/>
      <c r="AF132" s="47"/>
      <c r="AG132" s="47"/>
      <c r="AH132" s="48"/>
      <c r="AI132" s="47"/>
      <c r="AJ132" s="68"/>
      <c r="AK132" s="68"/>
      <c r="AL132" s="68"/>
      <c r="AM132" s="68"/>
      <c r="AN132" s="68"/>
      <c r="AO132" s="68"/>
      <c r="AP132" s="68"/>
      <c r="AQ132" s="68"/>
      <c r="AR132" s="68"/>
      <c r="AS132" s="68"/>
      <c r="AT132" s="68"/>
      <c r="AU132" s="68"/>
      <c r="AV132" s="68"/>
      <c r="AW132" s="68"/>
      <c r="AX132" s="68"/>
      <c r="AY132" s="78"/>
      <c r="AZ132" s="78"/>
      <c r="BA132" s="78"/>
      <c r="BB132" s="78"/>
      <c r="BC132" s="78"/>
      <c r="BD132" s="78"/>
      <c r="BE132" s="78"/>
      <c r="BF132" s="78"/>
      <c r="BG132" s="78"/>
      <c r="BH132" s="78"/>
      <c r="BI132" s="78"/>
      <c r="BJ132" s="78"/>
      <c r="BK132" s="78"/>
      <c r="BL132" s="78"/>
      <c r="BM132" s="78"/>
      <c r="BN132" s="78"/>
      <c r="BO132" s="78"/>
      <c r="BP132" s="78"/>
    </row>
    <row r="133" spans="1:68" ht="14.25" customHeight="1" x14ac:dyDescent="0.3">
      <c r="A133" s="45"/>
      <c r="B133" s="45"/>
      <c r="C133" s="45"/>
      <c r="D133" s="45"/>
      <c r="E133" s="45"/>
      <c r="F133" s="45"/>
      <c r="G133" s="45"/>
      <c r="H133" s="45"/>
      <c r="I133" s="45"/>
      <c r="J133" s="45"/>
      <c r="K133" s="45"/>
      <c r="L133" s="45"/>
      <c r="M133" s="45"/>
      <c r="N133" s="45"/>
      <c r="O133" s="45"/>
      <c r="P133" s="42"/>
      <c r="Q133" s="42"/>
      <c r="R133" s="42"/>
      <c r="S133" s="42"/>
      <c r="T133" s="42"/>
      <c r="U133" s="42"/>
      <c r="V133" s="42"/>
      <c r="W133" s="42"/>
      <c r="X133" s="42"/>
      <c r="Y133" s="43"/>
      <c r="Z133" s="43"/>
      <c r="AA133" s="43"/>
      <c r="AB133" s="43"/>
      <c r="AC133" s="43"/>
      <c r="AD133" s="43"/>
      <c r="AE133" s="43"/>
      <c r="AF133" s="45"/>
      <c r="AG133" s="45"/>
      <c r="AH133" s="48"/>
      <c r="AI133" s="48"/>
      <c r="AJ133" s="206"/>
      <c r="AK133" s="206"/>
      <c r="AL133" s="206"/>
      <c r="AM133" s="206"/>
      <c r="AN133" s="206"/>
      <c r="AO133" s="206"/>
      <c r="AP133" s="206"/>
      <c r="AQ133" s="206"/>
      <c r="AR133" s="206"/>
      <c r="AS133" s="206"/>
      <c r="AT133" s="206"/>
      <c r="AU133" s="206"/>
      <c r="AV133" s="206"/>
      <c r="AW133" s="206"/>
      <c r="AX133" s="206"/>
      <c r="AY133" s="187"/>
      <c r="AZ133" s="187"/>
      <c r="BA133" s="187"/>
      <c r="BB133" s="187"/>
      <c r="BC133" s="187"/>
      <c r="BD133" s="187"/>
      <c r="BE133" s="187"/>
      <c r="BF133" s="187"/>
      <c r="BG133" s="187"/>
      <c r="BH133" s="187"/>
      <c r="BI133" s="187"/>
      <c r="BJ133" s="187"/>
      <c r="BK133" s="187"/>
      <c r="BL133" s="187"/>
      <c r="BM133" s="187"/>
      <c r="BN133" s="187"/>
      <c r="BO133" s="187"/>
      <c r="BP133" s="187"/>
    </row>
    <row r="134" spans="1:68" ht="14.25" customHeight="1" x14ac:dyDescent="0.3">
      <c r="A134" s="45"/>
      <c r="B134" s="45"/>
      <c r="C134" s="45"/>
      <c r="D134" s="45"/>
      <c r="E134" s="45"/>
      <c r="F134" s="45"/>
      <c r="G134" s="45"/>
      <c r="H134" s="45"/>
      <c r="I134" s="45"/>
      <c r="J134" s="45"/>
      <c r="K134" s="45"/>
      <c r="L134" s="45"/>
      <c r="M134" s="45"/>
      <c r="N134" s="45"/>
      <c r="O134" s="45"/>
      <c r="P134" s="42"/>
      <c r="Q134" s="42"/>
      <c r="R134" s="42"/>
      <c r="S134" s="42"/>
      <c r="T134" s="42"/>
      <c r="U134" s="42"/>
      <c r="V134" s="42"/>
      <c r="W134" s="42"/>
      <c r="X134" s="42"/>
      <c r="Y134" s="43"/>
      <c r="Z134" s="43"/>
      <c r="AA134" s="43"/>
      <c r="AB134" s="43"/>
      <c r="AC134" s="43"/>
      <c r="AD134" s="43"/>
      <c r="AE134" s="43"/>
      <c r="AF134" s="45"/>
      <c r="AG134" s="45"/>
      <c r="AH134" s="48"/>
      <c r="AI134" s="37"/>
      <c r="AJ134" s="206"/>
      <c r="AK134" s="206"/>
      <c r="AL134" s="206"/>
      <c r="AM134" s="206"/>
      <c r="AN134" s="206"/>
      <c r="AO134" s="206"/>
      <c r="AP134" s="206"/>
      <c r="AQ134" s="206"/>
      <c r="AR134" s="206"/>
      <c r="AS134" s="206"/>
      <c r="AT134" s="206"/>
      <c r="AU134" s="206"/>
      <c r="AV134" s="206"/>
      <c r="AW134" s="206"/>
      <c r="AX134" s="206"/>
      <c r="AY134" s="45"/>
      <c r="AZ134" s="45"/>
      <c r="BA134" s="45"/>
      <c r="BB134" s="45"/>
      <c r="BC134" s="45"/>
      <c r="BD134" s="45"/>
      <c r="BE134" s="45"/>
      <c r="BF134" s="45"/>
      <c r="BG134" s="45"/>
    </row>
    <row r="135" spans="1:68" ht="14.25" customHeight="1" x14ac:dyDescent="0.3">
      <c r="A135" s="49"/>
      <c r="B135" s="49"/>
      <c r="C135" s="49"/>
      <c r="D135" s="49"/>
      <c r="E135" s="49"/>
      <c r="F135" s="49"/>
      <c r="G135" s="49"/>
      <c r="H135" s="49"/>
      <c r="I135" s="49"/>
      <c r="J135" s="49"/>
      <c r="K135" s="49"/>
      <c r="L135" s="49"/>
      <c r="M135" s="49"/>
      <c r="N135" s="49"/>
      <c r="O135" s="49"/>
      <c r="P135" s="49"/>
      <c r="Q135" s="49"/>
      <c r="R135" s="49"/>
      <c r="S135" s="49"/>
      <c r="T135" s="53"/>
      <c r="U135" s="53"/>
      <c r="V135" s="54"/>
      <c r="W135" s="49"/>
      <c r="X135" s="49"/>
      <c r="Y135" s="49"/>
      <c r="Z135" s="49"/>
      <c r="AA135" s="49"/>
      <c r="AB135" s="49"/>
      <c r="AC135" s="49"/>
      <c r="AD135" s="49"/>
      <c r="AE135" s="49"/>
      <c r="AF135" s="49"/>
      <c r="AG135" s="49"/>
      <c r="AH135" s="55"/>
      <c r="AI135" s="55"/>
      <c r="AJ135" s="62"/>
      <c r="AK135" s="62"/>
      <c r="AL135" s="62"/>
      <c r="AM135" s="62"/>
      <c r="AN135" s="62"/>
      <c r="AO135" s="62"/>
      <c r="AP135" s="62"/>
    </row>
    <row r="136" spans="1:68" ht="14.25" customHeight="1" x14ac:dyDescent="0.25">
      <c r="A136" s="82"/>
      <c r="B136" s="51"/>
      <c r="C136" s="51"/>
      <c r="D136" s="82"/>
      <c r="E136" s="82"/>
      <c r="F136" s="82"/>
      <c r="G136" s="82"/>
      <c r="H136" s="82"/>
      <c r="I136" s="82"/>
      <c r="J136" s="82"/>
      <c r="K136" s="82"/>
      <c r="L136" s="82"/>
      <c r="M136" s="82"/>
      <c r="N136" s="82"/>
      <c r="O136" s="82"/>
      <c r="P136" s="82"/>
      <c r="Q136" s="49"/>
      <c r="R136" s="49"/>
      <c r="S136" s="49"/>
      <c r="T136" s="53"/>
      <c r="U136" s="53"/>
      <c r="V136" s="54"/>
      <c r="W136" s="54"/>
      <c r="X136" s="54"/>
      <c r="Y136" s="56"/>
      <c r="Z136" s="56"/>
      <c r="AA136" s="56"/>
      <c r="AB136" s="56"/>
      <c r="AC136" s="56"/>
      <c r="AD136" s="56"/>
      <c r="AE136" s="56"/>
      <c r="AF136" s="56"/>
      <c r="AG136" s="56"/>
      <c r="AH136" s="56"/>
      <c r="AI136" s="55"/>
      <c r="AJ136" s="56"/>
      <c r="AK136" s="56"/>
      <c r="AL136" s="56"/>
      <c r="AM136" s="56"/>
      <c r="AN136" s="56"/>
      <c r="AO136" s="56"/>
      <c r="AP136" s="56"/>
    </row>
    <row r="137" spans="1:68" ht="14.25" customHeight="1" x14ac:dyDescent="0.3">
      <c r="A137" s="49"/>
      <c r="B137" s="49"/>
      <c r="C137" s="49"/>
      <c r="D137" s="49"/>
      <c r="E137" s="49"/>
      <c r="F137" s="49"/>
      <c r="G137" s="49"/>
      <c r="H137" s="49"/>
      <c r="I137" s="49"/>
      <c r="J137" s="49"/>
      <c r="K137" s="49"/>
      <c r="L137" s="49"/>
      <c r="M137" s="49"/>
      <c r="N137" s="49"/>
      <c r="O137" s="49"/>
      <c r="P137" s="49"/>
      <c r="Q137" s="49"/>
      <c r="R137" s="49"/>
      <c r="S137" s="49"/>
      <c r="T137" s="52"/>
      <c r="U137" s="52"/>
      <c r="V137" s="54"/>
      <c r="W137" s="49"/>
      <c r="X137" s="49"/>
      <c r="Y137" s="49"/>
      <c r="Z137" s="49"/>
      <c r="AA137" s="49"/>
      <c r="AB137" s="49"/>
      <c r="AC137" s="49"/>
      <c r="AD137" s="49"/>
      <c r="AE137" s="49"/>
      <c r="AF137" s="49"/>
      <c r="AG137" s="49"/>
      <c r="AH137" s="55"/>
      <c r="AI137" s="55"/>
      <c r="AJ137" s="62"/>
      <c r="AK137" s="62"/>
      <c r="AL137" s="62"/>
      <c r="AM137" s="62"/>
      <c r="AN137" s="62"/>
      <c r="AO137" s="62"/>
      <c r="AP137" s="62"/>
    </row>
    <row r="138" spans="1:68" ht="14.25" customHeight="1" x14ac:dyDescent="0.25">
      <c r="A138" s="82"/>
      <c r="B138" s="51"/>
      <c r="C138" s="51"/>
      <c r="D138" s="82"/>
      <c r="E138" s="82"/>
      <c r="F138" s="82"/>
      <c r="G138" s="82"/>
      <c r="H138" s="82"/>
      <c r="I138" s="82"/>
      <c r="J138" s="82"/>
      <c r="K138" s="82"/>
      <c r="L138" s="82"/>
      <c r="M138" s="82"/>
      <c r="N138" s="82"/>
      <c r="O138" s="82"/>
      <c r="P138" s="82"/>
      <c r="Q138" s="82"/>
      <c r="R138" s="82"/>
      <c r="S138" s="82"/>
      <c r="T138" s="52"/>
      <c r="U138" s="52"/>
      <c r="V138" s="54"/>
      <c r="W138" s="54"/>
      <c r="X138" s="57"/>
      <c r="Y138" s="56"/>
      <c r="Z138" s="56"/>
      <c r="AA138" s="56"/>
      <c r="AB138" s="56"/>
      <c r="AC138" s="56"/>
      <c r="AD138" s="56"/>
      <c r="AE138" s="56"/>
      <c r="AF138" s="56"/>
      <c r="AG138" s="56"/>
      <c r="AH138" s="56"/>
      <c r="AI138" s="56"/>
      <c r="AJ138" s="56"/>
      <c r="AK138" s="56"/>
      <c r="AL138" s="56"/>
      <c r="AM138" s="56"/>
      <c r="AN138" s="56"/>
      <c r="AO138" s="56"/>
      <c r="AP138" s="56"/>
    </row>
    <row r="139" spans="1:68" ht="14.25" customHeight="1" x14ac:dyDescent="0.3">
      <c r="A139" s="49"/>
      <c r="B139" s="55"/>
      <c r="C139" s="55"/>
      <c r="D139" s="55"/>
      <c r="E139" s="55"/>
      <c r="F139" s="55"/>
      <c r="G139" s="55"/>
      <c r="H139" s="55"/>
      <c r="I139" s="55"/>
      <c r="J139" s="55"/>
      <c r="K139" s="55"/>
      <c r="L139" s="55"/>
      <c r="M139" s="55"/>
      <c r="N139" s="55"/>
      <c r="O139" s="55"/>
      <c r="P139" s="55"/>
      <c r="Q139" s="55"/>
      <c r="R139" s="55"/>
      <c r="S139" s="55"/>
      <c r="T139" s="55"/>
      <c r="U139" s="52"/>
      <c r="V139" s="54"/>
      <c r="W139" s="49"/>
      <c r="X139" s="49"/>
      <c r="Y139" s="49"/>
      <c r="Z139" s="49"/>
      <c r="AA139" s="49"/>
      <c r="AB139" s="49"/>
      <c r="AC139" s="49"/>
      <c r="AD139" s="49"/>
      <c r="AE139" s="49"/>
      <c r="AF139" s="49"/>
      <c r="AG139" s="49"/>
      <c r="AH139" s="56"/>
      <c r="AI139" s="56"/>
      <c r="AJ139" s="62"/>
      <c r="AK139" s="62"/>
      <c r="AL139" s="62"/>
      <c r="AM139" s="62"/>
      <c r="AN139" s="62"/>
      <c r="AO139" s="62"/>
      <c r="AP139" s="62"/>
    </row>
    <row r="140" spans="1:68" ht="14.25" customHeight="1" x14ac:dyDescent="0.25">
      <c r="A140" s="55"/>
      <c r="B140" s="55"/>
      <c r="C140" s="55"/>
      <c r="D140" s="55"/>
      <c r="E140" s="55"/>
      <c r="F140" s="55"/>
      <c r="G140" s="55"/>
      <c r="H140" s="55"/>
      <c r="I140" s="55"/>
      <c r="J140" s="55"/>
      <c r="K140" s="55"/>
      <c r="L140" s="55"/>
      <c r="M140" s="55"/>
      <c r="N140" s="55"/>
      <c r="O140" s="55"/>
      <c r="P140" s="55"/>
      <c r="Q140" s="55"/>
      <c r="R140" s="55"/>
      <c r="S140" s="56"/>
      <c r="T140" s="52"/>
      <c r="U140" s="52"/>
      <c r="V140" s="54"/>
      <c r="W140" s="54"/>
      <c r="X140" s="57"/>
      <c r="Y140" s="56"/>
      <c r="Z140" s="55"/>
      <c r="AA140" s="55"/>
      <c r="AB140" s="55"/>
      <c r="AC140" s="55"/>
      <c r="AD140" s="55"/>
      <c r="AE140" s="55"/>
      <c r="AF140" s="55"/>
      <c r="AG140" s="55"/>
      <c r="AH140" s="56"/>
      <c r="AI140" s="56"/>
      <c r="AJ140" s="55"/>
      <c r="AK140" s="55"/>
      <c r="AL140" s="55"/>
      <c r="AM140" s="55"/>
      <c r="AN140" s="55"/>
      <c r="AO140" s="55"/>
      <c r="AP140" s="55"/>
    </row>
    <row r="141" spans="1:68" ht="14.25" customHeight="1" x14ac:dyDescent="0.25">
      <c r="A141" s="55"/>
      <c r="B141" s="55"/>
      <c r="C141" s="55"/>
      <c r="D141" s="55"/>
      <c r="E141" s="55"/>
      <c r="F141" s="55"/>
      <c r="G141" s="55"/>
      <c r="H141" s="55"/>
      <c r="I141" s="55"/>
      <c r="J141" s="55"/>
      <c r="K141" s="55"/>
      <c r="L141" s="55"/>
      <c r="M141" s="55"/>
      <c r="N141" s="55"/>
      <c r="O141" s="55"/>
      <c r="P141" s="55"/>
      <c r="Q141" s="55"/>
      <c r="R141" s="55"/>
      <c r="S141" s="55"/>
      <c r="T141" s="56"/>
      <c r="U141" s="52"/>
      <c r="V141" s="54"/>
      <c r="W141" s="54"/>
      <c r="X141" s="52"/>
      <c r="Y141" s="55"/>
      <c r="Z141" s="55"/>
      <c r="AA141" s="55"/>
      <c r="AB141" s="55"/>
      <c r="AC141" s="55"/>
      <c r="AD141" s="55"/>
      <c r="AE141" s="55"/>
      <c r="AF141" s="55"/>
      <c r="AG141" s="55"/>
      <c r="AH141" s="55"/>
      <c r="AI141" s="55"/>
      <c r="AJ141" s="55"/>
      <c r="AK141" s="55"/>
      <c r="AL141" s="55"/>
      <c r="AM141" s="55"/>
      <c r="AN141" s="55"/>
      <c r="AO141" s="55"/>
      <c r="AP141" s="55"/>
    </row>
    <row r="142" spans="1:68" ht="14.25" customHeight="1" x14ac:dyDescent="0.3">
      <c r="A142" s="49"/>
      <c r="B142" s="49"/>
      <c r="C142" s="49"/>
      <c r="D142" s="49"/>
      <c r="E142" s="49"/>
      <c r="F142" s="49"/>
      <c r="G142" s="49"/>
      <c r="H142" s="49"/>
      <c r="I142" s="49"/>
      <c r="J142" s="49"/>
      <c r="K142" s="49"/>
      <c r="L142" s="49"/>
      <c r="M142" s="49"/>
      <c r="N142" s="49"/>
      <c r="O142" s="49"/>
      <c r="P142" s="49"/>
      <c r="Q142" s="49"/>
      <c r="R142" s="49"/>
      <c r="S142" s="49"/>
      <c r="T142" s="49"/>
      <c r="U142" s="49"/>
      <c r="V142" s="54"/>
      <c r="W142" s="49"/>
      <c r="X142" s="49"/>
      <c r="Y142" s="49"/>
      <c r="Z142" s="49"/>
      <c r="AA142" s="49"/>
      <c r="AB142" s="49"/>
      <c r="AC142" s="49"/>
      <c r="AD142" s="49"/>
      <c r="AE142" s="49"/>
      <c r="AF142" s="49"/>
      <c r="AG142" s="49"/>
      <c r="AH142" s="50"/>
      <c r="AI142" s="50"/>
      <c r="AJ142" s="62"/>
      <c r="AK142" s="62"/>
      <c r="AL142" s="62"/>
      <c r="AM142" s="62"/>
      <c r="AN142" s="62"/>
      <c r="AO142" s="62"/>
      <c r="AP142" s="62"/>
    </row>
    <row r="143" spans="1:68" ht="14.25" customHeight="1" x14ac:dyDescent="0.25">
      <c r="A143" s="82"/>
      <c r="B143" s="51"/>
      <c r="C143" s="51"/>
      <c r="D143" s="82"/>
      <c r="E143" s="82"/>
      <c r="F143" s="82"/>
      <c r="G143" s="82"/>
      <c r="H143" s="82"/>
      <c r="I143" s="82"/>
      <c r="J143" s="82"/>
      <c r="K143" s="82"/>
      <c r="L143" s="82"/>
      <c r="M143" s="82"/>
      <c r="N143" s="82"/>
      <c r="O143" s="82"/>
      <c r="P143" s="82"/>
      <c r="Q143" s="82"/>
      <c r="R143" s="82"/>
      <c r="S143" s="82"/>
      <c r="T143" s="82"/>
      <c r="U143" s="82"/>
      <c r="V143" s="54"/>
      <c r="W143" s="54"/>
      <c r="X143" s="52"/>
      <c r="Y143" s="50"/>
      <c r="Z143" s="50"/>
      <c r="AA143" s="50"/>
      <c r="AB143" s="77"/>
      <c r="AC143" s="77"/>
      <c r="AD143" s="77"/>
      <c r="AE143" s="77"/>
      <c r="AF143" s="77"/>
      <c r="AG143" s="77"/>
      <c r="AH143" s="77"/>
      <c r="AI143" s="77"/>
      <c r="AJ143" s="50"/>
      <c r="AK143" s="77"/>
      <c r="AL143" s="77"/>
      <c r="AM143" s="77"/>
      <c r="AN143" s="77"/>
      <c r="AO143" s="77"/>
      <c r="AP143" s="77"/>
    </row>
    <row r="144" spans="1:68" ht="14.25" customHeight="1" x14ac:dyDescent="0.3">
      <c r="A144" s="49"/>
      <c r="B144" s="49"/>
      <c r="C144" s="49"/>
      <c r="D144" s="49"/>
      <c r="E144" s="49"/>
      <c r="F144" s="49"/>
      <c r="G144" s="49"/>
      <c r="H144" s="49"/>
      <c r="I144" s="49"/>
      <c r="J144" s="49"/>
      <c r="K144" s="49"/>
      <c r="L144" s="49"/>
      <c r="M144" s="49"/>
      <c r="N144" s="49"/>
      <c r="O144" s="49"/>
      <c r="P144" s="49"/>
      <c r="Q144" s="49"/>
      <c r="R144" s="49"/>
      <c r="S144" s="49"/>
      <c r="T144" s="49"/>
      <c r="U144" s="49"/>
      <c r="V144" s="54"/>
      <c r="W144" s="49"/>
      <c r="X144" s="49"/>
      <c r="Y144" s="49"/>
      <c r="Z144" s="49"/>
      <c r="AA144" s="49"/>
      <c r="AB144" s="49"/>
      <c r="AC144" s="49"/>
      <c r="AD144" s="49"/>
      <c r="AE144" s="49"/>
      <c r="AF144" s="49"/>
      <c r="AG144" s="49"/>
      <c r="AH144" s="50"/>
      <c r="AI144" s="50"/>
      <c r="AJ144" s="62"/>
      <c r="AK144" s="62"/>
      <c r="AL144" s="62"/>
      <c r="AM144" s="62"/>
      <c r="AN144" s="62"/>
      <c r="AO144" s="62"/>
      <c r="AP144" s="62"/>
    </row>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sheetData>
  <mergeCells count="744">
    <mergeCell ref="A19:Q22"/>
    <mergeCell ref="R19:AY22"/>
    <mergeCell ref="AZ19:BR22"/>
    <mergeCell ref="A23:Q26"/>
    <mergeCell ref="R23:AY26"/>
    <mergeCell ref="AZ23:BR26"/>
    <mergeCell ref="BL67:BN67"/>
    <mergeCell ref="BO67:BR67"/>
    <mergeCell ref="B93:BR93"/>
    <mergeCell ref="AZ84:BB84"/>
    <mergeCell ref="BC84:BE84"/>
    <mergeCell ref="BF84:BH84"/>
    <mergeCell ref="BI84:BK84"/>
    <mergeCell ref="BL84:BN84"/>
    <mergeCell ref="BO84:BR84"/>
    <mergeCell ref="AH84:AJ84"/>
    <mergeCell ref="AK84:AM84"/>
    <mergeCell ref="AN84:AP84"/>
    <mergeCell ref="AQ84:AS84"/>
    <mergeCell ref="AT84:AV84"/>
    <mergeCell ref="AW84:AY84"/>
    <mergeCell ref="B67:C67"/>
    <mergeCell ref="D67:O67"/>
    <mergeCell ref="P67:R67"/>
    <mergeCell ref="S67:U67"/>
    <mergeCell ref="V67:X67"/>
    <mergeCell ref="Y67:AA67"/>
    <mergeCell ref="AB67:AD67"/>
    <mergeCell ref="AE67:AG67"/>
    <mergeCell ref="AH67:AJ67"/>
    <mergeCell ref="AK67:AM67"/>
    <mergeCell ref="AN67:AP67"/>
    <mergeCell ref="AQ67:AS67"/>
    <mergeCell ref="AT67:AV67"/>
    <mergeCell ref="AW67:AY67"/>
    <mergeCell ref="AZ67:BB67"/>
    <mergeCell ref="BC67:BE67"/>
    <mergeCell ref="BF67:BH67"/>
    <mergeCell ref="BI67:BK67"/>
    <mergeCell ref="Y121:AE124"/>
    <mergeCell ref="AJ121:AX124"/>
    <mergeCell ref="AY121:BG124"/>
    <mergeCell ref="B94:BR94"/>
    <mergeCell ref="B95:BR95"/>
    <mergeCell ref="B96:BR96"/>
    <mergeCell ref="B97:BR97"/>
    <mergeCell ref="B98:BR98"/>
    <mergeCell ref="B99:BR99"/>
    <mergeCell ref="BO83:BR83"/>
    <mergeCell ref="B84:C84"/>
    <mergeCell ref="D84:O84"/>
    <mergeCell ref="P84:R84"/>
    <mergeCell ref="S84:U84"/>
    <mergeCell ref="V84:X84"/>
    <mergeCell ref="Y84:AA84"/>
    <mergeCell ref="AB84:AD84"/>
    <mergeCell ref="AE84:AG84"/>
    <mergeCell ref="B83:C83"/>
    <mergeCell ref="D83:O83"/>
    <mergeCell ref="P83:R83"/>
    <mergeCell ref="S83:U83"/>
    <mergeCell ref="V83:X83"/>
    <mergeCell ref="Y83:AA83"/>
    <mergeCell ref="AZ82:BB82"/>
    <mergeCell ref="BC82:BE82"/>
    <mergeCell ref="BF82:BH82"/>
    <mergeCell ref="AT83:AV83"/>
    <mergeCell ref="AW83:AY83"/>
    <mergeCell ref="AZ83:BB83"/>
    <mergeCell ref="BC83:BE83"/>
    <mergeCell ref="BF83:BH83"/>
    <mergeCell ref="AB83:AD83"/>
    <mergeCell ref="AE83:AG83"/>
    <mergeCell ref="AH83:AJ83"/>
    <mergeCell ref="AK83:AM83"/>
    <mergeCell ref="AN83:AP83"/>
    <mergeCell ref="AQ83:AS83"/>
    <mergeCell ref="B82:C82"/>
    <mergeCell ref="D82:O82"/>
    <mergeCell ref="P82:R82"/>
    <mergeCell ref="S82:U82"/>
    <mergeCell ref="BI82:BK82"/>
    <mergeCell ref="BL82:BN82"/>
    <mergeCell ref="BL83:BN83"/>
    <mergeCell ref="BO82:BR82"/>
    <mergeCell ref="AH82:AJ82"/>
    <mergeCell ref="AK82:AM82"/>
    <mergeCell ref="AN82:AP82"/>
    <mergeCell ref="AQ82:AS82"/>
    <mergeCell ref="AT82:AV82"/>
    <mergeCell ref="AW82:AY82"/>
    <mergeCell ref="BI83:BK83"/>
    <mergeCell ref="V82:X82"/>
    <mergeCell ref="Y82:AA82"/>
    <mergeCell ref="AB82:AD82"/>
    <mergeCell ref="AE82:AG82"/>
    <mergeCell ref="AT81:AV81"/>
    <mergeCell ref="AB81:AD81"/>
    <mergeCell ref="AE81:AG81"/>
    <mergeCell ref="AH81:AJ81"/>
    <mergeCell ref="AK81:AM81"/>
    <mergeCell ref="AN81:AP81"/>
    <mergeCell ref="AQ81:AS81"/>
    <mergeCell ref="B81:C81"/>
    <mergeCell ref="D81:O81"/>
    <mergeCell ref="P81:R81"/>
    <mergeCell ref="S81:U81"/>
    <mergeCell ref="V81:X81"/>
    <mergeCell ref="Y81:AA81"/>
    <mergeCell ref="BC80:BE80"/>
    <mergeCell ref="BF80:BH80"/>
    <mergeCell ref="BI80:BK80"/>
    <mergeCell ref="BL80:BN80"/>
    <mergeCell ref="BO80:BR80"/>
    <mergeCell ref="AH80:AJ80"/>
    <mergeCell ref="AK80:AM80"/>
    <mergeCell ref="AN80:AP80"/>
    <mergeCell ref="AQ80:AS80"/>
    <mergeCell ref="AT80:AV80"/>
    <mergeCell ref="AW80:AY80"/>
    <mergeCell ref="BL81:BN81"/>
    <mergeCell ref="BO81:BR81"/>
    <mergeCell ref="AW81:AY81"/>
    <mergeCell ref="AZ81:BB81"/>
    <mergeCell ref="BC81:BE81"/>
    <mergeCell ref="BF81:BH81"/>
    <mergeCell ref="BI81:BK81"/>
    <mergeCell ref="BO79:BR79"/>
    <mergeCell ref="B80:C80"/>
    <mergeCell ref="D80:O80"/>
    <mergeCell ref="P80:R80"/>
    <mergeCell ref="S80:U80"/>
    <mergeCell ref="V80:X80"/>
    <mergeCell ref="Y80:AA80"/>
    <mergeCell ref="AB80:AD80"/>
    <mergeCell ref="AE80:AG80"/>
    <mergeCell ref="AT79:AV79"/>
    <mergeCell ref="AW79:AY79"/>
    <mergeCell ref="AZ79:BB79"/>
    <mergeCell ref="BC79:BE79"/>
    <mergeCell ref="BF79:BH79"/>
    <mergeCell ref="BI79:BK79"/>
    <mergeCell ref="AB79:AD79"/>
    <mergeCell ref="AE79:AG79"/>
    <mergeCell ref="AH79:AJ79"/>
    <mergeCell ref="AK79:AM79"/>
    <mergeCell ref="AN79:AP79"/>
    <mergeCell ref="AQ79:AS79"/>
    <mergeCell ref="B79:C79"/>
    <mergeCell ref="D79:O79"/>
    <mergeCell ref="AZ80:BB80"/>
    <mergeCell ref="P79:R79"/>
    <mergeCell ref="S79:U79"/>
    <mergeCell ref="V79:X79"/>
    <mergeCell ref="Y79:AA79"/>
    <mergeCell ref="AZ78:BB78"/>
    <mergeCell ref="BC78:BE78"/>
    <mergeCell ref="BF78:BH78"/>
    <mergeCell ref="BI78:BK78"/>
    <mergeCell ref="BL78:BN78"/>
    <mergeCell ref="BL79:BN79"/>
    <mergeCell ref="BO78:BR78"/>
    <mergeCell ref="AH78:AJ78"/>
    <mergeCell ref="AK78:AM78"/>
    <mergeCell ref="AN78:AP78"/>
    <mergeCell ref="AQ78:AS78"/>
    <mergeCell ref="AT78:AV78"/>
    <mergeCell ref="AW78:AY78"/>
    <mergeCell ref="BL77:BN77"/>
    <mergeCell ref="BO77:BR77"/>
    <mergeCell ref="AW77:AY77"/>
    <mergeCell ref="AZ77:BB77"/>
    <mergeCell ref="BC77:BE77"/>
    <mergeCell ref="BF77:BH77"/>
    <mergeCell ref="BI77:BK77"/>
    <mergeCell ref="B78:C78"/>
    <mergeCell ref="D78:O78"/>
    <mergeCell ref="P78:R78"/>
    <mergeCell ref="S78:U78"/>
    <mergeCell ref="V78:X78"/>
    <mergeCell ref="Y78:AA78"/>
    <mergeCell ref="AB78:AD78"/>
    <mergeCell ref="AE78:AG78"/>
    <mergeCell ref="AT77:AV77"/>
    <mergeCell ref="AB77:AD77"/>
    <mergeCell ref="AE77:AG77"/>
    <mergeCell ref="AH77:AJ77"/>
    <mergeCell ref="AK77:AM77"/>
    <mergeCell ref="AN77:AP77"/>
    <mergeCell ref="AQ77:AS77"/>
    <mergeCell ref="B77:C77"/>
    <mergeCell ref="D77:O77"/>
    <mergeCell ref="P77:R77"/>
    <mergeCell ref="S77:U77"/>
    <mergeCell ref="V77:X77"/>
    <mergeCell ref="Y77:AA77"/>
    <mergeCell ref="BC76:BE76"/>
    <mergeCell ref="BF76:BH76"/>
    <mergeCell ref="BI76:BK76"/>
    <mergeCell ref="BL76:BN76"/>
    <mergeCell ref="BO76:BR76"/>
    <mergeCell ref="AH76:AJ76"/>
    <mergeCell ref="AK76:AM76"/>
    <mergeCell ref="AN76:AP76"/>
    <mergeCell ref="AQ76:AS76"/>
    <mergeCell ref="AT76:AV76"/>
    <mergeCell ref="AW76:AY76"/>
    <mergeCell ref="BO75:BR75"/>
    <mergeCell ref="B76:C76"/>
    <mergeCell ref="D76:O76"/>
    <mergeCell ref="P76:R76"/>
    <mergeCell ref="S76:U76"/>
    <mergeCell ref="V76:X76"/>
    <mergeCell ref="Y76:AA76"/>
    <mergeCell ref="AB76:AD76"/>
    <mergeCell ref="AE76:AG76"/>
    <mergeCell ref="AT75:AV75"/>
    <mergeCell ref="AW75:AY75"/>
    <mergeCell ref="AZ75:BB75"/>
    <mergeCell ref="BC75:BE75"/>
    <mergeCell ref="BF75:BH75"/>
    <mergeCell ref="BI75:BK75"/>
    <mergeCell ref="AB75:AD75"/>
    <mergeCell ref="AE75:AG75"/>
    <mergeCell ref="AH75:AJ75"/>
    <mergeCell ref="AK75:AM75"/>
    <mergeCell ref="AN75:AP75"/>
    <mergeCell ref="AQ75:AS75"/>
    <mergeCell ref="B75:C75"/>
    <mergeCell ref="D75:O75"/>
    <mergeCell ref="AZ76:BB76"/>
    <mergeCell ref="P75:R75"/>
    <mergeCell ref="S75:U75"/>
    <mergeCell ref="V75:X75"/>
    <mergeCell ref="Y75:AA75"/>
    <mergeCell ref="AZ74:BB74"/>
    <mergeCell ref="BC74:BE74"/>
    <mergeCell ref="BF74:BH74"/>
    <mergeCell ref="BI74:BK74"/>
    <mergeCell ref="BL74:BN74"/>
    <mergeCell ref="BL75:BN75"/>
    <mergeCell ref="BO74:BR74"/>
    <mergeCell ref="AH74:AJ74"/>
    <mergeCell ref="AK74:AM74"/>
    <mergeCell ref="AN74:AP74"/>
    <mergeCell ref="AQ74:AS74"/>
    <mergeCell ref="AT74:AV74"/>
    <mergeCell ref="AW74:AY74"/>
    <mergeCell ref="BL73:BN73"/>
    <mergeCell ref="BO73:BR73"/>
    <mergeCell ref="AW73:AY73"/>
    <mergeCell ref="AZ73:BB73"/>
    <mergeCell ref="BC73:BE73"/>
    <mergeCell ref="BF73:BH73"/>
    <mergeCell ref="BI73:BK73"/>
    <mergeCell ref="B74:C74"/>
    <mergeCell ref="D74:O74"/>
    <mergeCell ref="P74:R74"/>
    <mergeCell ref="S74:U74"/>
    <mergeCell ref="V74:X74"/>
    <mergeCell ref="Y74:AA74"/>
    <mergeCell ref="AB74:AD74"/>
    <mergeCell ref="AE74:AG74"/>
    <mergeCell ref="AT73:AV73"/>
    <mergeCell ref="AB73:AD73"/>
    <mergeCell ref="AE73:AG73"/>
    <mergeCell ref="AH73:AJ73"/>
    <mergeCell ref="AK73:AM73"/>
    <mergeCell ref="AN73:AP73"/>
    <mergeCell ref="AQ73:AS73"/>
    <mergeCell ref="B73:C73"/>
    <mergeCell ref="D73:O73"/>
    <mergeCell ref="P73:R73"/>
    <mergeCell ref="S73:U73"/>
    <mergeCell ref="V73:X73"/>
    <mergeCell ref="Y73:AA73"/>
    <mergeCell ref="BC72:BE72"/>
    <mergeCell ref="BF72:BH72"/>
    <mergeCell ref="BI72:BK72"/>
    <mergeCell ref="BL72:BN72"/>
    <mergeCell ref="BO72:BR72"/>
    <mergeCell ref="AH72:AJ72"/>
    <mergeCell ref="AK72:AM72"/>
    <mergeCell ref="AN72:AP72"/>
    <mergeCell ref="AQ72:AS72"/>
    <mergeCell ref="AT72:AV72"/>
    <mergeCell ref="AW72:AY72"/>
    <mergeCell ref="BO71:BR71"/>
    <mergeCell ref="B72:C72"/>
    <mergeCell ref="D72:O72"/>
    <mergeCell ref="P72:R72"/>
    <mergeCell ref="S72:U72"/>
    <mergeCell ref="V72:X72"/>
    <mergeCell ref="Y72:AA72"/>
    <mergeCell ref="AB72:AD72"/>
    <mergeCell ref="AE72:AG72"/>
    <mergeCell ref="AT71:AV71"/>
    <mergeCell ref="AW71:AY71"/>
    <mergeCell ref="AZ71:BB71"/>
    <mergeCell ref="BC71:BE71"/>
    <mergeCell ref="BF71:BH71"/>
    <mergeCell ref="BI71:BK71"/>
    <mergeCell ref="AB71:AD71"/>
    <mergeCell ref="AE71:AG71"/>
    <mergeCell ref="AH71:AJ71"/>
    <mergeCell ref="AK71:AM71"/>
    <mergeCell ref="AN71:AP71"/>
    <mergeCell ref="AQ71:AS71"/>
    <mergeCell ref="B71:C71"/>
    <mergeCell ref="D71:O71"/>
    <mergeCell ref="AZ72:BB72"/>
    <mergeCell ref="P71:R71"/>
    <mergeCell ref="S71:U71"/>
    <mergeCell ref="V71:X71"/>
    <mergeCell ref="Y71:AA71"/>
    <mergeCell ref="AZ70:BB70"/>
    <mergeCell ref="BC70:BE70"/>
    <mergeCell ref="BF70:BH70"/>
    <mergeCell ref="BI70:BK70"/>
    <mergeCell ref="BL70:BN70"/>
    <mergeCell ref="BL71:BN71"/>
    <mergeCell ref="BO70:BR70"/>
    <mergeCell ref="AH70:AJ70"/>
    <mergeCell ref="AK70:AM70"/>
    <mergeCell ref="AN70:AP70"/>
    <mergeCell ref="AQ70:AS70"/>
    <mergeCell ref="AT70:AV70"/>
    <mergeCell ref="AW70:AY70"/>
    <mergeCell ref="BL69:BN69"/>
    <mergeCell ref="BO69:BR69"/>
    <mergeCell ref="AW69:AY69"/>
    <mergeCell ref="AZ69:BB69"/>
    <mergeCell ref="BC69:BE69"/>
    <mergeCell ref="BF69:BH69"/>
    <mergeCell ref="BI69:BK69"/>
    <mergeCell ref="B70:C70"/>
    <mergeCell ref="D70:O70"/>
    <mergeCell ref="P70:R70"/>
    <mergeCell ref="S70:U70"/>
    <mergeCell ref="V70:X70"/>
    <mergeCell ref="Y70:AA70"/>
    <mergeCell ref="AB70:AD70"/>
    <mergeCell ref="AE70:AG70"/>
    <mergeCell ref="AT69:AV69"/>
    <mergeCell ref="AB69:AD69"/>
    <mergeCell ref="AE69:AG69"/>
    <mergeCell ref="AH69:AJ69"/>
    <mergeCell ref="AK69:AM69"/>
    <mergeCell ref="AN69:AP69"/>
    <mergeCell ref="AQ69:AS69"/>
    <mergeCell ref="B69:C69"/>
    <mergeCell ref="D69:O69"/>
    <mergeCell ref="P69:R69"/>
    <mergeCell ref="S69:U69"/>
    <mergeCell ref="V69:X69"/>
    <mergeCell ref="Y69:AA69"/>
    <mergeCell ref="BC68:BE68"/>
    <mergeCell ref="BF68:BH68"/>
    <mergeCell ref="BI68:BK68"/>
    <mergeCell ref="BL68:BN68"/>
    <mergeCell ref="BO68:BR68"/>
    <mergeCell ref="AH68:AJ68"/>
    <mergeCell ref="AK68:AM68"/>
    <mergeCell ref="AN68:AP68"/>
    <mergeCell ref="AQ68:AS68"/>
    <mergeCell ref="AT68:AV68"/>
    <mergeCell ref="AW68:AY68"/>
    <mergeCell ref="BO66:BR66"/>
    <mergeCell ref="B68:C68"/>
    <mergeCell ref="D68:O68"/>
    <mergeCell ref="P68:R68"/>
    <mergeCell ref="S68:U68"/>
    <mergeCell ref="V68:X68"/>
    <mergeCell ref="Y68:AA68"/>
    <mergeCell ref="AB68:AD68"/>
    <mergeCell ref="AE68:AG68"/>
    <mergeCell ref="AT66:AV66"/>
    <mergeCell ref="AW66:AY66"/>
    <mergeCell ref="AZ66:BB66"/>
    <mergeCell ref="BC66:BE66"/>
    <mergeCell ref="BF66:BH66"/>
    <mergeCell ref="BI66:BK66"/>
    <mergeCell ref="AB66:AD66"/>
    <mergeCell ref="AE66:AG66"/>
    <mergeCell ref="AH66:AJ66"/>
    <mergeCell ref="AK66:AM66"/>
    <mergeCell ref="AN66:AP66"/>
    <mergeCell ref="AQ66:AS66"/>
    <mergeCell ref="B66:C66"/>
    <mergeCell ref="D66:O66"/>
    <mergeCell ref="AZ68:BB68"/>
    <mergeCell ref="P66:R66"/>
    <mergeCell ref="S66:U66"/>
    <mergeCell ref="V66:X66"/>
    <mergeCell ref="Y66:AA66"/>
    <mergeCell ref="AZ65:BB65"/>
    <mergeCell ref="BC65:BE65"/>
    <mergeCell ref="BF65:BH65"/>
    <mergeCell ref="BI65:BK65"/>
    <mergeCell ref="BL65:BN65"/>
    <mergeCell ref="BL66:BN66"/>
    <mergeCell ref="BO65:BR65"/>
    <mergeCell ref="AH65:AJ65"/>
    <mergeCell ref="AK65:AM65"/>
    <mergeCell ref="AN65:AP65"/>
    <mergeCell ref="AQ65:AS65"/>
    <mergeCell ref="AT65:AV65"/>
    <mergeCell ref="AW65:AY65"/>
    <mergeCell ref="BL64:BN64"/>
    <mergeCell ref="BO64:BR64"/>
    <mergeCell ref="AW64:AY64"/>
    <mergeCell ref="AZ64:BB64"/>
    <mergeCell ref="BC64:BE64"/>
    <mergeCell ref="BF64:BH64"/>
    <mergeCell ref="BI64:BK64"/>
    <mergeCell ref="B65:C65"/>
    <mergeCell ref="D65:O65"/>
    <mergeCell ref="P65:R65"/>
    <mergeCell ref="S65:U65"/>
    <mergeCell ref="V65:X65"/>
    <mergeCell ref="Y65:AA65"/>
    <mergeCell ref="AB65:AD65"/>
    <mergeCell ref="AE65:AG65"/>
    <mergeCell ref="AT64:AV64"/>
    <mergeCell ref="AB64:AD64"/>
    <mergeCell ref="AE64:AG64"/>
    <mergeCell ref="AH64:AJ64"/>
    <mergeCell ref="AK64:AM64"/>
    <mergeCell ref="AN64:AP64"/>
    <mergeCell ref="AQ64:AS64"/>
    <mergeCell ref="B64:C64"/>
    <mergeCell ref="D64:O64"/>
    <mergeCell ref="P64:R64"/>
    <mergeCell ref="S64:U64"/>
    <mergeCell ref="V64:X64"/>
    <mergeCell ref="Y64:AA64"/>
    <mergeCell ref="BC63:BE63"/>
    <mergeCell ref="BF63:BH63"/>
    <mergeCell ref="BI63:BK63"/>
    <mergeCell ref="BL63:BN63"/>
    <mergeCell ref="BO63:BR63"/>
    <mergeCell ref="AH63:AJ63"/>
    <mergeCell ref="AK63:AM63"/>
    <mergeCell ref="AN63:AP63"/>
    <mergeCell ref="AQ63:AS63"/>
    <mergeCell ref="AT63:AV63"/>
    <mergeCell ref="AW63:AY63"/>
    <mergeCell ref="BO62:BR62"/>
    <mergeCell ref="B63:C63"/>
    <mergeCell ref="D63:O63"/>
    <mergeCell ref="P63:R63"/>
    <mergeCell ref="S63:U63"/>
    <mergeCell ref="V63:X63"/>
    <mergeCell ref="Y63:AA63"/>
    <mergeCell ref="AB63:AD63"/>
    <mergeCell ref="AE63:AG63"/>
    <mergeCell ref="AT62:AV62"/>
    <mergeCell ref="AW62:AY62"/>
    <mergeCell ref="AZ62:BB62"/>
    <mergeCell ref="BC62:BE62"/>
    <mergeCell ref="BF62:BH62"/>
    <mergeCell ref="BI62:BK62"/>
    <mergeCell ref="AB62:AD62"/>
    <mergeCell ref="AE62:AG62"/>
    <mergeCell ref="AH62:AJ62"/>
    <mergeCell ref="AK62:AM62"/>
    <mergeCell ref="AN62:AP62"/>
    <mergeCell ref="AQ62:AS62"/>
    <mergeCell ref="B62:C62"/>
    <mergeCell ref="D62:O62"/>
    <mergeCell ref="AZ63:BB63"/>
    <mergeCell ref="P62:R62"/>
    <mergeCell ref="S62:U62"/>
    <mergeCell ref="V62:X62"/>
    <mergeCell ref="Y62:AA62"/>
    <mergeCell ref="AZ61:BB61"/>
    <mergeCell ref="BC61:BE61"/>
    <mergeCell ref="BF61:BH61"/>
    <mergeCell ref="BI61:BK61"/>
    <mergeCell ref="BL61:BN61"/>
    <mergeCell ref="BL62:BN62"/>
    <mergeCell ref="BO61:BR61"/>
    <mergeCell ref="AH61:AJ61"/>
    <mergeCell ref="AK61:AM61"/>
    <mergeCell ref="AN61:AP61"/>
    <mergeCell ref="AQ61:AS61"/>
    <mergeCell ref="AT61:AV61"/>
    <mergeCell ref="AW61:AY61"/>
    <mergeCell ref="BL60:BN60"/>
    <mergeCell ref="BO60:BR60"/>
    <mergeCell ref="AW60:AY60"/>
    <mergeCell ref="AZ60:BB60"/>
    <mergeCell ref="BC60:BE60"/>
    <mergeCell ref="BF60:BH60"/>
    <mergeCell ref="BI60:BK60"/>
    <mergeCell ref="B61:C61"/>
    <mergeCell ref="D61:O61"/>
    <mergeCell ref="P61:R61"/>
    <mergeCell ref="S61:U61"/>
    <mergeCell ref="V61:X61"/>
    <mergeCell ref="Y61:AA61"/>
    <mergeCell ref="AB61:AD61"/>
    <mergeCell ref="AE61:AG61"/>
    <mergeCell ref="AT60:AV60"/>
    <mergeCell ref="AB60:AD60"/>
    <mergeCell ref="AE60:AG60"/>
    <mergeCell ref="AH60:AJ60"/>
    <mergeCell ref="AK60:AM60"/>
    <mergeCell ref="AN60:AP60"/>
    <mergeCell ref="AQ60:AS60"/>
    <mergeCell ref="B60:C60"/>
    <mergeCell ref="D60:O60"/>
    <mergeCell ref="P60:R60"/>
    <mergeCell ref="S60:U60"/>
    <mergeCell ref="V60:X60"/>
    <mergeCell ref="Y60:AA60"/>
    <mergeCell ref="BC59:BE59"/>
    <mergeCell ref="BF59:BH59"/>
    <mergeCell ref="BI59:BK59"/>
    <mergeCell ref="BL59:BN59"/>
    <mergeCell ref="BO59:BR59"/>
    <mergeCell ref="AH59:AJ59"/>
    <mergeCell ref="AK59:AM59"/>
    <mergeCell ref="AN59:AP59"/>
    <mergeCell ref="AQ59:AS59"/>
    <mergeCell ref="AT59:AV59"/>
    <mergeCell ref="AW59:AY59"/>
    <mergeCell ref="BO58:BR58"/>
    <mergeCell ref="B59:C59"/>
    <mergeCell ref="D59:O59"/>
    <mergeCell ref="P59:R59"/>
    <mergeCell ref="S59:U59"/>
    <mergeCell ref="V59:X59"/>
    <mergeCell ref="Y59:AA59"/>
    <mergeCell ref="AB59:AD59"/>
    <mergeCell ref="AE59:AG59"/>
    <mergeCell ref="AT58:AV58"/>
    <mergeCell ref="AW58:AY58"/>
    <mergeCell ref="AZ58:BB58"/>
    <mergeCell ref="BC58:BE58"/>
    <mergeCell ref="BF58:BH58"/>
    <mergeCell ref="BI58:BK58"/>
    <mergeCell ref="AB58:AD58"/>
    <mergeCell ref="AE58:AG58"/>
    <mergeCell ref="AH58:AJ58"/>
    <mergeCell ref="AK58:AM58"/>
    <mergeCell ref="AN58:AP58"/>
    <mergeCell ref="AQ58:AS58"/>
    <mergeCell ref="B58:C58"/>
    <mergeCell ref="D58:O58"/>
    <mergeCell ref="AZ59:BB59"/>
    <mergeCell ref="P58:R58"/>
    <mergeCell ref="S58:U58"/>
    <mergeCell ref="V58:X58"/>
    <mergeCell ref="Y58:AA58"/>
    <mergeCell ref="AZ57:BB57"/>
    <mergeCell ref="BC57:BE57"/>
    <mergeCell ref="BF57:BH57"/>
    <mergeCell ref="BI57:BK57"/>
    <mergeCell ref="BL57:BN57"/>
    <mergeCell ref="BL58:BN58"/>
    <mergeCell ref="BO57:BR57"/>
    <mergeCell ref="AH57:AJ57"/>
    <mergeCell ref="AK57:AM57"/>
    <mergeCell ref="AN57:AP57"/>
    <mergeCell ref="AQ57:AS57"/>
    <mergeCell ref="AT57:AV57"/>
    <mergeCell ref="AW57:AY57"/>
    <mergeCell ref="BL56:BN56"/>
    <mergeCell ref="BO56:BR56"/>
    <mergeCell ref="AW56:AY56"/>
    <mergeCell ref="AZ56:BB56"/>
    <mergeCell ref="BC56:BE56"/>
    <mergeCell ref="BF56:BH56"/>
    <mergeCell ref="BI56:BK56"/>
    <mergeCell ref="B57:C57"/>
    <mergeCell ref="D57:O57"/>
    <mergeCell ref="P57:R57"/>
    <mergeCell ref="S57:U57"/>
    <mergeCell ref="V57:X57"/>
    <mergeCell ref="Y57:AA57"/>
    <mergeCell ref="AB57:AD57"/>
    <mergeCell ref="AE57:AG57"/>
    <mergeCell ref="AT56:AV56"/>
    <mergeCell ref="AB56:AD56"/>
    <mergeCell ref="AE56:AG56"/>
    <mergeCell ref="AH56:AJ56"/>
    <mergeCell ref="AK56:AM56"/>
    <mergeCell ref="AN56:AP56"/>
    <mergeCell ref="AQ56:AS56"/>
    <mergeCell ref="B56:C56"/>
    <mergeCell ref="D56:O56"/>
    <mergeCell ref="P56:R56"/>
    <mergeCell ref="S56:U56"/>
    <mergeCell ref="V56:X56"/>
    <mergeCell ref="Y56:AA56"/>
    <mergeCell ref="S55:U55"/>
    <mergeCell ref="BC50:BE51"/>
    <mergeCell ref="BF50:BH51"/>
    <mergeCell ref="BI50:BK51"/>
    <mergeCell ref="BL50:BN51"/>
    <mergeCell ref="AQ52:BB53"/>
    <mergeCell ref="BC52:BN53"/>
    <mergeCell ref="AH50:AJ55"/>
    <mergeCell ref="AK50:AM55"/>
    <mergeCell ref="AQ50:AS51"/>
    <mergeCell ref="AT50:AV51"/>
    <mergeCell ref="AW50:AY51"/>
    <mergeCell ref="AZ50:BB51"/>
    <mergeCell ref="AQ54:AS55"/>
    <mergeCell ref="AT54:AV55"/>
    <mergeCell ref="AW54:AY55"/>
    <mergeCell ref="AZ54:BB55"/>
    <mergeCell ref="A44:BR45"/>
    <mergeCell ref="A46:A55"/>
    <mergeCell ref="B46:C55"/>
    <mergeCell ref="D46:O55"/>
    <mergeCell ref="P46:AP47"/>
    <mergeCell ref="AQ46:BB47"/>
    <mergeCell ref="BC46:BN47"/>
    <mergeCell ref="BO46:BR55"/>
    <mergeCell ref="P48:U54"/>
    <mergeCell ref="V48:AM49"/>
    <mergeCell ref="AN48:AP55"/>
    <mergeCell ref="AQ48:AV49"/>
    <mergeCell ref="AW48:BB49"/>
    <mergeCell ref="BC48:BH49"/>
    <mergeCell ref="BI48:BN49"/>
    <mergeCell ref="V50:X55"/>
    <mergeCell ref="Y50:AA55"/>
    <mergeCell ref="AB50:AD55"/>
    <mergeCell ref="AE50:AG55"/>
    <mergeCell ref="BC54:BE55"/>
    <mergeCell ref="BF54:BH55"/>
    <mergeCell ref="BI54:BK55"/>
    <mergeCell ref="BL54:BN55"/>
    <mergeCell ref="P55:R55"/>
    <mergeCell ref="BM37:BN37"/>
    <mergeCell ref="BO37:BP37"/>
    <mergeCell ref="BQ37:BR37"/>
    <mergeCell ref="B39:C41"/>
    <mergeCell ref="D39:J41"/>
    <mergeCell ref="K39:N41"/>
    <mergeCell ref="O39:R41"/>
    <mergeCell ref="S39:U41"/>
    <mergeCell ref="V39:AA41"/>
    <mergeCell ref="AB39:AD41"/>
    <mergeCell ref="A37:BB37"/>
    <mergeCell ref="BC37:BD37"/>
    <mergeCell ref="BE37:BF37"/>
    <mergeCell ref="BG37:BH37"/>
    <mergeCell ref="BI37:BJ37"/>
    <mergeCell ref="BK37:BL37"/>
    <mergeCell ref="BH39:BN41"/>
    <mergeCell ref="AF39:AM41"/>
    <mergeCell ref="AN39:AP41"/>
    <mergeCell ref="AR39:AU41"/>
    <mergeCell ref="AW39:AY41"/>
    <mergeCell ref="AZ39:BC41"/>
    <mergeCell ref="BD39:BG41"/>
    <mergeCell ref="A36:B36"/>
    <mergeCell ref="BC36:BD36"/>
    <mergeCell ref="BE36:BF36"/>
    <mergeCell ref="BG36:BH36"/>
    <mergeCell ref="BI36:BJ36"/>
    <mergeCell ref="BK36:BL36"/>
    <mergeCell ref="BM36:BN36"/>
    <mergeCell ref="BO36:BP36"/>
    <mergeCell ref="BQ36:BR36"/>
    <mergeCell ref="A35:B35"/>
    <mergeCell ref="BC35:BD35"/>
    <mergeCell ref="BW32:BX34"/>
    <mergeCell ref="BY32:CA34"/>
    <mergeCell ref="C33:F33"/>
    <mergeCell ref="G33:J33"/>
    <mergeCell ref="K33:O33"/>
    <mergeCell ref="P33:S33"/>
    <mergeCell ref="T33:X33"/>
    <mergeCell ref="Y33:AB33"/>
    <mergeCell ref="AC33:AF33"/>
    <mergeCell ref="AG33:AJ33"/>
    <mergeCell ref="BQ31:BR34"/>
    <mergeCell ref="BT31:CA31"/>
    <mergeCell ref="BQ35:BR35"/>
    <mergeCell ref="BE35:BF35"/>
    <mergeCell ref="BG35:BH35"/>
    <mergeCell ref="BI35:BJ35"/>
    <mergeCell ref="BK35:BL35"/>
    <mergeCell ref="BM35:BN35"/>
    <mergeCell ref="BO35:BP35"/>
    <mergeCell ref="CB31:CC34"/>
    <mergeCell ref="CD31:CE34"/>
    <mergeCell ref="CF31:CG34"/>
    <mergeCell ref="BE32:BF34"/>
    <mergeCell ref="BG32:BH34"/>
    <mergeCell ref="BI32:BJ34"/>
    <mergeCell ref="BK32:BL34"/>
    <mergeCell ref="BT32:BV34"/>
    <mergeCell ref="A29:BR30"/>
    <mergeCell ref="A31:B34"/>
    <mergeCell ref="C31:BB32"/>
    <mergeCell ref="BC31:BD34"/>
    <mergeCell ref="BE31:BL31"/>
    <mergeCell ref="BM31:BN34"/>
    <mergeCell ref="BO31:BP34"/>
    <mergeCell ref="AK33:AO33"/>
    <mergeCell ref="AP33:AS33"/>
    <mergeCell ref="AT33:AX33"/>
    <mergeCell ref="AY33:BB33"/>
    <mergeCell ref="A15:Q18"/>
    <mergeCell ref="R15:AY18"/>
    <mergeCell ref="A1:BR2"/>
    <mergeCell ref="A3:BR4"/>
    <mergeCell ref="A7:Q10"/>
    <mergeCell ref="R7:AY10"/>
    <mergeCell ref="AZ7:BR10"/>
    <mergeCell ref="A11:Q14"/>
    <mergeCell ref="R11:AY14"/>
    <mergeCell ref="AZ11:BR14"/>
    <mergeCell ref="AZ15:BR18"/>
    <mergeCell ref="AY130:BG130"/>
    <mergeCell ref="BH130:BP130"/>
    <mergeCell ref="AJ133:AX134"/>
    <mergeCell ref="AY133:BG133"/>
    <mergeCell ref="BH133:BP133"/>
    <mergeCell ref="V87:AZ88"/>
    <mergeCell ref="V89:AZ90"/>
    <mergeCell ref="A106:O106"/>
    <mergeCell ref="P106:S106"/>
    <mergeCell ref="T106:X106"/>
    <mergeCell ref="AJ106:BR112"/>
    <mergeCell ref="A115:O118"/>
    <mergeCell ref="P115:X118"/>
    <mergeCell ref="Y115:AE118"/>
    <mergeCell ref="AJ115:AX118"/>
    <mergeCell ref="AY115:BG118"/>
    <mergeCell ref="BH115:BR118"/>
    <mergeCell ref="B100:BR100"/>
    <mergeCell ref="B101:BR101"/>
    <mergeCell ref="B102:BR102"/>
    <mergeCell ref="B103:BR103"/>
    <mergeCell ref="BH121:BR124"/>
    <mergeCell ref="A121:O124"/>
    <mergeCell ref="P121:X124"/>
  </mergeCells>
  <conditionalFormatting sqref="BW58:BW84">
    <cfRule type="expression" dxfId="15" priority="2">
      <formula>BV58=0</formula>
    </cfRule>
  </conditionalFormatting>
  <conditionalFormatting sqref="BZ58:BZ84">
    <cfRule type="expression" dxfId="14" priority="1">
      <formula>BY58=0</formula>
    </cfRule>
  </conditionalFormatting>
  <pageMargins left="0.19685039370078741" right="0.19685039370078741" top="0.19685039370078741" bottom="0.19685039370078741" header="0.31496062992125984" footer="0.31496062992125984"/>
  <pageSetup paperSize="9" scale="5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151"/>
  <sheetViews>
    <sheetView view="pageBreakPreview" topLeftCell="A43" zoomScale="70" zoomScaleNormal="40" zoomScaleSheetLayoutView="70" workbookViewId="0">
      <selection activeCell="D68" sqref="D68:O78"/>
    </sheetView>
  </sheetViews>
  <sheetFormatPr defaultColWidth="9.140625" defaultRowHeight="15.75" x14ac:dyDescent="0.25"/>
  <cols>
    <col min="1" max="1" width="12.28515625" style="2" customWidth="1"/>
    <col min="2" max="2" width="12.28515625" style="58" customWidth="1"/>
    <col min="3" max="3" width="3.85546875" style="58" customWidth="1"/>
    <col min="4" max="70" width="3.85546875" style="2" customWidth="1"/>
    <col min="71" max="74" width="6.5703125" style="1" customWidth="1"/>
    <col min="75" max="75" width="15.42578125" style="1" customWidth="1"/>
    <col min="76" max="77" width="6.5703125" style="1" customWidth="1"/>
    <col min="78" max="78" width="15.42578125" style="1" customWidth="1"/>
    <col min="79" max="16384" width="9.140625" style="2"/>
  </cols>
  <sheetData>
    <row r="1" spans="1:70" ht="14.25" customHeight="1" x14ac:dyDescent="0.25">
      <c r="A1" s="140" t="s">
        <v>252</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c r="BD1" s="140"/>
      <c r="BE1" s="140"/>
      <c r="BF1" s="140"/>
      <c r="BG1" s="140"/>
      <c r="BH1" s="140"/>
      <c r="BI1" s="140"/>
      <c r="BJ1" s="140"/>
      <c r="BK1" s="140"/>
      <c r="BL1" s="140"/>
      <c r="BM1" s="140"/>
      <c r="BN1" s="140"/>
      <c r="BO1" s="140"/>
      <c r="BP1" s="140"/>
      <c r="BQ1" s="140"/>
      <c r="BR1" s="140"/>
    </row>
    <row r="2" spans="1:70" ht="14.25" customHeight="1" x14ac:dyDescent="0.25">
      <c r="A2" s="140"/>
      <c r="B2" s="140"/>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c r="AH2" s="140"/>
      <c r="AI2" s="140"/>
      <c r="AJ2" s="140"/>
      <c r="AK2" s="140"/>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row>
    <row r="3" spans="1:70" ht="14.25" customHeight="1" x14ac:dyDescent="0.25">
      <c r="A3" s="140" t="s">
        <v>56</v>
      </c>
      <c r="B3" s="140"/>
      <c r="C3" s="140"/>
      <c r="D3" s="140"/>
      <c r="E3" s="140"/>
      <c r="F3" s="140"/>
      <c r="G3" s="140"/>
      <c r="H3" s="140"/>
      <c r="I3" s="140"/>
      <c r="J3" s="140"/>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row>
    <row r="4" spans="1:70" ht="14.25" customHeight="1" x14ac:dyDescent="0.25">
      <c r="A4" s="140"/>
      <c r="B4" s="140"/>
      <c r="C4" s="140"/>
      <c r="D4" s="140"/>
      <c r="E4" s="140"/>
      <c r="F4" s="140"/>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row>
    <row r="5" spans="1:70" ht="14.25" customHeight="1" x14ac:dyDescent="0.25">
      <c r="A5" s="67"/>
      <c r="B5" s="67"/>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row>
    <row r="6" spans="1:70" ht="14.25" customHeight="1" x14ac:dyDescent="0.25">
      <c r="A6" s="67"/>
      <c r="B6" s="67"/>
      <c r="C6" s="67"/>
      <c r="D6" s="67"/>
      <c r="E6" s="67"/>
      <c r="F6" s="67"/>
      <c r="G6" s="67"/>
      <c r="H6" s="67"/>
      <c r="I6" s="67"/>
      <c r="J6" s="67"/>
      <c r="K6" s="67"/>
      <c r="L6" s="67"/>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row>
    <row r="7" spans="1:70" ht="14.25" customHeight="1" x14ac:dyDescent="0.25">
      <c r="A7" s="170" t="s">
        <v>57</v>
      </c>
      <c r="B7" s="170"/>
      <c r="C7" s="170"/>
      <c r="D7" s="170"/>
      <c r="E7" s="170"/>
      <c r="F7" s="170"/>
      <c r="G7" s="170"/>
      <c r="H7" s="170"/>
      <c r="I7" s="170"/>
      <c r="J7" s="170"/>
      <c r="K7" s="170"/>
      <c r="L7" s="170"/>
      <c r="M7" s="170"/>
      <c r="N7" s="170"/>
      <c r="O7" s="170"/>
      <c r="P7" s="170"/>
      <c r="Q7" s="170"/>
      <c r="R7" s="170" t="s">
        <v>239</v>
      </c>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t="s">
        <v>64</v>
      </c>
      <c r="BA7" s="170"/>
      <c r="BB7" s="170"/>
      <c r="BC7" s="170"/>
      <c r="BD7" s="170"/>
      <c r="BE7" s="170"/>
      <c r="BF7" s="170"/>
      <c r="BG7" s="170"/>
      <c r="BH7" s="170"/>
      <c r="BI7" s="170"/>
      <c r="BJ7" s="170"/>
      <c r="BK7" s="170"/>
      <c r="BL7" s="170"/>
      <c r="BM7" s="170"/>
      <c r="BN7" s="170"/>
      <c r="BO7" s="170"/>
      <c r="BP7" s="170"/>
      <c r="BQ7" s="170"/>
      <c r="BR7" s="170"/>
    </row>
    <row r="8" spans="1:70" ht="14.25" customHeight="1" x14ac:dyDescent="0.25">
      <c r="A8" s="170"/>
      <c r="B8" s="170"/>
      <c r="C8" s="170"/>
      <c r="D8" s="170"/>
      <c r="E8" s="170"/>
      <c r="F8" s="170"/>
      <c r="G8" s="170"/>
      <c r="H8" s="170"/>
      <c r="I8" s="170"/>
      <c r="J8" s="170"/>
      <c r="K8" s="170"/>
      <c r="L8" s="170"/>
      <c r="M8" s="170"/>
      <c r="N8" s="170"/>
      <c r="O8" s="170"/>
      <c r="P8" s="170"/>
      <c r="Q8" s="170"/>
      <c r="R8" s="170"/>
      <c r="S8" s="170"/>
      <c r="T8" s="170"/>
      <c r="U8" s="170"/>
      <c r="V8" s="170"/>
      <c r="W8" s="170"/>
      <c r="X8" s="170"/>
      <c r="Y8" s="170"/>
      <c r="Z8" s="170"/>
      <c r="AA8" s="170"/>
      <c r="AB8" s="170"/>
      <c r="AC8" s="170"/>
      <c r="AD8" s="170"/>
      <c r="AE8" s="170"/>
      <c r="AF8" s="170"/>
      <c r="AG8" s="170"/>
      <c r="AH8" s="170"/>
      <c r="AI8" s="170"/>
      <c r="AJ8" s="170"/>
      <c r="AK8" s="170"/>
      <c r="AL8" s="170"/>
      <c r="AM8" s="170"/>
      <c r="AN8" s="170"/>
      <c r="AO8" s="170"/>
      <c r="AP8" s="170"/>
      <c r="AQ8" s="170"/>
      <c r="AR8" s="170"/>
      <c r="AS8" s="170"/>
      <c r="AT8" s="170"/>
      <c r="AU8" s="170"/>
      <c r="AV8" s="170"/>
      <c r="AW8" s="170"/>
      <c r="AX8" s="170"/>
      <c r="AY8" s="170"/>
      <c r="AZ8" s="170"/>
      <c r="BA8" s="170"/>
      <c r="BB8" s="170"/>
      <c r="BC8" s="170"/>
      <c r="BD8" s="170"/>
      <c r="BE8" s="170"/>
      <c r="BF8" s="170"/>
      <c r="BG8" s="170"/>
      <c r="BH8" s="170"/>
      <c r="BI8" s="170"/>
      <c r="BJ8" s="170"/>
      <c r="BK8" s="170"/>
      <c r="BL8" s="170"/>
      <c r="BM8" s="170"/>
      <c r="BN8" s="170"/>
      <c r="BO8" s="170"/>
      <c r="BP8" s="170"/>
      <c r="BQ8" s="170"/>
      <c r="BR8" s="170"/>
    </row>
    <row r="9" spans="1:70" ht="14.25" customHeight="1" x14ac:dyDescent="0.25">
      <c r="A9" s="170"/>
      <c r="B9" s="170"/>
      <c r="C9" s="170"/>
      <c r="D9" s="170"/>
      <c r="E9" s="170"/>
      <c r="F9" s="170"/>
      <c r="G9" s="170"/>
      <c r="H9" s="170"/>
      <c r="I9" s="170"/>
      <c r="J9" s="170"/>
      <c r="K9" s="170"/>
      <c r="L9" s="170"/>
      <c r="M9" s="170"/>
      <c r="N9" s="170"/>
      <c r="O9" s="170"/>
      <c r="P9" s="170"/>
      <c r="Q9" s="170"/>
      <c r="R9" s="170"/>
      <c r="S9" s="170"/>
      <c r="T9" s="170"/>
      <c r="U9" s="170"/>
      <c r="V9" s="170"/>
      <c r="W9" s="170"/>
      <c r="X9" s="170"/>
      <c r="Y9" s="170"/>
      <c r="Z9" s="170"/>
      <c r="AA9" s="170"/>
      <c r="AB9" s="170"/>
      <c r="AC9" s="170"/>
      <c r="AD9" s="170"/>
      <c r="AE9" s="170"/>
      <c r="AF9" s="170"/>
      <c r="AG9" s="170"/>
      <c r="AH9" s="170"/>
      <c r="AI9" s="170"/>
      <c r="AJ9" s="170"/>
      <c r="AK9" s="170"/>
      <c r="AL9" s="170"/>
      <c r="AM9" s="170"/>
      <c r="AN9" s="170"/>
      <c r="AO9" s="170"/>
      <c r="AP9" s="170"/>
      <c r="AQ9" s="170"/>
      <c r="AR9" s="170"/>
      <c r="AS9" s="170"/>
      <c r="AT9" s="170"/>
      <c r="AU9" s="170"/>
      <c r="AV9" s="170"/>
      <c r="AW9" s="170"/>
      <c r="AX9" s="170"/>
      <c r="AY9" s="170"/>
      <c r="AZ9" s="170"/>
      <c r="BA9" s="170"/>
      <c r="BB9" s="170"/>
      <c r="BC9" s="170"/>
      <c r="BD9" s="170"/>
      <c r="BE9" s="170"/>
      <c r="BF9" s="170"/>
      <c r="BG9" s="170"/>
      <c r="BH9" s="170"/>
      <c r="BI9" s="170"/>
      <c r="BJ9" s="170"/>
      <c r="BK9" s="170"/>
      <c r="BL9" s="170"/>
      <c r="BM9" s="170"/>
      <c r="BN9" s="170"/>
      <c r="BO9" s="170"/>
      <c r="BP9" s="170"/>
      <c r="BQ9" s="170"/>
      <c r="BR9" s="170"/>
    </row>
    <row r="10" spans="1:70" ht="14.25" customHeight="1" x14ac:dyDescent="0.25">
      <c r="A10" s="170"/>
      <c r="B10" s="170"/>
      <c r="C10" s="170"/>
      <c r="D10" s="170"/>
      <c r="E10" s="170"/>
      <c r="F10" s="170"/>
      <c r="G10" s="170"/>
      <c r="H10" s="170"/>
      <c r="I10" s="170"/>
      <c r="J10" s="170"/>
      <c r="K10" s="170"/>
      <c r="L10" s="170"/>
      <c r="M10" s="170"/>
      <c r="N10" s="170"/>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0"/>
      <c r="AM10" s="170"/>
      <c r="AN10" s="170"/>
      <c r="AO10" s="170"/>
      <c r="AP10" s="170"/>
      <c r="AQ10" s="170"/>
      <c r="AR10" s="170"/>
      <c r="AS10" s="170"/>
      <c r="AT10" s="170"/>
      <c r="AU10" s="170"/>
      <c r="AV10" s="170"/>
      <c r="AW10" s="170"/>
      <c r="AX10" s="170"/>
      <c r="AY10" s="170"/>
      <c r="AZ10" s="170"/>
      <c r="BA10" s="170"/>
      <c r="BB10" s="170"/>
      <c r="BC10" s="170"/>
      <c r="BD10" s="170"/>
      <c r="BE10" s="170"/>
      <c r="BF10" s="170"/>
      <c r="BG10" s="170"/>
      <c r="BH10" s="170"/>
      <c r="BI10" s="170"/>
      <c r="BJ10" s="170"/>
      <c r="BK10" s="170"/>
      <c r="BL10" s="170"/>
      <c r="BM10" s="170"/>
      <c r="BN10" s="170"/>
      <c r="BO10" s="170"/>
      <c r="BP10" s="170"/>
      <c r="BQ10" s="170"/>
      <c r="BR10" s="170"/>
    </row>
    <row r="11" spans="1:70" ht="14.25" customHeight="1" x14ac:dyDescent="0.25">
      <c r="A11" s="171" t="s">
        <v>58</v>
      </c>
      <c r="B11" s="171"/>
      <c r="C11" s="171"/>
      <c r="D11" s="171"/>
      <c r="E11" s="171"/>
      <c r="F11" s="171"/>
      <c r="G11" s="171"/>
      <c r="H11" s="171"/>
      <c r="I11" s="171"/>
      <c r="J11" s="171"/>
      <c r="K11" s="171"/>
      <c r="L11" s="171"/>
      <c r="M11" s="171"/>
      <c r="N11" s="171"/>
      <c r="O11" s="171"/>
      <c r="P11" s="171"/>
      <c r="Q11" s="171"/>
      <c r="R11" s="174" t="s">
        <v>72</v>
      </c>
      <c r="S11" s="174"/>
      <c r="T11" s="174"/>
      <c r="U11" s="174"/>
      <c r="V11" s="174"/>
      <c r="W11" s="174"/>
      <c r="X11" s="174"/>
      <c r="Y11" s="174"/>
      <c r="Z11" s="174"/>
      <c r="AA11" s="174"/>
      <c r="AB11" s="174"/>
      <c r="AC11" s="174"/>
      <c r="AD11" s="174"/>
      <c r="AE11" s="174"/>
      <c r="AF11" s="174"/>
      <c r="AG11" s="174"/>
      <c r="AH11" s="174"/>
      <c r="AI11" s="174"/>
      <c r="AJ11" s="174"/>
      <c r="AK11" s="174"/>
      <c r="AL11" s="174"/>
      <c r="AM11" s="174"/>
      <c r="AN11" s="174"/>
      <c r="AO11" s="174"/>
      <c r="AP11" s="174"/>
      <c r="AQ11" s="174"/>
      <c r="AR11" s="174"/>
      <c r="AS11" s="174"/>
      <c r="AT11" s="174"/>
      <c r="AU11" s="174"/>
      <c r="AV11" s="174"/>
      <c r="AW11" s="174"/>
      <c r="AX11" s="174"/>
      <c r="AY11" s="174"/>
      <c r="AZ11" s="171" t="s">
        <v>63</v>
      </c>
      <c r="BA11" s="170"/>
      <c r="BB11" s="170"/>
      <c r="BC11" s="170"/>
      <c r="BD11" s="170"/>
      <c r="BE11" s="170"/>
      <c r="BF11" s="170"/>
      <c r="BG11" s="170"/>
      <c r="BH11" s="170"/>
      <c r="BI11" s="170"/>
      <c r="BJ11" s="170"/>
      <c r="BK11" s="170"/>
      <c r="BL11" s="170"/>
      <c r="BM11" s="170"/>
      <c r="BN11" s="170"/>
      <c r="BO11" s="170"/>
      <c r="BP11" s="170"/>
      <c r="BQ11" s="170"/>
      <c r="BR11" s="170"/>
    </row>
    <row r="12" spans="1:70" ht="14.25" customHeight="1" x14ac:dyDescent="0.25">
      <c r="A12" s="171"/>
      <c r="B12" s="171"/>
      <c r="C12" s="171"/>
      <c r="D12" s="171"/>
      <c r="E12" s="171"/>
      <c r="F12" s="171"/>
      <c r="G12" s="171"/>
      <c r="H12" s="171"/>
      <c r="I12" s="171"/>
      <c r="J12" s="171"/>
      <c r="K12" s="171"/>
      <c r="L12" s="171"/>
      <c r="M12" s="171"/>
      <c r="N12" s="171"/>
      <c r="O12" s="171"/>
      <c r="P12" s="171"/>
      <c r="Q12" s="171"/>
      <c r="R12" s="174"/>
      <c r="S12" s="174"/>
      <c r="T12" s="174"/>
      <c r="U12" s="174"/>
      <c r="V12" s="174"/>
      <c r="W12" s="174"/>
      <c r="X12" s="174"/>
      <c r="Y12" s="174"/>
      <c r="Z12" s="174"/>
      <c r="AA12" s="174"/>
      <c r="AB12" s="174"/>
      <c r="AC12" s="174"/>
      <c r="AD12" s="174"/>
      <c r="AE12" s="174"/>
      <c r="AF12" s="174"/>
      <c r="AG12" s="174"/>
      <c r="AH12" s="174"/>
      <c r="AI12" s="174"/>
      <c r="AJ12" s="174"/>
      <c r="AK12" s="174"/>
      <c r="AL12" s="174"/>
      <c r="AM12" s="174"/>
      <c r="AN12" s="174"/>
      <c r="AO12" s="174"/>
      <c r="AP12" s="174"/>
      <c r="AQ12" s="174"/>
      <c r="AR12" s="174"/>
      <c r="AS12" s="174"/>
      <c r="AT12" s="174"/>
      <c r="AU12" s="174"/>
      <c r="AV12" s="174"/>
      <c r="AW12" s="174"/>
      <c r="AX12" s="174"/>
      <c r="AY12" s="174"/>
      <c r="AZ12" s="171"/>
      <c r="BA12" s="170"/>
      <c r="BB12" s="170"/>
      <c r="BC12" s="170"/>
      <c r="BD12" s="170"/>
      <c r="BE12" s="170"/>
      <c r="BF12" s="170"/>
      <c r="BG12" s="170"/>
      <c r="BH12" s="170"/>
      <c r="BI12" s="170"/>
      <c r="BJ12" s="170"/>
      <c r="BK12" s="170"/>
      <c r="BL12" s="170"/>
      <c r="BM12" s="170"/>
      <c r="BN12" s="170"/>
      <c r="BO12" s="170"/>
      <c r="BP12" s="170"/>
      <c r="BQ12" s="170"/>
      <c r="BR12" s="170"/>
    </row>
    <row r="13" spans="1:70" ht="14.25" customHeight="1" x14ac:dyDescent="0.25">
      <c r="A13" s="171"/>
      <c r="B13" s="171"/>
      <c r="C13" s="171"/>
      <c r="D13" s="171"/>
      <c r="E13" s="171"/>
      <c r="F13" s="171"/>
      <c r="G13" s="171"/>
      <c r="H13" s="171"/>
      <c r="I13" s="171"/>
      <c r="J13" s="171"/>
      <c r="K13" s="171"/>
      <c r="L13" s="171"/>
      <c r="M13" s="171"/>
      <c r="N13" s="171"/>
      <c r="O13" s="171"/>
      <c r="P13" s="171"/>
      <c r="Q13" s="171"/>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1"/>
      <c r="BA13" s="170"/>
      <c r="BB13" s="170"/>
      <c r="BC13" s="170"/>
      <c r="BD13" s="170"/>
      <c r="BE13" s="170"/>
      <c r="BF13" s="170"/>
      <c r="BG13" s="170"/>
      <c r="BH13" s="170"/>
      <c r="BI13" s="170"/>
      <c r="BJ13" s="170"/>
      <c r="BK13" s="170"/>
      <c r="BL13" s="170"/>
      <c r="BM13" s="170"/>
      <c r="BN13" s="170"/>
      <c r="BO13" s="170"/>
      <c r="BP13" s="170"/>
      <c r="BQ13" s="170"/>
      <c r="BR13" s="170"/>
    </row>
    <row r="14" spans="1:70" ht="14.25" customHeight="1" x14ac:dyDescent="0.25">
      <c r="A14" s="171"/>
      <c r="B14" s="171"/>
      <c r="C14" s="171"/>
      <c r="D14" s="171"/>
      <c r="E14" s="171"/>
      <c r="F14" s="171"/>
      <c r="G14" s="171"/>
      <c r="H14" s="171"/>
      <c r="I14" s="171"/>
      <c r="J14" s="171"/>
      <c r="K14" s="171"/>
      <c r="L14" s="171"/>
      <c r="M14" s="171"/>
      <c r="N14" s="171"/>
      <c r="O14" s="171"/>
      <c r="P14" s="171"/>
      <c r="Q14" s="171"/>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0"/>
      <c r="BA14" s="170"/>
      <c r="BB14" s="170"/>
      <c r="BC14" s="170"/>
      <c r="BD14" s="170"/>
      <c r="BE14" s="170"/>
      <c r="BF14" s="170"/>
      <c r="BG14" s="170"/>
      <c r="BH14" s="170"/>
      <c r="BI14" s="170"/>
      <c r="BJ14" s="170"/>
      <c r="BK14" s="170"/>
      <c r="BL14" s="170"/>
      <c r="BM14" s="170"/>
      <c r="BN14" s="170"/>
      <c r="BO14" s="170"/>
      <c r="BP14" s="170"/>
      <c r="BQ14" s="170"/>
      <c r="BR14" s="170"/>
    </row>
    <row r="15" spans="1:70" ht="14.25" customHeight="1" x14ac:dyDescent="0.25">
      <c r="A15" s="170" t="s">
        <v>59</v>
      </c>
      <c r="B15" s="170"/>
      <c r="C15" s="170"/>
      <c r="D15" s="170"/>
      <c r="E15" s="170"/>
      <c r="F15" s="170"/>
      <c r="G15" s="170"/>
      <c r="H15" s="170"/>
      <c r="I15" s="170"/>
      <c r="J15" s="170"/>
      <c r="K15" s="170"/>
      <c r="L15" s="170"/>
      <c r="M15" s="170"/>
      <c r="N15" s="170"/>
      <c r="O15" s="170"/>
      <c r="P15" s="170"/>
      <c r="Q15" s="170"/>
      <c r="R15" s="175" t="s">
        <v>225</v>
      </c>
      <c r="S15" s="175"/>
      <c r="T15" s="175"/>
      <c r="U15" s="175"/>
      <c r="V15" s="175"/>
      <c r="W15" s="175"/>
      <c r="X15" s="175"/>
      <c r="Y15" s="175"/>
      <c r="Z15" s="175"/>
      <c r="AA15" s="175"/>
      <c r="AB15" s="175"/>
      <c r="AC15" s="175"/>
      <c r="AD15" s="175"/>
      <c r="AE15" s="175"/>
      <c r="AF15" s="175"/>
      <c r="AG15" s="175"/>
      <c r="AH15" s="175"/>
      <c r="AI15" s="175"/>
      <c r="AJ15" s="175"/>
      <c r="AK15" s="175"/>
      <c r="AL15" s="175"/>
      <c r="AM15" s="175"/>
      <c r="AN15" s="175"/>
      <c r="AO15" s="175"/>
      <c r="AP15" s="175"/>
      <c r="AQ15" s="175"/>
      <c r="AR15" s="175"/>
      <c r="AS15" s="175"/>
      <c r="AT15" s="175"/>
      <c r="AU15" s="175"/>
      <c r="AV15" s="175"/>
      <c r="AW15" s="175"/>
      <c r="AX15" s="175"/>
      <c r="AY15" s="175"/>
      <c r="AZ15" s="170" t="s">
        <v>62</v>
      </c>
      <c r="BA15" s="170"/>
      <c r="BB15" s="170"/>
      <c r="BC15" s="170"/>
      <c r="BD15" s="170"/>
      <c r="BE15" s="170"/>
      <c r="BF15" s="170"/>
      <c r="BG15" s="170"/>
      <c r="BH15" s="170"/>
      <c r="BI15" s="170"/>
      <c r="BJ15" s="170"/>
      <c r="BK15" s="170"/>
      <c r="BL15" s="170"/>
      <c r="BM15" s="170"/>
      <c r="BN15" s="170"/>
      <c r="BO15" s="170"/>
      <c r="BP15" s="170"/>
      <c r="BQ15" s="170"/>
      <c r="BR15" s="170"/>
    </row>
    <row r="16" spans="1:70" ht="14.25" customHeight="1" x14ac:dyDescent="0.25">
      <c r="A16" s="170"/>
      <c r="B16" s="170"/>
      <c r="C16" s="170"/>
      <c r="D16" s="170"/>
      <c r="E16" s="170"/>
      <c r="F16" s="170"/>
      <c r="G16" s="170"/>
      <c r="H16" s="170"/>
      <c r="I16" s="170"/>
      <c r="J16" s="170"/>
      <c r="K16" s="170"/>
      <c r="L16" s="170"/>
      <c r="M16" s="170"/>
      <c r="N16" s="170"/>
      <c r="O16" s="170"/>
      <c r="P16" s="170"/>
      <c r="Q16" s="170"/>
      <c r="R16" s="175"/>
      <c r="S16" s="175"/>
      <c r="T16" s="175"/>
      <c r="U16" s="175"/>
      <c r="V16" s="175"/>
      <c r="W16" s="175"/>
      <c r="X16" s="175"/>
      <c r="Y16" s="175"/>
      <c r="Z16" s="175"/>
      <c r="AA16" s="175"/>
      <c r="AB16" s="175"/>
      <c r="AC16" s="175"/>
      <c r="AD16" s="175"/>
      <c r="AE16" s="175"/>
      <c r="AF16" s="175"/>
      <c r="AG16" s="175"/>
      <c r="AH16" s="175"/>
      <c r="AI16" s="175"/>
      <c r="AJ16" s="175"/>
      <c r="AK16" s="175"/>
      <c r="AL16" s="175"/>
      <c r="AM16" s="175"/>
      <c r="AN16" s="175"/>
      <c r="AO16" s="175"/>
      <c r="AP16" s="175"/>
      <c r="AQ16" s="175"/>
      <c r="AR16" s="175"/>
      <c r="AS16" s="175"/>
      <c r="AT16" s="175"/>
      <c r="AU16" s="175"/>
      <c r="AV16" s="175"/>
      <c r="AW16" s="175"/>
      <c r="AX16" s="175"/>
      <c r="AY16" s="175"/>
      <c r="AZ16" s="170"/>
      <c r="BA16" s="170"/>
      <c r="BB16" s="170"/>
      <c r="BC16" s="170"/>
      <c r="BD16" s="170"/>
      <c r="BE16" s="170"/>
      <c r="BF16" s="170"/>
      <c r="BG16" s="170"/>
      <c r="BH16" s="170"/>
      <c r="BI16" s="170"/>
      <c r="BJ16" s="170"/>
      <c r="BK16" s="170"/>
      <c r="BL16" s="170"/>
      <c r="BM16" s="170"/>
      <c r="BN16" s="170"/>
      <c r="BO16" s="170"/>
      <c r="BP16" s="170"/>
      <c r="BQ16" s="170"/>
      <c r="BR16" s="170"/>
    </row>
    <row r="17" spans="1:85" ht="14.25" customHeight="1" x14ac:dyDescent="0.25">
      <c r="A17" s="170"/>
      <c r="B17" s="170"/>
      <c r="C17" s="170"/>
      <c r="D17" s="170"/>
      <c r="E17" s="170"/>
      <c r="F17" s="170"/>
      <c r="G17" s="170"/>
      <c r="H17" s="170"/>
      <c r="I17" s="170"/>
      <c r="J17" s="170"/>
      <c r="K17" s="170"/>
      <c r="L17" s="170"/>
      <c r="M17" s="170"/>
      <c r="N17" s="170"/>
      <c r="O17" s="170"/>
      <c r="P17" s="170"/>
      <c r="Q17" s="170"/>
      <c r="R17" s="175"/>
      <c r="S17" s="175"/>
      <c r="T17" s="175"/>
      <c r="U17" s="175"/>
      <c r="V17" s="175"/>
      <c r="W17" s="175"/>
      <c r="X17" s="175"/>
      <c r="Y17" s="175"/>
      <c r="Z17" s="175"/>
      <c r="AA17" s="175"/>
      <c r="AB17" s="175"/>
      <c r="AC17" s="175"/>
      <c r="AD17" s="175"/>
      <c r="AE17" s="175"/>
      <c r="AF17" s="175"/>
      <c r="AG17" s="175"/>
      <c r="AH17" s="175"/>
      <c r="AI17" s="175"/>
      <c r="AJ17" s="175"/>
      <c r="AK17" s="175"/>
      <c r="AL17" s="175"/>
      <c r="AM17" s="175"/>
      <c r="AN17" s="175"/>
      <c r="AO17" s="175"/>
      <c r="AP17" s="175"/>
      <c r="AQ17" s="175"/>
      <c r="AR17" s="175"/>
      <c r="AS17" s="175"/>
      <c r="AT17" s="175"/>
      <c r="AU17" s="175"/>
      <c r="AV17" s="175"/>
      <c r="AW17" s="175"/>
      <c r="AX17" s="175"/>
      <c r="AY17" s="175"/>
      <c r="AZ17" s="170"/>
      <c r="BA17" s="170"/>
      <c r="BB17" s="170"/>
      <c r="BC17" s="170"/>
      <c r="BD17" s="170"/>
      <c r="BE17" s="170"/>
      <c r="BF17" s="170"/>
      <c r="BG17" s="170"/>
      <c r="BH17" s="170"/>
      <c r="BI17" s="170"/>
      <c r="BJ17" s="170"/>
      <c r="BK17" s="170"/>
      <c r="BL17" s="170"/>
      <c r="BM17" s="170"/>
      <c r="BN17" s="170"/>
      <c r="BO17" s="170"/>
      <c r="BP17" s="170"/>
      <c r="BQ17" s="170"/>
      <c r="BR17" s="170"/>
    </row>
    <row r="18" spans="1:85" ht="14.25" customHeight="1" x14ac:dyDescent="0.25">
      <c r="A18" s="170"/>
      <c r="B18" s="170"/>
      <c r="C18" s="170"/>
      <c r="D18" s="170"/>
      <c r="E18" s="170"/>
      <c r="F18" s="170"/>
      <c r="G18" s="170"/>
      <c r="H18" s="170"/>
      <c r="I18" s="170"/>
      <c r="J18" s="170"/>
      <c r="K18" s="170"/>
      <c r="L18" s="170"/>
      <c r="M18" s="170"/>
      <c r="N18" s="170"/>
      <c r="O18" s="170"/>
      <c r="P18" s="170"/>
      <c r="Q18" s="170"/>
      <c r="R18" s="175"/>
      <c r="S18" s="175"/>
      <c r="T18" s="175"/>
      <c r="U18" s="175"/>
      <c r="V18" s="175"/>
      <c r="W18" s="175"/>
      <c r="X18" s="175"/>
      <c r="Y18" s="175"/>
      <c r="Z18" s="175"/>
      <c r="AA18" s="175"/>
      <c r="AB18" s="175"/>
      <c r="AC18" s="175"/>
      <c r="AD18" s="175"/>
      <c r="AE18" s="175"/>
      <c r="AF18" s="175"/>
      <c r="AG18" s="175"/>
      <c r="AH18" s="175"/>
      <c r="AI18" s="175"/>
      <c r="AJ18" s="175"/>
      <c r="AK18" s="175"/>
      <c r="AL18" s="175"/>
      <c r="AM18" s="175"/>
      <c r="AN18" s="175"/>
      <c r="AO18" s="175"/>
      <c r="AP18" s="175"/>
      <c r="AQ18" s="175"/>
      <c r="AR18" s="175"/>
      <c r="AS18" s="175"/>
      <c r="AT18" s="175"/>
      <c r="AU18" s="175"/>
      <c r="AV18" s="175"/>
      <c r="AW18" s="175"/>
      <c r="AX18" s="175"/>
      <c r="AY18" s="175"/>
      <c r="AZ18" s="170"/>
      <c r="BA18" s="170"/>
      <c r="BB18" s="170"/>
      <c r="BC18" s="170"/>
      <c r="BD18" s="170"/>
      <c r="BE18" s="170"/>
      <c r="BF18" s="170"/>
      <c r="BG18" s="170"/>
      <c r="BH18" s="170"/>
      <c r="BI18" s="170"/>
      <c r="BJ18" s="170"/>
      <c r="BK18" s="170"/>
      <c r="BL18" s="170"/>
      <c r="BM18" s="170"/>
      <c r="BN18" s="170"/>
      <c r="BO18" s="170"/>
      <c r="BP18" s="170"/>
      <c r="BQ18" s="170"/>
      <c r="BR18" s="170"/>
    </row>
    <row r="19" spans="1:85" ht="14.25" customHeight="1" x14ac:dyDescent="0.25">
      <c r="A19" s="170" t="s">
        <v>60</v>
      </c>
      <c r="B19" s="170"/>
      <c r="C19" s="170"/>
      <c r="D19" s="170"/>
      <c r="E19" s="170"/>
      <c r="F19" s="170"/>
      <c r="G19" s="170"/>
      <c r="H19" s="170"/>
      <c r="I19" s="170"/>
      <c r="J19" s="170"/>
      <c r="K19" s="170"/>
      <c r="L19" s="170"/>
      <c r="M19" s="170"/>
      <c r="N19" s="170"/>
      <c r="O19" s="170"/>
      <c r="P19" s="170"/>
      <c r="Q19" s="170"/>
      <c r="R19" s="170" t="s">
        <v>253</v>
      </c>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t="s">
        <v>236</v>
      </c>
      <c r="BA19" s="170"/>
      <c r="BB19" s="170"/>
      <c r="BC19" s="170"/>
      <c r="BD19" s="170"/>
      <c r="BE19" s="170"/>
      <c r="BF19" s="170"/>
      <c r="BG19" s="170"/>
      <c r="BH19" s="170"/>
      <c r="BI19" s="170"/>
      <c r="BJ19" s="170"/>
      <c r="BK19" s="170"/>
      <c r="BL19" s="170"/>
      <c r="BM19" s="170"/>
      <c r="BN19" s="170"/>
      <c r="BO19" s="170"/>
      <c r="BP19" s="170"/>
      <c r="BQ19" s="170"/>
      <c r="BR19" s="170"/>
    </row>
    <row r="20" spans="1:85" ht="14.25" customHeight="1" x14ac:dyDescent="0.25">
      <c r="A20" s="170"/>
      <c r="B20" s="170"/>
      <c r="C20" s="170"/>
      <c r="D20" s="170"/>
      <c r="E20" s="170"/>
      <c r="F20" s="170"/>
      <c r="G20" s="170"/>
      <c r="H20" s="170"/>
      <c r="I20" s="170"/>
      <c r="J20" s="170"/>
      <c r="K20" s="170"/>
      <c r="L20" s="170"/>
      <c r="M20" s="170"/>
      <c r="N20" s="170"/>
      <c r="O20" s="170"/>
      <c r="P20" s="170"/>
      <c r="Q20" s="170"/>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0"/>
      <c r="BD20" s="170"/>
      <c r="BE20" s="170"/>
      <c r="BF20" s="170"/>
      <c r="BG20" s="170"/>
      <c r="BH20" s="170"/>
      <c r="BI20" s="170"/>
      <c r="BJ20" s="170"/>
      <c r="BK20" s="170"/>
      <c r="BL20" s="170"/>
      <c r="BM20" s="170"/>
      <c r="BN20" s="170"/>
      <c r="BO20" s="170"/>
      <c r="BP20" s="170"/>
      <c r="BQ20" s="170"/>
      <c r="BR20" s="170"/>
    </row>
    <row r="21" spans="1:85" ht="14.25" customHeight="1" x14ac:dyDescent="0.25">
      <c r="A21" s="170"/>
      <c r="B21" s="170"/>
      <c r="C21" s="170"/>
      <c r="D21" s="170"/>
      <c r="E21" s="170"/>
      <c r="F21" s="170"/>
      <c r="G21" s="170"/>
      <c r="H21" s="170"/>
      <c r="I21" s="170"/>
      <c r="J21" s="170"/>
      <c r="K21" s="170"/>
      <c r="L21" s="170"/>
      <c r="M21" s="170"/>
      <c r="N21" s="170"/>
      <c r="O21" s="170"/>
      <c r="P21" s="170"/>
      <c r="Q21" s="170"/>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0"/>
      <c r="BD21" s="170"/>
      <c r="BE21" s="170"/>
      <c r="BF21" s="170"/>
      <c r="BG21" s="170"/>
      <c r="BH21" s="170"/>
      <c r="BI21" s="170"/>
      <c r="BJ21" s="170"/>
      <c r="BK21" s="170"/>
      <c r="BL21" s="170"/>
      <c r="BM21" s="170"/>
      <c r="BN21" s="170"/>
      <c r="BO21" s="170"/>
      <c r="BP21" s="170"/>
      <c r="BQ21" s="170"/>
      <c r="BR21" s="170"/>
    </row>
    <row r="22" spans="1:85" ht="14.25" customHeight="1" x14ac:dyDescent="0.25">
      <c r="A22" s="170"/>
      <c r="B22" s="170"/>
      <c r="C22" s="170"/>
      <c r="D22" s="170"/>
      <c r="E22" s="170"/>
      <c r="F22" s="170"/>
      <c r="G22" s="170"/>
      <c r="H22" s="170"/>
      <c r="I22" s="170"/>
      <c r="J22" s="170"/>
      <c r="K22" s="170"/>
      <c r="L22" s="170"/>
      <c r="M22" s="170"/>
      <c r="N22" s="170"/>
      <c r="O22" s="170"/>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0"/>
      <c r="BD22" s="170"/>
      <c r="BE22" s="170"/>
      <c r="BF22" s="170"/>
      <c r="BG22" s="170"/>
      <c r="BH22" s="170"/>
      <c r="BI22" s="170"/>
      <c r="BJ22" s="170"/>
      <c r="BK22" s="170"/>
      <c r="BL22" s="170"/>
      <c r="BM22" s="170"/>
      <c r="BN22" s="170"/>
      <c r="BO22" s="170"/>
      <c r="BP22" s="170"/>
      <c r="BQ22" s="170"/>
      <c r="BR22" s="170"/>
    </row>
    <row r="23" spans="1:85" ht="14.25" customHeight="1" x14ac:dyDescent="0.25">
      <c r="A23" s="173" t="s">
        <v>61</v>
      </c>
      <c r="B23" s="173"/>
      <c r="C23" s="173"/>
      <c r="D23" s="173"/>
      <c r="E23" s="173"/>
      <c r="F23" s="173"/>
      <c r="G23" s="173"/>
      <c r="H23" s="173"/>
      <c r="I23" s="173"/>
      <c r="J23" s="173"/>
      <c r="K23" s="173"/>
      <c r="L23" s="173"/>
      <c r="M23" s="173"/>
      <c r="N23" s="173"/>
      <c r="O23" s="173"/>
      <c r="P23" s="173"/>
      <c r="Q23" s="173"/>
      <c r="R23" s="170" t="s">
        <v>124</v>
      </c>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2"/>
      <c r="BA23" s="172"/>
      <c r="BB23" s="172"/>
      <c r="BC23" s="172"/>
      <c r="BD23" s="172"/>
      <c r="BE23" s="172"/>
      <c r="BF23" s="172"/>
      <c r="BG23" s="172"/>
      <c r="BH23" s="172"/>
      <c r="BI23" s="172"/>
      <c r="BJ23" s="172"/>
      <c r="BK23" s="172"/>
      <c r="BL23" s="172"/>
      <c r="BM23" s="172"/>
      <c r="BN23" s="172"/>
      <c r="BO23" s="172"/>
      <c r="BP23" s="172"/>
      <c r="BQ23" s="172"/>
      <c r="BR23" s="172"/>
    </row>
    <row r="24" spans="1:85" ht="14.25" customHeight="1" x14ac:dyDescent="0.25">
      <c r="A24" s="173"/>
      <c r="B24" s="173"/>
      <c r="C24" s="173"/>
      <c r="D24" s="173"/>
      <c r="E24" s="173"/>
      <c r="F24" s="173"/>
      <c r="G24" s="173"/>
      <c r="H24" s="173"/>
      <c r="I24" s="173"/>
      <c r="J24" s="173"/>
      <c r="K24" s="173"/>
      <c r="L24" s="173"/>
      <c r="M24" s="173"/>
      <c r="N24" s="173"/>
      <c r="O24" s="173"/>
      <c r="P24" s="173"/>
      <c r="Q24" s="173"/>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2"/>
      <c r="BA24" s="172"/>
      <c r="BB24" s="172"/>
      <c r="BC24" s="172"/>
      <c r="BD24" s="172"/>
      <c r="BE24" s="172"/>
      <c r="BF24" s="172"/>
      <c r="BG24" s="172"/>
      <c r="BH24" s="172"/>
      <c r="BI24" s="172"/>
      <c r="BJ24" s="172"/>
      <c r="BK24" s="172"/>
      <c r="BL24" s="172"/>
      <c r="BM24" s="172"/>
      <c r="BN24" s="172"/>
      <c r="BO24" s="172"/>
      <c r="BP24" s="172"/>
      <c r="BQ24" s="172"/>
      <c r="BR24" s="172"/>
    </row>
    <row r="25" spans="1:85" ht="14.25" customHeight="1" x14ac:dyDescent="0.25">
      <c r="A25" s="173"/>
      <c r="B25" s="173"/>
      <c r="C25" s="173"/>
      <c r="D25" s="173"/>
      <c r="E25" s="173"/>
      <c r="F25" s="173"/>
      <c r="G25" s="173"/>
      <c r="H25" s="173"/>
      <c r="I25" s="173"/>
      <c r="J25" s="173"/>
      <c r="K25" s="173"/>
      <c r="L25" s="173"/>
      <c r="M25" s="173"/>
      <c r="N25" s="173"/>
      <c r="O25" s="173"/>
      <c r="P25" s="173"/>
      <c r="Q25" s="173"/>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2"/>
      <c r="BA25" s="172"/>
      <c r="BB25" s="172"/>
      <c r="BC25" s="172"/>
      <c r="BD25" s="172"/>
      <c r="BE25" s="172"/>
      <c r="BF25" s="172"/>
      <c r="BG25" s="172"/>
      <c r="BH25" s="172"/>
      <c r="BI25" s="172"/>
      <c r="BJ25" s="172"/>
      <c r="BK25" s="172"/>
      <c r="BL25" s="172"/>
      <c r="BM25" s="172"/>
      <c r="BN25" s="172"/>
      <c r="BO25" s="172"/>
      <c r="BP25" s="172"/>
      <c r="BQ25" s="172"/>
      <c r="BR25" s="172"/>
    </row>
    <row r="26" spans="1:85" ht="14.25" customHeight="1" x14ac:dyDescent="0.25">
      <c r="A26" s="173"/>
      <c r="B26" s="173"/>
      <c r="C26" s="173"/>
      <c r="D26" s="173"/>
      <c r="E26" s="173"/>
      <c r="F26" s="173"/>
      <c r="G26" s="173"/>
      <c r="H26" s="173"/>
      <c r="I26" s="173"/>
      <c r="J26" s="173"/>
      <c r="K26" s="173"/>
      <c r="L26" s="173"/>
      <c r="M26" s="173"/>
      <c r="N26" s="173"/>
      <c r="O26" s="173"/>
      <c r="P26" s="173"/>
      <c r="Q26" s="173"/>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2"/>
      <c r="BA26" s="172"/>
      <c r="BB26" s="172"/>
      <c r="BC26" s="172"/>
      <c r="BD26" s="172"/>
      <c r="BE26" s="172"/>
      <c r="BF26" s="172"/>
      <c r="BG26" s="172"/>
      <c r="BH26" s="172"/>
      <c r="BI26" s="172"/>
      <c r="BJ26" s="172"/>
      <c r="BK26" s="172"/>
      <c r="BL26" s="172"/>
      <c r="BM26" s="172"/>
      <c r="BN26" s="172"/>
      <c r="BO26" s="172"/>
      <c r="BP26" s="172"/>
      <c r="BQ26" s="172"/>
      <c r="BR26" s="172"/>
    </row>
    <row r="27" spans="1:85" ht="14.25" customHeight="1" x14ac:dyDescent="0.25">
      <c r="A27" s="76"/>
      <c r="B27" s="76"/>
      <c r="C27" s="76"/>
      <c r="D27" s="76"/>
      <c r="E27" s="76"/>
      <c r="F27" s="76"/>
      <c r="G27" s="76"/>
      <c r="H27" s="76"/>
      <c r="I27" s="76"/>
      <c r="J27" s="76"/>
      <c r="K27" s="76"/>
      <c r="L27" s="76"/>
      <c r="M27" s="76"/>
      <c r="N27" s="76"/>
      <c r="O27" s="76"/>
      <c r="P27" s="76"/>
      <c r="Q27" s="76"/>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5"/>
      <c r="BA27" s="75"/>
      <c r="BB27" s="75"/>
      <c r="BC27" s="75"/>
      <c r="BD27" s="75"/>
      <c r="BE27" s="75"/>
      <c r="BF27" s="75"/>
      <c r="BG27" s="75"/>
      <c r="BH27" s="75"/>
      <c r="BI27" s="75"/>
      <c r="BJ27" s="75"/>
      <c r="BK27" s="75"/>
      <c r="BL27" s="75"/>
      <c r="BM27" s="75"/>
      <c r="BN27" s="75"/>
      <c r="BO27" s="75"/>
      <c r="BP27" s="75"/>
      <c r="BQ27" s="75"/>
      <c r="BR27" s="75"/>
    </row>
    <row r="28" spans="1:85" ht="14.25" customHeight="1" x14ac:dyDescent="0.25">
      <c r="A28" s="75"/>
      <c r="B28" s="3"/>
      <c r="C28" s="3"/>
      <c r="D28" s="75"/>
      <c r="E28" s="75"/>
      <c r="F28" s="75"/>
      <c r="G28" s="75"/>
      <c r="H28" s="75"/>
      <c r="I28" s="75"/>
      <c r="J28" s="75"/>
      <c r="K28" s="75"/>
      <c r="L28" s="75"/>
      <c r="M28" s="75"/>
      <c r="N28" s="75"/>
      <c r="O28" s="75"/>
      <c r="P28" s="75"/>
      <c r="Q28" s="75"/>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5"/>
      <c r="BA28" s="75"/>
      <c r="BB28" s="75"/>
      <c r="BC28" s="75"/>
      <c r="BD28" s="75"/>
      <c r="BE28" s="75"/>
      <c r="BF28" s="75"/>
      <c r="BG28" s="75"/>
      <c r="BH28" s="75"/>
      <c r="BI28" s="75"/>
      <c r="BJ28" s="75"/>
      <c r="BK28" s="75"/>
      <c r="BL28" s="75"/>
      <c r="BM28" s="75"/>
      <c r="BN28" s="75"/>
      <c r="BO28" s="75"/>
      <c r="BP28" s="75"/>
      <c r="BQ28" s="75"/>
      <c r="BR28" s="75"/>
    </row>
    <row r="29" spans="1:85" ht="14.25" customHeight="1" x14ac:dyDescent="0.25">
      <c r="A29" s="153" t="s">
        <v>65</v>
      </c>
      <c r="B29" s="153"/>
      <c r="C29" s="153"/>
      <c r="D29" s="153"/>
      <c r="E29" s="153"/>
      <c r="F29" s="153"/>
      <c r="G29" s="153"/>
      <c r="H29" s="153"/>
      <c r="I29" s="153"/>
      <c r="J29" s="153"/>
      <c r="K29" s="153"/>
      <c r="L29" s="153"/>
      <c r="M29" s="153"/>
      <c r="N29" s="153"/>
      <c r="O29" s="153"/>
      <c r="P29" s="153"/>
      <c r="Q29" s="153"/>
      <c r="R29" s="153"/>
      <c r="S29" s="153"/>
      <c r="T29" s="153"/>
      <c r="U29" s="153"/>
      <c r="V29" s="153"/>
      <c r="W29" s="153"/>
      <c r="X29" s="153"/>
      <c r="Y29" s="153"/>
      <c r="Z29" s="153"/>
      <c r="AA29" s="153"/>
      <c r="AB29" s="153"/>
      <c r="AC29" s="153"/>
      <c r="AD29" s="153"/>
      <c r="AE29" s="153"/>
      <c r="AF29" s="153"/>
      <c r="AG29" s="153"/>
      <c r="AH29" s="153"/>
      <c r="AI29" s="153"/>
      <c r="AJ29" s="153"/>
      <c r="AK29" s="153"/>
      <c r="AL29" s="153"/>
      <c r="AM29" s="153"/>
      <c r="AN29" s="153"/>
      <c r="AO29" s="153"/>
      <c r="AP29" s="153"/>
      <c r="AQ29" s="153"/>
      <c r="AR29" s="153"/>
      <c r="AS29" s="153"/>
      <c r="AT29" s="153"/>
      <c r="AU29" s="153"/>
      <c r="AV29" s="153"/>
      <c r="AW29" s="153"/>
      <c r="AX29" s="153"/>
      <c r="AY29" s="153"/>
      <c r="AZ29" s="153"/>
      <c r="BA29" s="153"/>
      <c r="BB29" s="153"/>
      <c r="BC29" s="153"/>
      <c r="BD29" s="153"/>
      <c r="BE29" s="153"/>
      <c r="BF29" s="153"/>
      <c r="BG29" s="153"/>
      <c r="BH29" s="153"/>
      <c r="BI29" s="153"/>
      <c r="BJ29" s="153"/>
      <c r="BK29" s="153"/>
      <c r="BL29" s="153"/>
      <c r="BM29" s="153"/>
      <c r="BN29" s="153"/>
      <c r="BO29" s="153"/>
      <c r="BP29" s="153"/>
      <c r="BQ29" s="153"/>
      <c r="BR29" s="153"/>
    </row>
    <row r="30" spans="1:85" ht="14.25" customHeight="1" x14ac:dyDescent="0.25">
      <c r="A30" s="154"/>
      <c r="B30" s="154"/>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c r="AA30" s="154"/>
      <c r="AB30" s="154"/>
      <c r="AC30" s="154"/>
      <c r="AD30" s="154"/>
      <c r="AE30" s="154"/>
      <c r="AF30" s="154"/>
      <c r="AG30" s="154"/>
      <c r="AH30" s="154"/>
      <c r="AI30" s="154"/>
      <c r="AJ30" s="154"/>
      <c r="AK30" s="154"/>
      <c r="AL30" s="154"/>
      <c r="AM30" s="154"/>
      <c r="AN30" s="154"/>
      <c r="AO30" s="154"/>
      <c r="AP30" s="154"/>
      <c r="AQ30" s="154"/>
      <c r="AR30" s="154"/>
      <c r="AS30" s="154"/>
      <c r="AT30" s="154"/>
      <c r="AU30" s="154"/>
      <c r="AV30" s="154"/>
      <c r="AW30" s="154"/>
      <c r="AX30" s="154"/>
      <c r="AY30" s="154"/>
      <c r="AZ30" s="154"/>
      <c r="BA30" s="154"/>
      <c r="BB30" s="154"/>
      <c r="BC30" s="154"/>
      <c r="BD30" s="154"/>
      <c r="BE30" s="154"/>
      <c r="BF30" s="154"/>
      <c r="BG30" s="154"/>
      <c r="BH30" s="154"/>
      <c r="BI30" s="154"/>
      <c r="BJ30" s="154"/>
      <c r="BK30" s="154"/>
      <c r="BL30" s="154"/>
      <c r="BM30" s="154"/>
      <c r="BN30" s="154"/>
      <c r="BO30" s="154"/>
      <c r="BP30" s="154"/>
      <c r="BQ30" s="154"/>
      <c r="BR30" s="154"/>
    </row>
    <row r="31" spans="1:85" ht="14.25" customHeight="1" x14ac:dyDescent="0.25">
      <c r="A31" s="134" t="s">
        <v>86</v>
      </c>
      <c r="B31" s="134"/>
      <c r="C31" s="106" t="s">
        <v>85</v>
      </c>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6"/>
      <c r="BA31" s="106"/>
      <c r="BB31" s="106"/>
      <c r="BC31" s="236" t="s">
        <v>87</v>
      </c>
      <c r="BD31" s="210"/>
      <c r="BE31" s="233" t="s">
        <v>95</v>
      </c>
      <c r="BF31" s="234"/>
      <c r="BG31" s="234"/>
      <c r="BH31" s="234"/>
      <c r="BI31" s="234"/>
      <c r="BJ31" s="234"/>
      <c r="BK31" s="234"/>
      <c r="BL31" s="235"/>
      <c r="BM31" s="236" t="s">
        <v>92</v>
      </c>
      <c r="BN31" s="210"/>
      <c r="BO31" s="133" t="s">
        <v>93</v>
      </c>
      <c r="BP31" s="133"/>
      <c r="BQ31" s="209" t="s">
        <v>94</v>
      </c>
      <c r="BR31" s="210"/>
      <c r="BT31" s="233"/>
      <c r="BU31" s="234"/>
      <c r="BV31" s="234"/>
      <c r="BW31" s="234"/>
      <c r="BX31" s="234"/>
      <c r="BY31" s="234"/>
      <c r="BZ31" s="234"/>
      <c r="CA31" s="235"/>
      <c r="CB31" s="236"/>
      <c r="CC31" s="210"/>
      <c r="CD31" s="133"/>
      <c r="CE31" s="133"/>
      <c r="CF31" s="209"/>
      <c r="CG31" s="210"/>
    </row>
    <row r="32" spans="1:85" ht="177.75" customHeight="1" x14ac:dyDescent="0.25">
      <c r="A32" s="134"/>
      <c r="B32" s="134"/>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c r="AZ32" s="106"/>
      <c r="BA32" s="106"/>
      <c r="BB32" s="106"/>
      <c r="BC32" s="237"/>
      <c r="BD32" s="212"/>
      <c r="BE32" s="135" t="s">
        <v>88</v>
      </c>
      <c r="BF32" s="135"/>
      <c r="BG32" s="215" t="s">
        <v>89</v>
      </c>
      <c r="BH32" s="217"/>
      <c r="BI32" s="215" t="s">
        <v>90</v>
      </c>
      <c r="BJ32" s="217"/>
      <c r="BK32" s="134" t="s">
        <v>91</v>
      </c>
      <c r="BL32" s="134"/>
      <c r="BM32" s="237"/>
      <c r="BN32" s="212"/>
      <c r="BO32" s="133"/>
      <c r="BP32" s="133"/>
      <c r="BQ32" s="211"/>
      <c r="BR32" s="212"/>
      <c r="BT32" s="215"/>
      <c r="BU32" s="216"/>
      <c r="BV32" s="217"/>
      <c r="BW32" s="215"/>
      <c r="BX32" s="217"/>
      <c r="BY32" s="224"/>
      <c r="BZ32" s="225"/>
      <c r="CA32" s="226"/>
      <c r="CB32" s="237"/>
      <c r="CC32" s="212"/>
      <c r="CD32" s="133"/>
      <c r="CE32" s="133"/>
      <c r="CF32" s="211"/>
      <c r="CG32" s="212"/>
    </row>
    <row r="33" spans="1:85" ht="14.25" customHeight="1" x14ac:dyDescent="0.25">
      <c r="A33" s="134"/>
      <c r="B33" s="134"/>
      <c r="C33" s="167" t="s">
        <v>73</v>
      </c>
      <c r="D33" s="168"/>
      <c r="E33" s="168"/>
      <c r="F33" s="152"/>
      <c r="G33" s="106" t="s">
        <v>74</v>
      </c>
      <c r="H33" s="106"/>
      <c r="I33" s="106"/>
      <c r="J33" s="106"/>
      <c r="K33" s="106" t="s">
        <v>75</v>
      </c>
      <c r="L33" s="106"/>
      <c r="M33" s="106"/>
      <c r="N33" s="106"/>
      <c r="O33" s="106"/>
      <c r="P33" s="167" t="s">
        <v>76</v>
      </c>
      <c r="Q33" s="168"/>
      <c r="R33" s="168"/>
      <c r="S33" s="152"/>
      <c r="T33" s="167" t="s">
        <v>77</v>
      </c>
      <c r="U33" s="168"/>
      <c r="V33" s="168"/>
      <c r="W33" s="168"/>
      <c r="X33" s="152"/>
      <c r="Y33" s="167" t="s">
        <v>78</v>
      </c>
      <c r="Z33" s="168"/>
      <c r="AA33" s="168"/>
      <c r="AB33" s="152"/>
      <c r="AC33" s="167" t="s">
        <v>79</v>
      </c>
      <c r="AD33" s="168"/>
      <c r="AE33" s="168"/>
      <c r="AF33" s="152"/>
      <c r="AG33" s="167" t="s">
        <v>80</v>
      </c>
      <c r="AH33" s="168"/>
      <c r="AI33" s="168"/>
      <c r="AJ33" s="152"/>
      <c r="AK33" s="167" t="s">
        <v>81</v>
      </c>
      <c r="AL33" s="168"/>
      <c r="AM33" s="168"/>
      <c r="AN33" s="168"/>
      <c r="AO33" s="152"/>
      <c r="AP33" s="167" t="s">
        <v>82</v>
      </c>
      <c r="AQ33" s="168"/>
      <c r="AR33" s="168"/>
      <c r="AS33" s="152"/>
      <c r="AT33" s="167" t="s">
        <v>83</v>
      </c>
      <c r="AU33" s="168"/>
      <c r="AV33" s="168"/>
      <c r="AW33" s="168"/>
      <c r="AX33" s="152"/>
      <c r="AY33" s="167" t="s">
        <v>84</v>
      </c>
      <c r="AZ33" s="168"/>
      <c r="BA33" s="168"/>
      <c r="BB33" s="152"/>
      <c r="BC33" s="237"/>
      <c r="BD33" s="212"/>
      <c r="BE33" s="135"/>
      <c r="BF33" s="135"/>
      <c r="BG33" s="218"/>
      <c r="BH33" s="220"/>
      <c r="BI33" s="218"/>
      <c r="BJ33" s="220"/>
      <c r="BK33" s="134"/>
      <c r="BL33" s="134"/>
      <c r="BM33" s="237"/>
      <c r="BN33" s="212"/>
      <c r="BO33" s="133"/>
      <c r="BP33" s="133"/>
      <c r="BQ33" s="211"/>
      <c r="BR33" s="212"/>
      <c r="BT33" s="218"/>
      <c r="BU33" s="219"/>
      <c r="BV33" s="220"/>
      <c r="BW33" s="218"/>
      <c r="BX33" s="220"/>
      <c r="BY33" s="227"/>
      <c r="BZ33" s="228"/>
      <c r="CA33" s="229"/>
      <c r="CB33" s="237"/>
      <c r="CC33" s="212"/>
      <c r="CD33" s="133"/>
      <c r="CE33" s="133"/>
      <c r="CF33" s="211"/>
      <c r="CG33" s="212"/>
    </row>
    <row r="34" spans="1:85" ht="14.25" customHeight="1" x14ac:dyDescent="0.25">
      <c r="A34" s="134"/>
      <c r="B34" s="134"/>
      <c r="C34" s="72">
        <v>1</v>
      </c>
      <c r="D34" s="72">
        <v>2</v>
      </c>
      <c r="E34" s="72">
        <v>3</v>
      </c>
      <c r="F34" s="72">
        <v>4</v>
      </c>
      <c r="G34" s="72">
        <v>5</v>
      </c>
      <c r="H34" s="72">
        <v>6</v>
      </c>
      <c r="I34" s="72">
        <v>7</v>
      </c>
      <c r="J34" s="72">
        <v>8</v>
      </c>
      <c r="K34" s="72">
        <v>9</v>
      </c>
      <c r="L34" s="72">
        <v>10</v>
      </c>
      <c r="M34" s="72">
        <v>11</v>
      </c>
      <c r="N34" s="72">
        <v>12</v>
      </c>
      <c r="O34" s="72">
        <v>13</v>
      </c>
      <c r="P34" s="72">
        <v>14</v>
      </c>
      <c r="Q34" s="72">
        <v>15</v>
      </c>
      <c r="R34" s="72">
        <v>16</v>
      </c>
      <c r="S34" s="72">
        <v>17</v>
      </c>
      <c r="T34" s="72">
        <v>18</v>
      </c>
      <c r="U34" s="72">
        <v>19</v>
      </c>
      <c r="V34" s="72">
        <v>20</v>
      </c>
      <c r="W34" s="72">
        <v>21</v>
      </c>
      <c r="X34" s="72">
        <v>22</v>
      </c>
      <c r="Y34" s="72">
        <v>23</v>
      </c>
      <c r="Z34" s="72">
        <v>24</v>
      </c>
      <c r="AA34" s="72">
        <v>25</v>
      </c>
      <c r="AB34" s="72">
        <v>26</v>
      </c>
      <c r="AC34" s="72">
        <v>27</v>
      </c>
      <c r="AD34" s="72">
        <v>28</v>
      </c>
      <c r="AE34" s="72">
        <v>29</v>
      </c>
      <c r="AF34" s="72">
        <v>30</v>
      </c>
      <c r="AG34" s="72">
        <v>31</v>
      </c>
      <c r="AH34" s="72">
        <v>32</v>
      </c>
      <c r="AI34" s="72">
        <v>33</v>
      </c>
      <c r="AJ34" s="72">
        <v>34</v>
      </c>
      <c r="AK34" s="72">
        <v>35</v>
      </c>
      <c r="AL34" s="72">
        <v>36</v>
      </c>
      <c r="AM34" s="72">
        <v>37</v>
      </c>
      <c r="AN34" s="72">
        <v>38</v>
      </c>
      <c r="AO34" s="72">
        <v>39</v>
      </c>
      <c r="AP34" s="72">
        <v>40</v>
      </c>
      <c r="AQ34" s="72">
        <v>41</v>
      </c>
      <c r="AR34" s="72">
        <v>42</v>
      </c>
      <c r="AS34" s="72">
        <v>43</v>
      </c>
      <c r="AT34" s="72">
        <v>44</v>
      </c>
      <c r="AU34" s="72">
        <v>45</v>
      </c>
      <c r="AV34" s="72">
        <v>46</v>
      </c>
      <c r="AW34" s="72">
        <v>47</v>
      </c>
      <c r="AX34" s="72">
        <v>48</v>
      </c>
      <c r="AY34" s="72">
        <v>49</v>
      </c>
      <c r="AZ34" s="72">
        <v>50</v>
      </c>
      <c r="BA34" s="72">
        <v>51</v>
      </c>
      <c r="BB34" s="72">
        <v>52</v>
      </c>
      <c r="BC34" s="238"/>
      <c r="BD34" s="214"/>
      <c r="BE34" s="135"/>
      <c r="BF34" s="135"/>
      <c r="BG34" s="221"/>
      <c r="BH34" s="223"/>
      <c r="BI34" s="221"/>
      <c r="BJ34" s="223"/>
      <c r="BK34" s="134"/>
      <c r="BL34" s="134"/>
      <c r="BM34" s="238"/>
      <c r="BN34" s="214"/>
      <c r="BO34" s="133"/>
      <c r="BP34" s="133"/>
      <c r="BQ34" s="213"/>
      <c r="BR34" s="214"/>
      <c r="BT34" s="221"/>
      <c r="BU34" s="222"/>
      <c r="BV34" s="223"/>
      <c r="BW34" s="221"/>
      <c r="BX34" s="223"/>
      <c r="BY34" s="230"/>
      <c r="BZ34" s="231"/>
      <c r="CA34" s="232"/>
      <c r="CB34" s="238"/>
      <c r="CC34" s="214"/>
      <c r="CD34" s="133"/>
      <c r="CE34" s="133"/>
      <c r="CF34" s="213"/>
      <c r="CG34" s="214"/>
    </row>
    <row r="35" spans="1:85" ht="14.25" customHeight="1" x14ac:dyDescent="0.25">
      <c r="A35" s="106" t="s">
        <v>0</v>
      </c>
      <c r="B35" s="106"/>
      <c r="C35" s="72" t="s">
        <v>106</v>
      </c>
      <c r="D35" s="72"/>
      <c r="E35" s="72"/>
      <c r="F35" s="72"/>
      <c r="G35" s="72"/>
      <c r="H35" s="72"/>
      <c r="I35" s="72"/>
      <c r="J35" s="72"/>
      <c r="K35" s="72"/>
      <c r="L35" s="72"/>
      <c r="M35" s="72"/>
      <c r="N35" s="72"/>
      <c r="O35" s="72"/>
      <c r="P35" s="72"/>
      <c r="Q35" s="72"/>
      <c r="R35" s="72"/>
      <c r="S35" s="72" t="s">
        <v>2</v>
      </c>
      <c r="T35" s="72" t="s">
        <v>2</v>
      </c>
      <c r="U35" s="72" t="s">
        <v>1</v>
      </c>
      <c r="V35" s="72" t="s">
        <v>1</v>
      </c>
      <c r="W35" s="72" t="s">
        <v>106</v>
      </c>
      <c r="X35" s="72" t="s">
        <v>0</v>
      </c>
      <c r="Y35" s="72" t="s">
        <v>0</v>
      </c>
      <c r="Z35" s="72" t="s">
        <v>0</v>
      </c>
      <c r="AA35" s="72" t="s">
        <v>0</v>
      </c>
      <c r="AB35" s="72" t="s">
        <v>0</v>
      </c>
      <c r="AC35" s="72"/>
      <c r="AD35" s="72"/>
      <c r="AE35" s="72"/>
      <c r="AF35" s="72"/>
      <c r="AG35" s="72"/>
      <c r="AH35" s="72"/>
      <c r="AI35" s="72"/>
      <c r="AJ35" s="72"/>
      <c r="AK35" s="72"/>
      <c r="AL35" s="72"/>
      <c r="AM35" s="72"/>
      <c r="AN35" s="72"/>
      <c r="AO35" s="72"/>
      <c r="AP35" s="72"/>
      <c r="AQ35" s="72"/>
      <c r="AR35" s="72" t="s">
        <v>1</v>
      </c>
      <c r="AS35" s="72" t="s">
        <v>1</v>
      </c>
      <c r="AT35" s="72" t="s">
        <v>2</v>
      </c>
      <c r="AU35" s="72" t="s">
        <v>2</v>
      </c>
      <c r="AV35" s="72" t="s">
        <v>2</v>
      </c>
      <c r="AW35" s="72" t="s">
        <v>2</v>
      </c>
      <c r="AX35" s="72" t="s">
        <v>2</v>
      </c>
      <c r="AY35" s="72" t="s">
        <v>2</v>
      </c>
      <c r="AZ35" s="72" t="s">
        <v>2</v>
      </c>
      <c r="BA35" s="72" t="s">
        <v>2</v>
      </c>
      <c r="BB35" s="72" t="s">
        <v>2</v>
      </c>
      <c r="BC35" s="167">
        <f>SUM(BE35:BN35)</f>
        <v>41</v>
      </c>
      <c r="BD35" s="152"/>
      <c r="BE35" s="106">
        <v>30</v>
      </c>
      <c r="BF35" s="106"/>
      <c r="BG35" s="167">
        <v>5</v>
      </c>
      <c r="BH35" s="152"/>
      <c r="BI35" s="167"/>
      <c r="BJ35" s="152"/>
      <c r="BK35" s="168">
        <v>4</v>
      </c>
      <c r="BL35" s="152"/>
      <c r="BM35" s="167">
        <v>2</v>
      </c>
      <c r="BN35" s="152"/>
      <c r="BO35" s="167">
        <v>11</v>
      </c>
      <c r="BP35" s="152"/>
      <c r="BQ35" s="106">
        <f>BO35+BC35</f>
        <v>52</v>
      </c>
      <c r="BR35" s="106"/>
    </row>
    <row r="36" spans="1:85" ht="14.25" customHeight="1" x14ac:dyDescent="0.25">
      <c r="A36" s="106" t="s">
        <v>3</v>
      </c>
      <c r="B36" s="106"/>
      <c r="C36" s="72" t="s">
        <v>106</v>
      </c>
      <c r="D36" s="72"/>
      <c r="E36" s="72"/>
      <c r="F36" s="72"/>
      <c r="G36" s="72"/>
      <c r="H36" s="72"/>
      <c r="I36" s="72"/>
      <c r="J36" s="72"/>
      <c r="K36" s="72"/>
      <c r="L36" s="72"/>
      <c r="M36" s="72"/>
      <c r="N36" s="72"/>
      <c r="O36" s="72"/>
      <c r="P36" s="72"/>
      <c r="Q36" s="72"/>
      <c r="R36" s="72"/>
      <c r="S36" s="72" t="s">
        <v>2</v>
      </c>
      <c r="T36" s="72" t="s">
        <v>2</v>
      </c>
      <c r="U36" s="72" t="s">
        <v>1</v>
      </c>
      <c r="V36" s="72" t="s">
        <v>1</v>
      </c>
      <c r="W36" s="72" t="s">
        <v>106</v>
      </c>
      <c r="X36" s="72" t="s">
        <v>22</v>
      </c>
      <c r="Y36" s="72" t="s">
        <v>22</v>
      </c>
      <c r="Z36" s="72" t="s">
        <v>22</v>
      </c>
      <c r="AA36" s="72" t="s">
        <v>22</v>
      </c>
      <c r="AB36" s="72" t="s">
        <v>22</v>
      </c>
      <c r="AC36" s="72"/>
      <c r="AD36" s="72"/>
      <c r="AE36" s="72"/>
      <c r="AF36" s="72"/>
      <c r="AG36" s="72"/>
      <c r="AH36" s="72"/>
      <c r="AI36" s="72"/>
      <c r="AJ36" s="72"/>
      <c r="AK36" s="72"/>
      <c r="AL36" s="72"/>
      <c r="AM36" s="72"/>
      <c r="AN36" s="72"/>
      <c r="AO36" s="72"/>
      <c r="AP36" s="72"/>
      <c r="AQ36" s="72"/>
      <c r="AR36" s="72" t="s">
        <v>1</v>
      </c>
      <c r="AS36" s="72" t="s">
        <v>102</v>
      </c>
      <c r="AT36" s="72" t="s">
        <v>2</v>
      </c>
      <c r="AU36" s="72" t="s">
        <v>2</v>
      </c>
      <c r="AV36" s="72" t="s">
        <v>2</v>
      </c>
      <c r="AW36" s="72" t="s">
        <v>2</v>
      </c>
      <c r="AX36" s="72" t="s">
        <v>2</v>
      </c>
      <c r="AY36" s="72"/>
      <c r="AZ36" s="72"/>
      <c r="BA36" s="72"/>
      <c r="BB36" s="72"/>
      <c r="BC36" s="167">
        <f>SUM(BE36:BN36)</f>
        <v>41</v>
      </c>
      <c r="BD36" s="152"/>
      <c r="BE36" s="106">
        <v>30</v>
      </c>
      <c r="BF36" s="106"/>
      <c r="BG36" s="167"/>
      <c r="BH36" s="152"/>
      <c r="BI36" s="167">
        <v>5</v>
      </c>
      <c r="BJ36" s="152"/>
      <c r="BK36" s="168">
        <v>4</v>
      </c>
      <c r="BL36" s="152"/>
      <c r="BM36" s="167">
        <v>2</v>
      </c>
      <c r="BN36" s="152"/>
      <c r="BO36" s="167">
        <v>7</v>
      </c>
      <c r="BP36" s="152"/>
      <c r="BQ36" s="106">
        <f>BO36+BC36</f>
        <v>48</v>
      </c>
      <c r="BR36" s="106"/>
    </row>
    <row r="37" spans="1:85" ht="14.25" customHeight="1" x14ac:dyDescent="0.25">
      <c r="A37" s="169" t="s">
        <v>4</v>
      </c>
      <c r="B37" s="169"/>
      <c r="C37" s="169"/>
      <c r="D37" s="169"/>
      <c r="E37" s="169"/>
      <c r="F37" s="169"/>
      <c r="G37" s="169"/>
      <c r="H37" s="169"/>
      <c r="I37" s="169"/>
      <c r="J37" s="169"/>
      <c r="K37" s="169"/>
      <c r="L37" s="169"/>
      <c r="M37" s="169"/>
      <c r="N37" s="169"/>
      <c r="O37" s="169"/>
      <c r="P37" s="169"/>
      <c r="Q37" s="169"/>
      <c r="R37" s="169"/>
      <c r="S37" s="169"/>
      <c r="T37" s="169"/>
      <c r="U37" s="169"/>
      <c r="V37" s="169"/>
      <c r="W37" s="169"/>
      <c r="X37" s="169"/>
      <c r="Y37" s="169"/>
      <c r="Z37" s="169"/>
      <c r="AA37" s="169"/>
      <c r="AB37" s="169"/>
      <c r="AC37" s="169"/>
      <c r="AD37" s="169"/>
      <c r="AE37" s="169"/>
      <c r="AF37" s="169"/>
      <c r="AG37" s="169"/>
      <c r="AH37" s="169"/>
      <c r="AI37" s="169"/>
      <c r="AJ37" s="169"/>
      <c r="AK37" s="169"/>
      <c r="AL37" s="169"/>
      <c r="AM37" s="169"/>
      <c r="AN37" s="169"/>
      <c r="AO37" s="169"/>
      <c r="AP37" s="169"/>
      <c r="AQ37" s="169"/>
      <c r="AR37" s="169"/>
      <c r="AS37" s="169"/>
      <c r="AT37" s="169"/>
      <c r="AU37" s="169"/>
      <c r="AV37" s="169"/>
      <c r="AW37" s="169"/>
      <c r="AX37" s="169"/>
      <c r="AY37" s="169"/>
      <c r="AZ37" s="169"/>
      <c r="BA37" s="169"/>
      <c r="BB37" s="169"/>
      <c r="BC37" s="167">
        <f>SUM(BC35:BD36)</f>
        <v>82</v>
      </c>
      <c r="BD37" s="152"/>
      <c r="BE37" s="106">
        <f>SUM(BE35:BF36)</f>
        <v>60</v>
      </c>
      <c r="BF37" s="106"/>
      <c r="BG37" s="106">
        <f t="shared" ref="BG37" si="0">SUM(BG35:BH36)</f>
        <v>5</v>
      </c>
      <c r="BH37" s="106"/>
      <c r="BI37" s="106">
        <f t="shared" ref="BI37" si="1">SUM(BI35:BJ36)</f>
        <v>5</v>
      </c>
      <c r="BJ37" s="106"/>
      <c r="BK37" s="106">
        <f t="shared" ref="BK37" si="2">SUM(BK35:BL36)</f>
        <v>8</v>
      </c>
      <c r="BL37" s="106"/>
      <c r="BM37" s="106">
        <f t="shared" ref="BM37" si="3">SUM(BM35:BN36)</f>
        <v>4</v>
      </c>
      <c r="BN37" s="106"/>
      <c r="BO37" s="106">
        <f t="shared" ref="BO37" si="4">SUM(BO35:BP36)</f>
        <v>18</v>
      </c>
      <c r="BP37" s="106"/>
      <c r="BQ37" s="106">
        <f>SUM(BQ35:BR36)</f>
        <v>100</v>
      </c>
      <c r="BR37" s="106"/>
    </row>
    <row r="38" spans="1:85" ht="14.25" customHeight="1" x14ac:dyDescent="0.25">
      <c r="A38" s="4"/>
      <c r="B38" s="5"/>
      <c r="C38" s="5"/>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7"/>
      <c r="AF38" s="6"/>
      <c r="AG38" s="6"/>
      <c r="AH38" s="6"/>
      <c r="AI38" s="6"/>
      <c r="AJ38" s="6"/>
      <c r="AK38" s="6"/>
      <c r="AL38" s="6"/>
      <c r="AM38" s="6"/>
      <c r="AN38" s="6"/>
      <c r="AO38" s="6"/>
      <c r="AP38" s="6"/>
      <c r="AQ38" s="8"/>
      <c r="AR38" s="6"/>
      <c r="AS38" s="6"/>
      <c r="AT38" s="6"/>
      <c r="AU38" s="6"/>
      <c r="AV38" s="8"/>
      <c r="AW38" s="6"/>
      <c r="AX38" s="6"/>
      <c r="AY38" s="6"/>
      <c r="AZ38" s="6"/>
      <c r="BA38" s="6"/>
      <c r="BB38" s="6"/>
      <c r="BC38" s="77"/>
      <c r="BD38" s="77"/>
      <c r="BE38" s="77"/>
      <c r="BF38" s="77"/>
      <c r="BG38" s="77"/>
      <c r="BH38" s="77"/>
      <c r="BI38" s="77"/>
      <c r="BJ38" s="77"/>
      <c r="BK38" s="77"/>
      <c r="BL38" s="77"/>
      <c r="BM38" s="77"/>
      <c r="BN38" s="77"/>
      <c r="BO38" s="9"/>
      <c r="BP38" s="9"/>
      <c r="BQ38" s="9"/>
      <c r="BR38" s="8"/>
    </row>
    <row r="39" spans="1:85" ht="14.25" customHeight="1" x14ac:dyDescent="0.25">
      <c r="A39" s="4"/>
      <c r="B39" s="160"/>
      <c r="C39" s="160"/>
      <c r="D39" s="161" t="s">
        <v>96</v>
      </c>
      <c r="E39" s="143"/>
      <c r="F39" s="143"/>
      <c r="G39" s="143"/>
      <c r="H39" s="143"/>
      <c r="I39" s="143"/>
      <c r="J39" s="143"/>
      <c r="K39" s="162" t="s">
        <v>102</v>
      </c>
      <c r="L39" s="162"/>
      <c r="M39" s="162"/>
      <c r="N39" s="162"/>
      <c r="O39" s="163" t="s">
        <v>97</v>
      </c>
      <c r="P39" s="163"/>
      <c r="Q39" s="163"/>
      <c r="R39" s="164"/>
      <c r="S39" s="162" t="s">
        <v>0</v>
      </c>
      <c r="T39" s="162"/>
      <c r="U39" s="162"/>
      <c r="V39" s="165" t="s">
        <v>98</v>
      </c>
      <c r="W39" s="165"/>
      <c r="X39" s="165"/>
      <c r="Y39" s="165"/>
      <c r="Z39" s="165"/>
      <c r="AA39" s="166"/>
      <c r="AB39" s="162" t="s">
        <v>103</v>
      </c>
      <c r="AC39" s="162"/>
      <c r="AD39" s="162"/>
      <c r="AE39" s="7"/>
      <c r="AF39" s="163" t="s">
        <v>99</v>
      </c>
      <c r="AG39" s="163"/>
      <c r="AH39" s="163"/>
      <c r="AI39" s="163"/>
      <c r="AJ39" s="163"/>
      <c r="AK39" s="163"/>
      <c r="AL39" s="163"/>
      <c r="AM39" s="164"/>
      <c r="AN39" s="162" t="s">
        <v>104</v>
      </c>
      <c r="AO39" s="162"/>
      <c r="AP39" s="162"/>
      <c r="AQ39" s="8"/>
      <c r="AR39" s="177" t="s">
        <v>100</v>
      </c>
      <c r="AS39" s="177"/>
      <c r="AT39" s="177"/>
      <c r="AU39" s="177"/>
      <c r="AV39" s="8"/>
      <c r="AW39" s="162" t="s">
        <v>105</v>
      </c>
      <c r="AX39" s="162"/>
      <c r="AY39" s="162"/>
      <c r="AZ39" s="177" t="s">
        <v>101</v>
      </c>
      <c r="BA39" s="177"/>
      <c r="BB39" s="177"/>
      <c r="BC39" s="177"/>
      <c r="BD39" s="138" t="s">
        <v>106</v>
      </c>
      <c r="BE39" s="138"/>
      <c r="BF39" s="138"/>
      <c r="BG39" s="138"/>
      <c r="BH39" s="139" t="s">
        <v>92</v>
      </c>
      <c r="BI39" s="139"/>
      <c r="BJ39" s="139"/>
      <c r="BK39" s="139"/>
      <c r="BL39" s="139"/>
      <c r="BM39" s="139"/>
      <c r="BN39" s="139"/>
      <c r="BO39" s="9"/>
      <c r="BP39" s="9"/>
      <c r="BQ39" s="9"/>
      <c r="BR39" s="8"/>
    </row>
    <row r="40" spans="1:85" ht="14.25" customHeight="1" x14ac:dyDescent="0.25">
      <c r="A40" s="4"/>
      <c r="B40" s="160"/>
      <c r="C40" s="160"/>
      <c r="D40" s="161"/>
      <c r="E40" s="143"/>
      <c r="F40" s="143"/>
      <c r="G40" s="143"/>
      <c r="H40" s="143"/>
      <c r="I40" s="143"/>
      <c r="J40" s="143"/>
      <c r="K40" s="162"/>
      <c r="L40" s="162"/>
      <c r="M40" s="162"/>
      <c r="N40" s="162"/>
      <c r="O40" s="163"/>
      <c r="P40" s="163"/>
      <c r="Q40" s="163"/>
      <c r="R40" s="164"/>
      <c r="S40" s="162"/>
      <c r="T40" s="162"/>
      <c r="U40" s="162"/>
      <c r="V40" s="165"/>
      <c r="W40" s="165"/>
      <c r="X40" s="165"/>
      <c r="Y40" s="165"/>
      <c r="Z40" s="165"/>
      <c r="AA40" s="166"/>
      <c r="AB40" s="162"/>
      <c r="AC40" s="162"/>
      <c r="AD40" s="162"/>
      <c r="AE40" s="7"/>
      <c r="AF40" s="163"/>
      <c r="AG40" s="163"/>
      <c r="AH40" s="163"/>
      <c r="AI40" s="163"/>
      <c r="AJ40" s="163"/>
      <c r="AK40" s="163"/>
      <c r="AL40" s="163"/>
      <c r="AM40" s="164"/>
      <c r="AN40" s="162"/>
      <c r="AO40" s="162"/>
      <c r="AP40" s="162"/>
      <c r="AQ40" s="8"/>
      <c r="AR40" s="177"/>
      <c r="AS40" s="177"/>
      <c r="AT40" s="177"/>
      <c r="AU40" s="177"/>
      <c r="AV40" s="8"/>
      <c r="AW40" s="162"/>
      <c r="AX40" s="162"/>
      <c r="AY40" s="162"/>
      <c r="AZ40" s="177"/>
      <c r="BA40" s="177"/>
      <c r="BB40" s="177"/>
      <c r="BC40" s="177"/>
      <c r="BD40" s="138"/>
      <c r="BE40" s="138"/>
      <c r="BF40" s="138"/>
      <c r="BG40" s="138"/>
      <c r="BH40" s="139"/>
      <c r="BI40" s="139"/>
      <c r="BJ40" s="139"/>
      <c r="BK40" s="139"/>
      <c r="BL40" s="139"/>
      <c r="BM40" s="139"/>
      <c r="BN40" s="139"/>
      <c r="BO40" s="9"/>
      <c r="BP40" s="9"/>
      <c r="BQ40" s="9"/>
      <c r="BR40" s="8"/>
    </row>
    <row r="41" spans="1:85" ht="14.25" customHeight="1" x14ac:dyDescent="0.25">
      <c r="A41" s="4"/>
      <c r="B41" s="160"/>
      <c r="C41" s="160"/>
      <c r="D41" s="161"/>
      <c r="E41" s="143"/>
      <c r="F41" s="143"/>
      <c r="G41" s="143"/>
      <c r="H41" s="143"/>
      <c r="I41" s="143"/>
      <c r="J41" s="143"/>
      <c r="K41" s="162"/>
      <c r="L41" s="162"/>
      <c r="M41" s="162"/>
      <c r="N41" s="162"/>
      <c r="O41" s="163"/>
      <c r="P41" s="163"/>
      <c r="Q41" s="163"/>
      <c r="R41" s="164"/>
      <c r="S41" s="162"/>
      <c r="T41" s="162"/>
      <c r="U41" s="162"/>
      <c r="V41" s="165"/>
      <c r="W41" s="165"/>
      <c r="X41" s="165"/>
      <c r="Y41" s="165"/>
      <c r="Z41" s="165"/>
      <c r="AA41" s="166"/>
      <c r="AB41" s="162"/>
      <c r="AC41" s="162"/>
      <c r="AD41" s="162"/>
      <c r="AE41" s="7"/>
      <c r="AF41" s="163"/>
      <c r="AG41" s="163"/>
      <c r="AH41" s="163"/>
      <c r="AI41" s="163"/>
      <c r="AJ41" s="163"/>
      <c r="AK41" s="163"/>
      <c r="AL41" s="163"/>
      <c r="AM41" s="164"/>
      <c r="AN41" s="162"/>
      <c r="AO41" s="162"/>
      <c r="AP41" s="162"/>
      <c r="AQ41" s="8"/>
      <c r="AR41" s="177"/>
      <c r="AS41" s="177"/>
      <c r="AT41" s="177"/>
      <c r="AU41" s="177"/>
      <c r="AV41" s="8"/>
      <c r="AW41" s="162"/>
      <c r="AX41" s="162"/>
      <c r="AY41" s="162"/>
      <c r="AZ41" s="177"/>
      <c r="BA41" s="177"/>
      <c r="BB41" s="177"/>
      <c r="BC41" s="177"/>
      <c r="BD41" s="138"/>
      <c r="BE41" s="138"/>
      <c r="BF41" s="138"/>
      <c r="BG41" s="138"/>
      <c r="BH41" s="139"/>
      <c r="BI41" s="139"/>
      <c r="BJ41" s="139"/>
      <c r="BK41" s="139"/>
      <c r="BL41" s="139"/>
      <c r="BM41" s="139"/>
      <c r="BN41" s="139"/>
      <c r="BO41" s="9"/>
      <c r="BP41" s="9"/>
      <c r="BQ41" s="9"/>
      <c r="BR41" s="8"/>
    </row>
    <row r="42" spans="1:85" ht="14.25" customHeight="1" x14ac:dyDescent="0.25">
      <c r="A42" s="4"/>
      <c r="B42" s="10"/>
      <c r="C42" s="11"/>
      <c r="D42" s="12"/>
      <c r="E42" s="4"/>
      <c r="F42" s="4"/>
      <c r="G42" s="4"/>
      <c r="H42" s="4"/>
      <c r="I42" s="66"/>
      <c r="J42" s="66"/>
      <c r="K42" s="66"/>
      <c r="L42" s="66"/>
      <c r="M42" s="66"/>
      <c r="N42" s="66"/>
      <c r="O42" s="13"/>
      <c r="P42" s="13"/>
      <c r="Q42" s="13"/>
      <c r="R42" s="13"/>
      <c r="S42" s="66"/>
      <c r="T42" s="66"/>
      <c r="U42" s="66"/>
      <c r="V42" s="66"/>
      <c r="W42" s="66"/>
      <c r="X42" s="66"/>
      <c r="Y42" s="13"/>
      <c r="Z42" s="13"/>
      <c r="AA42" s="13"/>
      <c r="AB42" s="13"/>
      <c r="AC42" s="66"/>
      <c r="AD42" s="66"/>
      <c r="AE42" s="66"/>
      <c r="AF42" s="66"/>
      <c r="AG42" s="66"/>
      <c r="AH42" s="66"/>
      <c r="AI42" s="13"/>
      <c r="AJ42" s="13"/>
      <c r="AK42" s="13"/>
      <c r="AL42" s="13"/>
      <c r="AM42" s="66"/>
      <c r="AN42" s="66"/>
      <c r="AO42" s="66"/>
      <c r="AP42" s="66"/>
      <c r="AQ42" s="66"/>
      <c r="AR42" s="66"/>
      <c r="AS42" s="13"/>
      <c r="AT42" s="13"/>
      <c r="AU42" s="13"/>
      <c r="AV42" s="13"/>
      <c r="AW42" s="66"/>
      <c r="AX42" s="66"/>
      <c r="AY42" s="66"/>
      <c r="AZ42" s="66"/>
      <c r="BA42" s="66"/>
      <c r="BB42" s="66"/>
      <c r="BC42" s="13"/>
      <c r="BD42" s="13"/>
      <c r="BE42" s="13"/>
      <c r="BF42" s="13"/>
      <c r="BG42" s="66"/>
      <c r="BH42" s="66"/>
      <c r="BI42" s="66"/>
      <c r="BJ42" s="66"/>
      <c r="BK42" s="66"/>
      <c r="BL42" s="66"/>
      <c r="BM42" s="73"/>
      <c r="BN42" s="4"/>
      <c r="BO42" s="4"/>
      <c r="BP42" s="4"/>
      <c r="BQ42" s="4"/>
      <c r="BR42" s="4"/>
    </row>
    <row r="43" spans="1:85" ht="14.25" customHeight="1" x14ac:dyDescent="0.25">
      <c r="A43" s="4"/>
      <c r="B43" s="10"/>
      <c r="C43" s="11"/>
      <c r="D43" s="12"/>
      <c r="E43" s="4"/>
      <c r="F43" s="4"/>
      <c r="G43" s="4"/>
      <c r="H43" s="4"/>
      <c r="I43" s="66"/>
      <c r="J43" s="66"/>
      <c r="K43" s="66"/>
      <c r="L43" s="66"/>
      <c r="M43" s="66"/>
      <c r="N43" s="66"/>
      <c r="O43" s="13"/>
      <c r="P43" s="13"/>
      <c r="Q43" s="13"/>
      <c r="R43" s="13"/>
      <c r="S43" s="66"/>
      <c r="T43" s="66"/>
      <c r="U43" s="66"/>
      <c r="V43" s="66"/>
      <c r="W43" s="66"/>
      <c r="X43" s="66"/>
      <c r="Y43" s="13"/>
      <c r="Z43" s="13"/>
      <c r="AA43" s="13"/>
      <c r="AB43" s="13"/>
      <c r="AC43" s="66"/>
      <c r="AD43" s="66"/>
      <c r="AE43" s="66"/>
      <c r="AF43" s="66"/>
      <c r="AG43" s="66"/>
      <c r="AH43" s="66"/>
      <c r="AI43" s="13"/>
      <c r="AJ43" s="13"/>
      <c r="AK43" s="13"/>
      <c r="AL43" s="13"/>
      <c r="AM43" s="66"/>
      <c r="AN43" s="66"/>
      <c r="AO43" s="66"/>
      <c r="AP43" s="66"/>
      <c r="AQ43" s="66"/>
      <c r="AR43" s="66"/>
      <c r="AS43" s="13"/>
      <c r="AT43" s="13"/>
      <c r="AU43" s="13"/>
      <c r="AV43" s="13"/>
      <c r="AW43" s="66"/>
      <c r="AX43" s="66"/>
      <c r="AY43" s="66"/>
      <c r="AZ43" s="66"/>
      <c r="BA43" s="66"/>
      <c r="BB43" s="66"/>
      <c r="BC43" s="13"/>
      <c r="BD43" s="13"/>
      <c r="BE43" s="13"/>
      <c r="BF43" s="13"/>
      <c r="BG43" s="66"/>
      <c r="BH43" s="66"/>
      <c r="BI43" s="66"/>
      <c r="BJ43" s="66"/>
      <c r="BK43" s="66"/>
      <c r="BL43" s="66"/>
      <c r="BM43" s="73"/>
      <c r="BN43" s="4"/>
      <c r="BO43" s="4"/>
      <c r="BP43" s="4"/>
      <c r="BQ43" s="4"/>
      <c r="BR43" s="4"/>
    </row>
    <row r="44" spans="1:85" ht="14.25" customHeight="1" x14ac:dyDescent="0.25">
      <c r="A44" s="153" t="s">
        <v>66</v>
      </c>
      <c r="B44" s="153"/>
      <c r="C44" s="153"/>
      <c r="D44" s="153"/>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3"/>
      <c r="BK44" s="153"/>
      <c r="BL44" s="153"/>
      <c r="BM44" s="153"/>
      <c r="BN44" s="153"/>
      <c r="BO44" s="153"/>
      <c r="BP44" s="153"/>
      <c r="BQ44" s="153"/>
      <c r="BR44" s="153"/>
    </row>
    <row r="45" spans="1:85" ht="14.25" customHeight="1" x14ac:dyDescent="0.25">
      <c r="A45" s="154"/>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4"/>
      <c r="AX45" s="154"/>
      <c r="AY45" s="154"/>
      <c r="AZ45" s="154"/>
      <c r="BA45" s="154"/>
      <c r="BB45" s="154"/>
      <c r="BC45" s="154"/>
      <c r="BD45" s="154"/>
      <c r="BE45" s="154"/>
      <c r="BF45" s="154"/>
      <c r="BG45" s="154"/>
      <c r="BH45" s="154"/>
      <c r="BI45" s="154"/>
      <c r="BJ45" s="154"/>
      <c r="BK45" s="154"/>
      <c r="BL45" s="154"/>
      <c r="BM45" s="154"/>
      <c r="BN45" s="154"/>
      <c r="BO45" s="154"/>
      <c r="BP45" s="154"/>
      <c r="BQ45" s="154"/>
      <c r="BR45" s="154"/>
    </row>
    <row r="46" spans="1:85" ht="14.25" customHeight="1" x14ac:dyDescent="0.25">
      <c r="A46" s="106" t="s">
        <v>108</v>
      </c>
      <c r="B46" s="133" t="s">
        <v>107</v>
      </c>
      <c r="C46" s="134"/>
      <c r="D46" s="132" t="s">
        <v>126</v>
      </c>
      <c r="E46" s="132"/>
      <c r="F46" s="132"/>
      <c r="G46" s="132"/>
      <c r="H46" s="132"/>
      <c r="I46" s="132"/>
      <c r="J46" s="132"/>
      <c r="K46" s="132"/>
      <c r="L46" s="132"/>
      <c r="M46" s="132"/>
      <c r="N46" s="132"/>
      <c r="O46" s="155"/>
      <c r="P46" s="156" t="s">
        <v>113</v>
      </c>
      <c r="Q46" s="132"/>
      <c r="R46" s="132"/>
      <c r="S46" s="132"/>
      <c r="T46" s="132"/>
      <c r="U46" s="132"/>
      <c r="V46" s="132"/>
      <c r="W46" s="132"/>
      <c r="X46" s="132"/>
      <c r="Y46" s="132"/>
      <c r="Z46" s="132"/>
      <c r="AA46" s="132"/>
      <c r="AB46" s="132"/>
      <c r="AC46" s="132"/>
      <c r="AD46" s="132"/>
      <c r="AE46" s="132"/>
      <c r="AF46" s="132"/>
      <c r="AG46" s="132"/>
      <c r="AH46" s="132"/>
      <c r="AI46" s="132"/>
      <c r="AJ46" s="132"/>
      <c r="AK46" s="132"/>
      <c r="AL46" s="132"/>
      <c r="AM46" s="132"/>
      <c r="AN46" s="132"/>
      <c r="AO46" s="132"/>
      <c r="AP46" s="155"/>
      <c r="AQ46" s="157" t="s">
        <v>179</v>
      </c>
      <c r="AR46" s="132"/>
      <c r="AS46" s="132"/>
      <c r="AT46" s="132"/>
      <c r="AU46" s="132"/>
      <c r="AV46" s="132"/>
      <c r="AW46" s="132"/>
      <c r="AX46" s="132"/>
      <c r="AY46" s="132"/>
      <c r="AZ46" s="132"/>
      <c r="BA46" s="132"/>
      <c r="BB46" s="155"/>
      <c r="BC46" s="157" t="s">
        <v>180</v>
      </c>
      <c r="BD46" s="132"/>
      <c r="BE46" s="132"/>
      <c r="BF46" s="132"/>
      <c r="BG46" s="132"/>
      <c r="BH46" s="132"/>
      <c r="BI46" s="132"/>
      <c r="BJ46" s="132"/>
      <c r="BK46" s="132"/>
      <c r="BL46" s="132"/>
      <c r="BM46" s="132"/>
      <c r="BN46" s="155"/>
      <c r="BO46" s="158" t="s">
        <v>123</v>
      </c>
      <c r="BP46" s="134"/>
      <c r="BQ46" s="134"/>
      <c r="BR46" s="134"/>
    </row>
    <row r="47" spans="1:85" ht="14.25" customHeight="1" x14ac:dyDescent="0.25">
      <c r="A47" s="106"/>
      <c r="B47" s="134"/>
      <c r="C47" s="134"/>
      <c r="D47" s="132"/>
      <c r="E47" s="132"/>
      <c r="F47" s="132"/>
      <c r="G47" s="132"/>
      <c r="H47" s="132"/>
      <c r="I47" s="132"/>
      <c r="J47" s="132"/>
      <c r="K47" s="132"/>
      <c r="L47" s="132"/>
      <c r="M47" s="132"/>
      <c r="N47" s="132"/>
      <c r="O47" s="155"/>
      <c r="P47" s="156"/>
      <c r="Q47" s="132"/>
      <c r="R47" s="132"/>
      <c r="S47" s="132"/>
      <c r="T47" s="132"/>
      <c r="U47" s="132"/>
      <c r="V47" s="132"/>
      <c r="W47" s="132"/>
      <c r="X47" s="132"/>
      <c r="Y47" s="132"/>
      <c r="Z47" s="132"/>
      <c r="AA47" s="132"/>
      <c r="AB47" s="132"/>
      <c r="AC47" s="132"/>
      <c r="AD47" s="132"/>
      <c r="AE47" s="132"/>
      <c r="AF47" s="132"/>
      <c r="AG47" s="132"/>
      <c r="AH47" s="132"/>
      <c r="AI47" s="132"/>
      <c r="AJ47" s="132"/>
      <c r="AK47" s="132"/>
      <c r="AL47" s="132"/>
      <c r="AM47" s="132"/>
      <c r="AN47" s="132"/>
      <c r="AO47" s="132"/>
      <c r="AP47" s="155"/>
      <c r="AQ47" s="157"/>
      <c r="AR47" s="132"/>
      <c r="AS47" s="132"/>
      <c r="AT47" s="132"/>
      <c r="AU47" s="132"/>
      <c r="AV47" s="132"/>
      <c r="AW47" s="132"/>
      <c r="AX47" s="132"/>
      <c r="AY47" s="132"/>
      <c r="AZ47" s="132"/>
      <c r="BA47" s="132"/>
      <c r="BB47" s="155"/>
      <c r="BC47" s="157"/>
      <c r="BD47" s="132"/>
      <c r="BE47" s="132"/>
      <c r="BF47" s="132"/>
      <c r="BG47" s="132"/>
      <c r="BH47" s="132"/>
      <c r="BI47" s="132"/>
      <c r="BJ47" s="132"/>
      <c r="BK47" s="132"/>
      <c r="BL47" s="132"/>
      <c r="BM47" s="132"/>
      <c r="BN47" s="155"/>
      <c r="BO47" s="158"/>
      <c r="BP47" s="134"/>
      <c r="BQ47" s="134"/>
      <c r="BR47" s="134"/>
      <c r="BS47" s="71"/>
      <c r="BT47" s="71"/>
      <c r="BU47" s="71"/>
      <c r="BV47" s="71"/>
      <c r="BW47" s="71"/>
      <c r="BX47" s="71"/>
      <c r="BY47" s="71"/>
      <c r="BZ47" s="71"/>
    </row>
    <row r="48" spans="1:85" ht="14.25" customHeight="1" x14ac:dyDescent="0.25">
      <c r="A48" s="106"/>
      <c r="B48" s="134"/>
      <c r="C48" s="134"/>
      <c r="D48" s="132"/>
      <c r="E48" s="132"/>
      <c r="F48" s="132"/>
      <c r="G48" s="132"/>
      <c r="H48" s="132"/>
      <c r="I48" s="132"/>
      <c r="J48" s="132"/>
      <c r="K48" s="132"/>
      <c r="L48" s="132"/>
      <c r="M48" s="132"/>
      <c r="N48" s="132"/>
      <c r="O48" s="155"/>
      <c r="P48" s="157" t="s">
        <v>109</v>
      </c>
      <c r="Q48" s="132"/>
      <c r="R48" s="132"/>
      <c r="S48" s="132"/>
      <c r="T48" s="132"/>
      <c r="U48" s="155"/>
      <c r="V48" s="156" t="s">
        <v>114</v>
      </c>
      <c r="W48" s="132"/>
      <c r="X48" s="132"/>
      <c r="Y48" s="132"/>
      <c r="Z48" s="132"/>
      <c r="AA48" s="132"/>
      <c r="AB48" s="132"/>
      <c r="AC48" s="132"/>
      <c r="AD48" s="132"/>
      <c r="AE48" s="132"/>
      <c r="AF48" s="132"/>
      <c r="AG48" s="132"/>
      <c r="AH48" s="132"/>
      <c r="AI48" s="132"/>
      <c r="AJ48" s="132"/>
      <c r="AK48" s="132"/>
      <c r="AL48" s="132"/>
      <c r="AM48" s="132"/>
      <c r="AN48" s="135" t="s">
        <v>120</v>
      </c>
      <c r="AO48" s="135"/>
      <c r="AP48" s="159"/>
      <c r="AQ48" s="144" t="s">
        <v>124</v>
      </c>
      <c r="AR48" s="106"/>
      <c r="AS48" s="106"/>
      <c r="AT48" s="106"/>
      <c r="AU48" s="106"/>
      <c r="AV48" s="106"/>
      <c r="AW48" s="106" t="s">
        <v>125</v>
      </c>
      <c r="AX48" s="106"/>
      <c r="AY48" s="106"/>
      <c r="AZ48" s="106"/>
      <c r="BA48" s="106"/>
      <c r="BB48" s="147"/>
      <c r="BC48" s="144" t="s">
        <v>124</v>
      </c>
      <c r="BD48" s="106"/>
      <c r="BE48" s="106"/>
      <c r="BF48" s="106"/>
      <c r="BG48" s="106"/>
      <c r="BH48" s="106"/>
      <c r="BI48" s="106" t="s">
        <v>125</v>
      </c>
      <c r="BJ48" s="106"/>
      <c r="BK48" s="106"/>
      <c r="BL48" s="106"/>
      <c r="BM48" s="106"/>
      <c r="BN48" s="147"/>
      <c r="BO48" s="158"/>
      <c r="BP48" s="134"/>
      <c r="BQ48" s="134"/>
      <c r="BR48" s="134"/>
      <c r="BS48" s="71"/>
      <c r="BT48" s="71"/>
      <c r="BU48" s="71"/>
      <c r="BV48" s="71"/>
      <c r="BW48" s="71"/>
      <c r="BX48" s="71"/>
      <c r="BY48" s="71"/>
      <c r="BZ48" s="71"/>
    </row>
    <row r="49" spans="1:78" ht="14.25" customHeight="1" x14ac:dyDescent="0.25">
      <c r="A49" s="106"/>
      <c r="B49" s="134"/>
      <c r="C49" s="134"/>
      <c r="D49" s="132"/>
      <c r="E49" s="132"/>
      <c r="F49" s="132"/>
      <c r="G49" s="132"/>
      <c r="H49" s="132"/>
      <c r="I49" s="132"/>
      <c r="J49" s="132"/>
      <c r="K49" s="132"/>
      <c r="L49" s="132"/>
      <c r="M49" s="132"/>
      <c r="N49" s="132"/>
      <c r="O49" s="155"/>
      <c r="P49" s="157"/>
      <c r="Q49" s="132"/>
      <c r="R49" s="132"/>
      <c r="S49" s="132"/>
      <c r="T49" s="132"/>
      <c r="U49" s="155"/>
      <c r="V49" s="156"/>
      <c r="W49" s="132"/>
      <c r="X49" s="132"/>
      <c r="Y49" s="132"/>
      <c r="Z49" s="132"/>
      <c r="AA49" s="132"/>
      <c r="AB49" s="132"/>
      <c r="AC49" s="132"/>
      <c r="AD49" s="132"/>
      <c r="AE49" s="132"/>
      <c r="AF49" s="132"/>
      <c r="AG49" s="132"/>
      <c r="AH49" s="132"/>
      <c r="AI49" s="132"/>
      <c r="AJ49" s="132"/>
      <c r="AK49" s="132"/>
      <c r="AL49" s="132"/>
      <c r="AM49" s="132"/>
      <c r="AN49" s="135"/>
      <c r="AO49" s="135"/>
      <c r="AP49" s="159"/>
      <c r="AQ49" s="144"/>
      <c r="AR49" s="106"/>
      <c r="AS49" s="106"/>
      <c r="AT49" s="106"/>
      <c r="AU49" s="106"/>
      <c r="AV49" s="106"/>
      <c r="AW49" s="106"/>
      <c r="AX49" s="106"/>
      <c r="AY49" s="106"/>
      <c r="AZ49" s="106"/>
      <c r="BA49" s="106"/>
      <c r="BB49" s="147"/>
      <c r="BC49" s="144"/>
      <c r="BD49" s="106"/>
      <c r="BE49" s="106"/>
      <c r="BF49" s="106"/>
      <c r="BG49" s="106"/>
      <c r="BH49" s="106"/>
      <c r="BI49" s="106"/>
      <c r="BJ49" s="106"/>
      <c r="BK49" s="106"/>
      <c r="BL49" s="106"/>
      <c r="BM49" s="106"/>
      <c r="BN49" s="147"/>
      <c r="BO49" s="158"/>
      <c r="BP49" s="134"/>
      <c r="BQ49" s="134"/>
      <c r="BR49" s="134"/>
      <c r="BS49" s="71"/>
      <c r="BT49" s="71"/>
      <c r="BU49" s="71"/>
      <c r="BV49" s="71"/>
      <c r="BW49" s="71"/>
      <c r="BX49" s="71"/>
      <c r="BY49" s="71"/>
      <c r="BZ49" s="71"/>
    </row>
    <row r="50" spans="1:78" ht="14.25" customHeight="1" x14ac:dyDescent="0.25">
      <c r="A50" s="106"/>
      <c r="B50" s="134"/>
      <c r="C50" s="134"/>
      <c r="D50" s="132"/>
      <c r="E50" s="132"/>
      <c r="F50" s="132"/>
      <c r="G50" s="132"/>
      <c r="H50" s="132"/>
      <c r="I50" s="132"/>
      <c r="J50" s="132"/>
      <c r="K50" s="132"/>
      <c r="L50" s="132"/>
      <c r="M50" s="132"/>
      <c r="N50" s="132"/>
      <c r="O50" s="155"/>
      <c r="P50" s="157"/>
      <c r="Q50" s="132"/>
      <c r="R50" s="132"/>
      <c r="S50" s="132"/>
      <c r="T50" s="132"/>
      <c r="U50" s="155"/>
      <c r="V50" s="176" t="s">
        <v>87</v>
      </c>
      <c r="W50" s="135"/>
      <c r="X50" s="135"/>
      <c r="Y50" s="135" t="s">
        <v>115</v>
      </c>
      <c r="Z50" s="135"/>
      <c r="AA50" s="135"/>
      <c r="AB50" s="135" t="s">
        <v>116</v>
      </c>
      <c r="AC50" s="135"/>
      <c r="AD50" s="135"/>
      <c r="AE50" s="135" t="s">
        <v>117</v>
      </c>
      <c r="AF50" s="135"/>
      <c r="AG50" s="135"/>
      <c r="AH50" s="135" t="s">
        <v>118</v>
      </c>
      <c r="AI50" s="135"/>
      <c r="AJ50" s="135"/>
      <c r="AK50" s="135" t="s">
        <v>119</v>
      </c>
      <c r="AL50" s="135"/>
      <c r="AM50" s="135"/>
      <c r="AN50" s="135"/>
      <c r="AO50" s="135"/>
      <c r="AP50" s="159"/>
      <c r="AQ50" s="144">
        <v>1</v>
      </c>
      <c r="AR50" s="106"/>
      <c r="AS50" s="106"/>
      <c r="AT50" s="106">
        <v>2</v>
      </c>
      <c r="AU50" s="106"/>
      <c r="AV50" s="106"/>
      <c r="AW50" s="106">
        <v>3</v>
      </c>
      <c r="AX50" s="106"/>
      <c r="AY50" s="106"/>
      <c r="AZ50" s="106">
        <v>4</v>
      </c>
      <c r="BA50" s="106"/>
      <c r="BB50" s="147"/>
      <c r="BC50" s="144">
        <v>1</v>
      </c>
      <c r="BD50" s="106"/>
      <c r="BE50" s="106"/>
      <c r="BF50" s="106">
        <v>2</v>
      </c>
      <c r="BG50" s="106"/>
      <c r="BH50" s="106"/>
      <c r="BI50" s="106">
        <v>3</v>
      </c>
      <c r="BJ50" s="106"/>
      <c r="BK50" s="106"/>
      <c r="BL50" s="106">
        <v>4</v>
      </c>
      <c r="BM50" s="106"/>
      <c r="BN50" s="147"/>
      <c r="BO50" s="158"/>
      <c r="BP50" s="134"/>
      <c r="BQ50" s="134"/>
      <c r="BR50" s="134"/>
      <c r="BS50" s="71"/>
      <c r="BT50" s="71"/>
      <c r="BU50" s="71"/>
      <c r="BV50" s="71"/>
      <c r="BW50" s="71"/>
      <c r="BX50" s="71"/>
      <c r="BY50" s="71"/>
      <c r="BZ50" s="71"/>
    </row>
    <row r="51" spans="1:78" ht="14.25" customHeight="1" x14ac:dyDescent="0.25">
      <c r="A51" s="106"/>
      <c r="B51" s="134"/>
      <c r="C51" s="134"/>
      <c r="D51" s="132"/>
      <c r="E51" s="132"/>
      <c r="F51" s="132"/>
      <c r="G51" s="132"/>
      <c r="H51" s="132"/>
      <c r="I51" s="132"/>
      <c r="J51" s="132"/>
      <c r="K51" s="132"/>
      <c r="L51" s="132"/>
      <c r="M51" s="132"/>
      <c r="N51" s="132"/>
      <c r="O51" s="155"/>
      <c r="P51" s="157"/>
      <c r="Q51" s="132"/>
      <c r="R51" s="132"/>
      <c r="S51" s="132"/>
      <c r="T51" s="132"/>
      <c r="U51" s="155"/>
      <c r="V51" s="176"/>
      <c r="W51" s="135"/>
      <c r="X51" s="135"/>
      <c r="Y51" s="135"/>
      <c r="Z51" s="135"/>
      <c r="AA51" s="135"/>
      <c r="AB51" s="135"/>
      <c r="AC51" s="135"/>
      <c r="AD51" s="135"/>
      <c r="AE51" s="135"/>
      <c r="AF51" s="135"/>
      <c r="AG51" s="135"/>
      <c r="AH51" s="135"/>
      <c r="AI51" s="135"/>
      <c r="AJ51" s="135"/>
      <c r="AK51" s="135"/>
      <c r="AL51" s="135"/>
      <c r="AM51" s="135"/>
      <c r="AN51" s="135"/>
      <c r="AO51" s="135"/>
      <c r="AP51" s="159"/>
      <c r="AQ51" s="144"/>
      <c r="AR51" s="106"/>
      <c r="AS51" s="106"/>
      <c r="AT51" s="106"/>
      <c r="AU51" s="106"/>
      <c r="AV51" s="106"/>
      <c r="AW51" s="106"/>
      <c r="AX51" s="106"/>
      <c r="AY51" s="106"/>
      <c r="AZ51" s="106"/>
      <c r="BA51" s="106"/>
      <c r="BB51" s="147"/>
      <c r="BC51" s="144"/>
      <c r="BD51" s="106"/>
      <c r="BE51" s="106"/>
      <c r="BF51" s="106"/>
      <c r="BG51" s="106"/>
      <c r="BH51" s="106"/>
      <c r="BI51" s="106"/>
      <c r="BJ51" s="106"/>
      <c r="BK51" s="106"/>
      <c r="BL51" s="106"/>
      <c r="BM51" s="106"/>
      <c r="BN51" s="147"/>
      <c r="BO51" s="158"/>
      <c r="BP51" s="134"/>
      <c r="BQ51" s="134"/>
      <c r="BR51" s="134"/>
      <c r="BS51" s="71"/>
      <c r="BT51" s="71"/>
      <c r="BU51" s="71"/>
      <c r="BV51" s="71"/>
      <c r="BW51" s="71"/>
      <c r="BX51" s="71"/>
      <c r="BY51" s="71"/>
      <c r="BZ51" s="71"/>
    </row>
    <row r="52" spans="1:78" ht="14.25" customHeight="1" x14ac:dyDescent="0.25">
      <c r="A52" s="106"/>
      <c r="B52" s="134"/>
      <c r="C52" s="134"/>
      <c r="D52" s="132"/>
      <c r="E52" s="132"/>
      <c r="F52" s="132"/>
      <c r="G52" s="132"/>
      <c r="H52" s="132"/>
      <c r="I52" s="132"/>
      <c r="J52" s="132"/>
      <c r="K52" s="132"/>
      <c r="L52" s="132"/>
      <c r="M52" s="132"/>
      <c r="N52" s="132"/>
      <c r="O52" s="155"/>
      <c r="P52" s="157"/>
      <c r="Q52" s="132"/>
      <c r="R52" s="132"/>
      <c r="S52" s="132"/>
      <c r="T52" s="132"/>
      <c r="U52" s="155"/>
      <c r="V52" s="176"/>
      <c r="W52" s="135"/>
      <c r="X52" s="135"/>
      <c r="Y52" s="135"/>
      <c r="Z52" s="135"/>
      <c r="AA52" s="135"/>
      <c r="AB52" s="135"/>
      <c r="AC52" s="135"/>
      <c r="AD52" s="135"/>
      <c r="AE52" s="135"/>
      <c r="AF52" s="135"/>
      <c r="AG52" s="135"/>
      <c r="AH52" s="135"/>
      <c r="AI52" s="135"/>
      <c r="AJ52" s="135"/>
      <c r="AK52" s="135"/>
      <c r="AL52" s="135"/>
      <c r="AM52" s="135"/>
      <c r="AN52" s="135"/>
      <c r="AO52" s="135"/>
      <c r="AP52" s="159"/>
      <c r="AQ52" s="157" t="s">
        <v>121</v>
      </c>
      <c r="AR52" s="132"/>
      <c r="AS52" s="132"/>
      <c r="AT52" s="132"/>
      <c r="AU52" s="132"/>
      <c r="AV52" s="132"/>
      <c r="AW52" s="132"/>
      <c r="AX52" s="132"/>
      <c r="AY52" s="132"/>
      <c r="AZ52" s="132"/>
      <c r="BA52" s="132"/>
      <c r="BB52" s="155"/>
      <c r="BC52" s="157" t="s">
        <v>122</v>
      </c>
      <c r="BD52" s="132"/>
      <c r="BE52" s="132"/>
      <c r="BF52" s="132"/>
      <c r="BG52" s="132"/>
      <c r="BH52" s="132"/>
      <c r="BI52" s="132"/>
      <c r="BJ52" s="132"/>
      <c r="BK52" s="132"/>
      <c r="BL52" s="132"/>
      <c r="BM52" s="132"/>
      <c r="BN52" s="155"/>
      <c r="BO52" s="158"/>
      <c r="BP52" s="134"/>
      <c r="BQ52" s="134"/>
      <c r="BR52" s="134"/>
      <c r="BS52" s="71"/>
      <c r="BT52" s="71"/>
      <c r="BU52" s="71"/>
      <c r="BV52" s="71"/>
      <c r="BW52" s="71"/>
      <c r="BX52" s="71"/>
      <c r="BY52" s="71"/>
      <c r="BZ52" s="71"/>
    </row>
    <row r="53" spans="1:78" ht="14.25" customHeight="1" x14ac:dyDescent="0.25">
      <c r="A53" s="106"/>
      <c r="B53" s="134"/>
      <c r="C53" s="134"/>
      <c r="D53" s="132"/>
      <c r="E53" s="132"/>
      <c r="F53" s="132"/>
      <c r="G53" s="132"/>
      <c r="H53" s="132"/>
      <c r="I53" s="132"/>
      <c r="J53" s="132"/>
      <c r="K53" s="132"/>
      <c r="L53" s="132"/>
      <c r="M53" s="132"/>
      <c r="N53" s="132"/>
      <c r="O53" s="155"/>
      <c r="P53" s="157"/>
      <c r="Q53" s="132"/>
      <c r="R53" s="132"/>
      <c r="S53" s="132"/>
      <c r="T53" s="132"/>
      <c r="U53" s="155"/>
      <c r="V53" s="176"/>
      <c r="W53" s="135"/>
      <c r="X53" s="135"/>
      <c r="Y53" s="135"/>
      <c r="Z53" s="135"/>
      <c r="AA53" s="135"/>
      <c r="AB53" s="135"/>
      <c r="AC53" s="135"/>
      <c r="AD53" s="135"/>
      <c r="AE53" s="135"/>
      <c r="AF53" s="135"/>
      <c r="AG53" s="135"/>
      <c r="AH53" s="135"/>
      <c r="AI53" s="135"/>
      <c r="AJ53" s="135"/>
      <c r="AK53" s="135"/>
      <c r="AL53" s="135"/>
      <c r="AM53" s="135"/>
      <c r="AN53" s="135"/>
      <c r="AO53" s="135"/>
      <c r="AP53" s="159"/>
      <c r="AQ53" s="157"/>
      <c r="AR53" s="132"/>
      <c r="AS53" s="132"/>
      <c r="AT53" s="132"/>
      <c r="AU53" s="132"/>
      <c r="AV53" s="132"/>
      <c r="AW53" s="132"/>
      <c r="AX53" s="132"/>
      <c r="AY53" s="132"/>
      <c r="AZ53" s="132"/>
      <c r="BA53" s="132"/>
      <c r="BB53" s="155"/>
      <c r="BC53" s="157"/>
      <c r="BD53" s="132"/>
      <c r="BE53" s="132"/>
      <c r="BF53" s="132"/>
      <c r="BG53" s="132"/>
      <c r="BH53" s="132"/>
      <c r="BI53" s="132"/>
      <c r="BJ53" s="132"/>
      <c r="BK53" s="132"/>
      <c r="BL53" s="132"/>
      <c r="BM53" s="132"/>
      <c r="BN53" s="155"/>
      <c r="BO53" s="158"/>
      <c r="BP53" s="134"/>
      <c r="BQ53" s="134"/>
      <c r="BR53" s="134"/>
      <c r="BS53" s="71"/>
      <c r="BT53" s="71"/>
      <c r="BU53" s="71"/>
      <c r="BV53" s="71"/>
      <c r="BW53" s="71"/>
      <c r="BX53" s="71"/>
      <c r="BY53" s="71"/>
      <c r="BZ53" s="71"/>
    </row>
    <row r="54" spans="1:78" ht="14.25" customHeight="1" x14ac:dyDescent="0.25">
      <c r="A54" s="106"/>
      <c r="B54" s="134"/>
      <c r="C54" s="134"/>
      <c r="D54" s="132"/>
      <c r="E54" s="132"/>
      <c r="F54" s="132"/>
      <c r="G54" s="132"/>
      <c r="H54" s="132"/>
      <c r="I54" s="132"/>
      <c r="J54" s="132"/>
      <c r="K54" s="132"/>
      <c r="L54" s="132"/>
      <c r="M54" s="132"/>
      <c r="N54" s="132"/>
      <c r="O54" s="155"/>
      <c r="P54" s="157"/>
      <c r="Q54" s="132"/>
      <c r="R54" s="132"/>
      <c r="S54" s="132"/>
      <c r="T54" s="132"/>
      <c r="U54" s="155"/>
      <c r="V54" s="176"/>
      <c r="W54" s="135"/>
      <c r="X54" s="135"/>
      <c r="Y54" s="135"/>
      <c r="Z54" s="135"/>
      <c r="AA54" s="135"/>
      <c r="AB54" s="135"/>
      <c r="AC54" s="135"/>
      <c r="AD54" s="135"/>
      <c r="AE54" s="135"/>
      <c r="AF54" s="135"/>
      <c r="AG54" s="135"/>
      <c r="AH54" s="135"/>
      <c r="AI54" s="135"/>
      <c r="AJ54" s="135"/>
      <c r="AK54" s="135"/>
      <c r="AL54" s="135"/>
      <c r="AM54" s="135"/>
      <c r="AN54" s="135"/>
      <c r="AO54" s="135"/>
      <c r="AP54" s="159"/>
      <c r="AQ54" s="144">
        <v>15</v>
      </c>
      <c r="AR54" s="106"/>
      <c r="AS54" s="106"/>
      <c r="AT54" s="106">
        <v>15</v>
      </c>
      <c r="AU54" s="106"/>
      <c r="AV54" s="106"/>
      <c r="AW54" s="106">
        <v>15</v>
      </c>
      <c r="AX54" s="106"/>
      <c r="AY54" s="106"/>
      <c r="AZ54" s="106">
        <v>15</v>
      </c>
      <c r="BA54" s="106"/>
      <c r="BB54" s="147"/>
      <c r="BC54" s="144">
        <v>15</v>
      </c>
      <c r="BD54" s="106"/>
      <c r="BE54" s="106"/>
      <c r="BF54" s="106">
        <v>15</v>
      </c>
      <c r="BG54" s="106"/>
      <c r="BH54" s="106"/>
      <c r="BI54" s="106">
        <v>15</v>
      </c>
      <c r="BJ54" s="106"/>
      <c r="BK54" s="106"/>
      <c r="BL54" s="106">
        <v>15</v>
      </c>
      <c r="BM54" s="106"/>
      <c r="BN54" s="147"/>
      <c r="BO54" s="158"/>
      <c r="BP54" s="134"/>
      <c r="BQ54" s="134"/>
      <c r="BR54" s="134"/>
      <c r="BS54" s="71"/>
      <c r="BT54" s="71"/>
      <c r="BU54" s="71"/>
      <c r="BV54" s="71"/>
      <c r="BW54" s="71"/>
      <c r="BX54" s="71"/>
      <c r="BY54" s="71"/>
      <c r="BZ54" s="71"/>
    </row>
    <row r="55" spans="1:78" ht="14.25" customHeight="1" x14ac:dyDescent="0.25">
      <c r="A55" s="106"/>
      <c r="B55" s="134"/>
      <c r="C55" s="134"/>
      <c r="D55" s="132"/>
      <c r="E55" s="132"/>
      <c r="F55" s="132"/>
      <c r="G55" s="132"/>
      <c r="H55" s="132"/>
      <c r="I55" s="132"/>
      <c r="J55" s="132"/>
      <c r="K55" s="132"/>
      <c r="L55" s="132"/>
      <c r="M55" s="132"/>
      <c r="N55" s="132"/>
      <c r="O55" s="155"/>
      <c r="P55" s="144" t="s">
        <v>110</v>
      </c>
      <c r="Q55" s="106"/>
      <c r="R55" s="106"/>
      <c r="S55" s="106" t="s">
        <v>5</v>
      </c>
      <c r="T55" s="106"/>
      <c r="U55" s="147"/>
      <c r="V55" s="176"/>
      <c r="W55" s="135"/>
      <c r="X55" s="135"/>
      <c r="Y55" s="135"/>
      <c r="Z55" s="135"/>
      <c r="AA55" s="135"/>
      <c r="AB55" s="135"/>
      <c r="AC55" s="135"/>
      <c r="AD55" s="135"/>
      <c r="AE55" s="135"/>
      <c r="AF55" s="135"/>
      <c r="AG55" s="135"/>
      <c r="AH55" s="135"/>
      <c r="AI55" s="135"/>
      <c r="AJ55" s="135"/>
      <c r="AK55" s="135"/>
      <c r="AL55" s="135"/>
      <c r="AM55" s="135"/>
      <c r="AN55" s="135"/>
      <c r="AO55" s="135"/>
      <c r="AP55" s="159"/>
      <c r="AQ55" s="144"/>
      <c r="AR55" s="106"/>
      <c r="AS55" s="106"/>
      <c r="AT55" s="106"/>
      <c r="AU55" s="106"/>
      <c r="AV55" s="106"/>
      <c r="AW55" s="106"/>
      <c r="AX55" s="106"/>
      <c r="AY55" s="106"/>
      <c r="AZ55" s="106"/>
      <c r="BA55" s="106"/>
      <c r="BB55" s="147"/>
      <c r="BC55" s="144"/>
      <c r="BD55" s="106"/>
      <c r="BE55" s="106"/>
      <c r="BF55" s="106"/>
      <c r="BG55" s="106"/>
      <c r="BH55" s="106"/>
      <c r="BI55" s="106"/>
      <c r="BJ55" s="106"/>
      <c r="BK55" s="106"/>
      <c r="BL55" s="106"/>
      <c r="BM55" s="106"/>
      <c r="BN55" s="147"/>
      <c r="BO55" s="158"/>
      <c r="BP55" s="134"/>
      <c r="BQ55" s="134"/>
      <c r="BR55" s="134"/>
      <c r="BS55" s="71"/>
      <c r="BT55" s="71"/>
      <c r="BU55" s="71"/>
      <c r="BV55" s="71"/>
      <c r="BW55" s="71"/>
      <c r="BX55" s="71"/>
      <c r="BY55" s="71"/>
      <c r="BZ55" s="71"/>
    </row>
    <row r="56" spans="1:78" ht="14.25" customHeight="1" x14ac:dyDescent="0.25">
      <c r="A56" s="72">
        <v>1</v>
      </c>
      <c r="B56" s="130"/>
      <c r="C56" s="130"/>
      <c r="D56" s="106">
        <v>2</v>
      </c>
      <c r="E56" s="106"/>
      <c r="F56" s="106"/>
      <c r="G56" s="106"/>
      <c r="H56" s="106"/>
      <c r="I56" s="106"/>
      <c r="J56" s="106"/>
      <c r="K56" s="106"/>
      <c r="L56" s="106"/>
      <c r="M56" s="106"/>
      <c r="N56" s="106"/>
      <c r="O56" s="147"/>
      <c r="P56" s="144">
        <v>3</v>
      </c>
      <c r="Q56" s="106"/>
      <c r="R56" s="106"/>
      <c r="S56" s="106">
        <v>4</v>
      </c>
      <c r="T56" s="106"/>
      <c r="U56" s="147"/>
      <c r="V56" s="152">
        <v>5</v>
      </c>
      <c r="W56" s="106"/>
      <c r="X56" s="106"/>
      <c r="Y56" s="106">
        <v>6</v>
      </c>
      <c r="Z56" s="106"/>
      <c r="AA56" s="106"/>
      <c r="AB56" s="106">
        <v>7</v>
      </c>
      <c r="AC56" s="106"/>
      <c r="AD56" s="106"/>
      <c r="AE56" s="106">
        <v>8</v>
      </c>
      <c r="AF56" s="106"/>
      <c r="AG56" s="106"/>
      <c r="AH56" s="106">
        <v>9</v>
      </c>
      <c r="AI56" s="106"/>
      <c r="AJ56" s="106"/>
      <c r="AK56" s="106">
        <v>10</v>
      </c>
      <c r="AL56" s="106"/>
      <c r="AM56" s="106"/>
      <c r="AN56" s="106">
        <v>11</v>
      </c>
      <c r="AO56" s="106"/>
      <c r="AP56" s="147"/>
      <c r="AQ56" s="144">
        <v>12</v>
      </c>
      <c r="AR56" s="106"/>
      <c r="AS56" s="106"/>
      <c r="AT56" s="106">
        <v>13</v>
      </c>
      <c r="AU56" s="106"/>
      <c r="AV56" s="106"/>
      <c r="AW56" s="106">
        <v>14</v>
      </c>
      <c r="AX56" s="106"/>
      <c r="AY56" s="106"/>
      <c r="AZ56" s="106">
        <v>15</v>
      </c>
      <c r="BA56" s="106"/>
      <c r="BB56" s="147"/>
      <c r="BC56" s="144">
        <v>16</v>
      </c>
      <c r="BD56" s="106"/>
      <c r="BE56" s="106"/>
      <c r="BF56" s="106">
        <v>17</v>
      </c>
      <c r="BG56" s="106"/>
      <c r="BH56" s="106"/>
      <c r="BI56" s="106">
        <v>18</v>
      </c>
      <c r="BJ56" s="106"/>
      <c r="BK56" s="106"/>
      <c r="BL56" s="106">
        <v>19</v>
      </c>
      <c r="BM56" s="106"/>
      <c r="BN56" s="147"/>
      <c r="BO56" s="152">
        <v>20</v>
      </c>
      <c r="BP56" s="106"/>
      <c r="BQ56" s="106"/>
      <c r="BR56" s="106"/>
      <c r="BS56" s="71"/>
      <c r="BT56" s="71"/>
      <c r="BU56" s="71"/>
      <c r="BV56" s="71"/>
      <c r="BW56" s="71"/>
      <c r="BX56" s="71"/>
      <c r="BY56" s="71"/>
      <c r="BZ56" s="71"/>
    </row>
    <row r="57" spans="1:78" ht="14.25" customHeight="1" x14ac:dyDescent="0.25">
      <c r="A57" s="72" t="s">
        <v>6</v>
      </c>
      <c r="B57" s="243"/>
      <c r="C57" s="243"/>
      <c r="D57" s="182" t="s">
        <v>111</v>
      </c>
      <c r="E57" s="182"/>
      <c r="F57" s="182"/>
      <c r="G57" s="182"/>
      <c r="H57" s="182"/>
      <c r="I57" s="182"/>
      <c r="J57" s="182"/>
      <c r="K57" s="182"/>
      <c r="L57" s="182"/>
      <c r="M57" s="182"/>
      <c r="N57" s="182"/>
      <c r="O57" s="183"/>
      <c r="P57" s="144">
        <f>SUM(V57+AN57)</f>
        <v>1470</v>
      </c>
      <c r="Q57" s="106"/>
      <c r="R57" s="106"/>
      <c r="S57" s="131">
        <f>P57/3600*100</f>
        <v>40.833333333333336</v>
      </c>
      <c r="T57" s="131"/>
      <c r="U57" s="151"/>
      <c r="V57" s="152">
        <f t="shared" ref="V57:V67" si="5">SUM(AQ57+AT57+AW57+AZ57)*15</f>
        <v>570</v>
      </c>
      <c r="W57" s="106"/>
      <c r="X57" s="106"/>
      <c r="Y57" s="106">
        <f>SUM(Y58:AA67)</f>
        <v>110</v>
      </c>
      <c r="Z57" s="106"/>
      <c r="AA57" s="106"/>
      <c r="AB57" s="106">
        <f>SUM(AB58:AD67)</f>
        <v>106</v>
      </c>
      <c r="AC57" s="106"/>
      <c r="AD57" s="106"/>
      <c r="AE57" s="106">
        <f>SUM(AE58:AG67)</f>
        <v>300</v>
      </c>
      <c r="AF57" s="106"/>
      <c r="AG57" s="106"/>
      <c r="AH57" s="106">
        <f>SUM(AH58:AJ67)</f>
        <v>54</v>
      </c>
      <c r="AI57" s="106"/>
      <c r="AJ57" s="106"/>
      <c r="AK57" s="106">
        <f>SUM(AK58:AM67)</f>
        <v>0</v>
      </c>
      <c r="AL57" s="106"/>
      <c r="AM57" s="106"/>
      <c r="AN57" s="106">
        <f>SUM(AN58:AP67)</f>
        <v>900</v>
      </c>
      <c r="AO57" s="106"/>
      <c r="AP57" s="147"/>
      <c r="AQ57" s="144">
        <f>SUM(AQ58:AS67)</f>
        <v>16</v>
      </c>
      <c r="AR57" s="106"/>
      <c r="AS57" s="106"/>
      <c r="AT57" s="106">
        <f>SUM(AT58:AV67)</f>
        <v>6</v>
      </c>
      <c r="AU57" s="106"/>
      <c r="AV57" s="106"/>
      <c r="AW57" s="106">
        <f>SUM(AW58:AY67)</f>
        <v>10</v>
      </c>
      <c r="AX57" s="106"/>
      <c r="AY57" s="106"/>
      <c r="AZ57" s="106">
        <f>SUM(AZ58:BB67)</f>
        <v>6</v>
      </c>
      <c r="BA57" s="106"/>
      <c r="BB57" s="147"/>
      <c r="BC57" s="144">
        <f>SUM(BC58:BE67)</f>
        <v>22</v>
      </c>
      <c r="BD57" s="106"/>
      <c r="BE57" s="106"/>
      <c r="BF57" s="106">
        <f>SUM(BF58:BH67)</f>
        <v>7</v>
      </c>
      <c r="BG57" s="106"/>
      <c r="BH57" s="106"/>
      <c r="BI57" s="106">
        <f>SUM(BI58:BK67)</f>
        <v>12</v>
      </c>
      <c r="BJ57" s="106"/>
      <c r="BK57" s="106"/>
      <c r="BL57" s="106">
        <f>SUM(BL58:BN67)</f>
        <v>8</v>
      </c>
      <c r="BM57" s="106"/>
      <c r="BN57" s="147"/>
      <c r="BO57" s="148">
        <f>SUM(P57/30)</f>
        <v>49</v>
      </c>
      <c r="BP57" s="105"/>
      <c r="BQ57" s="105"/>
      <c r="BR57" s="105"/>
      <c r="BS57" s="71"/>
      <c r="BT57" s="71"/>
      <c r="BU57" s="71"/>
      <c r="BV57" s="71"/>
      <c r="BW57" s="71"/>
      <c r="BX57" s="71"/>
      <c r="BY57" s="71"/>
      <c r="BZ57" s="71"/>
    </row>
    <row r="58" spans="1:78" ht="14.25" customHeight="1" x14ac:dyDescent="0.25">
      <c r="A58" s="14" t="s">
        <v>7</v>
      </c>
      <c r="B58" s="104" t="s">
        <v>31</v>
      </c>
      <c r="C58" s="104"/>
      <c r="D58" s="149" t="s">
        <v>142</v>
      </c>
      <c r="E58" s="149"/>
      <c r="F58" s="149"/>
      <c r="G58" s="149"/>
      <c r="H58" s="149"/>
      <c r="I58" s="149"/>
      <c r="J58" s="149"/>
      <c r="K58" s="149"/>
      <c r="L58" s="149"/>
      <c r="M58" s="149"/>
      <c r="N58" s="149"/>
      <c r="O58" s="150"/>
      <c r="P58" s="144">
        <f t="shared" ref="P58:P59" si="6">SUM(V58+AN58)</f>
        <v>90</v>
      </c>
      <c r="Q58" s="106"/>
      <c r="R58" s="106"/>
      <c r="S58" s="131"/>
      <c r="T58" s="131"/>
      <c r="U58" s="151"/>
      <c r="V58" s="152">
        <f t="shared" ref="V58:V59" si="7">SUM(AQ58+AT58+AW58+AZ58)*15</f>
        <v>30</v>
      </c>
      <c r="W58" s="106"/>
      <c r="X58" s="106"/>
      <c r="Y58" s="104">
        <v>16</v>
      </c>
      <c r="Z58" s="104"/>
      <c r="AA58" s="104"/>
      <c r="AB58" s="104">
        <v>14</v>
      </c>
      <c r="AC58" s="104"/>
      <c r="AD58" s="104"/>
      <c r="AE58" s="104"/>
      <c r="AF58" s="104"/>
      <c r="AG58" s="104"/>
      <c r="AH58" s="104"/>
      <c r="AI58" s="104"/>
      <c r="AJ58" s="104"/>
      <c r="AK58" s="104"/>
      <c r="AL58" s="104"/>
      <c r="AM58" s="104"/>
      <c r="AN58" s="104">
        <v>60</v>
      </c>
      <c r="AO58" s="104"/>
      <c r="AP58" s="145"/>
      <c r="AQ58" s="146">
        <v>2</v>
      </c>
      <c r="AR58" s="104"/>
      <c r="AS58" s="104"/>
      <c r="AT58" s="104"/>
      <c r="AU58" s="104"/>
      <c r="AV58" s="104"/>
      <c r="AW58" s="104"/>
      <c r="AX58" s="104"/>
      <c r="AY58" s="104"/>
      <c r="AZ58" s="104"/>
      <c r="BA58" s="104"/>
      <c r="BB58" s="145"/>
      <c r="BC58" s="146">
        <v>3</v>
      </c>
      <c r="BD58" s="104"/>
      <c r="BE58" s="104"/>
      <c r="BF58" s="104"/>
      <c r="BG58" s="104"/>
      <c r="BH58" s="104"/>
      <c r="BI58" s="104"/>
      <c r="BJ58" s="104"/>
      <c r="BK58" s="104"/>
      <c r="BL58" s="104"/>
      <c r="BM58" s="104"/>
      <c r="BN58" s="145"/>
      <c r="BO58" s="148">
        <f t="shared" ref="BO58:BO59" si="8">SUM(P58/30)</f>
        <v>3</v>
      </c>
      <c r="BP58" s="105"/>
      <c r="BQ58" s="105"/>
      <c r="BR58" s="105"/>
      <c r="BS58" s="71">
        <f>SUM(V58/P58)*100</f>
        <v>33.333333333333329</v>
      </c>
      <c r="BT58" s="71">
        <f>SUM(AN58/P58)*100</f>
        <v>66.666666666666657</v>
      </c>
      <c r="BU58" s="71">
        <f>SUM(Y58:AJ58)</f>
        <v>30</v>
      </c>
      <c r="BV58" s="15">
        <f>IF(BU58=V58,1,0)</f>
        <v>1</v>
      </c>
      <c r="BW58" s="15" t="str">
        <f>IF(BV58=1,"тўғри","хато")</f>
        <v>тўғри</v>
      </c>
      <c r="BX58" s="71">
        <f>SUM(BC58:BN58)</f>
        <v>3</v>
      </c>
      <c r="BY58" s="15">
        <f>IF(BX58=BO58,1,0)</f>
        <v>1</v>
      </c>
      <c r="BZ58" s="15" t="str">
        <f>IF(BY58=1,"тўғри","хато")</f>
        <v>тўғри</v>
      </c>
    </row>
    <row r="59" spans="1:78" ht="14.25" customHeight="1" x14ac:dyDescent="0.25">
      <c r="A59" s="14" t="s">
        <v>8</v>
      </c>
      <c r="B59" s="104" t="s">
        <v>213</v>
      </c>
      <c r="C59" s="104"/>
      <c r="D59" s="149" t="s">
        <v>143</v>
      </c>
      <c r="E59" s="149"/>
      <c r="F59" s="149"/>
      <c r="G59" s="149"/>
      <c r="H59" s="149"/>
      <c r="I59" s="149"/>
      <c r="J59" s="149"/>
      <c r="K59" s="149"/>
      <c r="L59" s="149"/>
      <c r="M59" s="149"/>
      <c r="N59" s="149"/>
      <c r="O59" s="150"/>
      <c r="P59" s="144">
        <f t="shared" si="6"/>
        <v>90</v>
      </c>
      <c r="Q59" s="106"/>
      <c r="R59" s="106"/>
      <c r="S59" s="131"/>
      <c r="T59" s="131"/>
      <c r="U59" s="151"/>
      <c r="V59" s="152">
        <f t="shared" si="7"/>
        <v>30</v>
      </c>
      <c r="W59" s="106"/>
      <c r="X59" s="106"/>
      <c r="Y59" s="104">
        <v>16</v>
      </c>
      <c r="Z59" s="104"/>
      <c r="AA59" s="104"/>
      <c r="AB59" s="104">
        <v>14</v>
      </c>
      <c r="AC59" s="104"/>
      <c r="AD59" s="104"/>
      <c r="AE59" s="104"/>
      <c r="AF59" s="104"/>
      <c r="AG59" s="104"/>
      <c r="AH59" s="104"/>
      <c r="AI59" s="104"/>
      <c r="AJ59" s="104"/>
      <c r="AK59" s="104"/>
      <c r="AL59" s="104"/>
      <c r="AM59" s="104"/>
      <c r="AN59" s="104">
        <v>60</v>
      </c>
      <c r="AO59" s="104"/>
      <c r="AP59" s="145"/>
      <c r="AQ59" s="146"/>
      <c r="AR59" s="104"/>
      <c r="AS59" s="104"/>
      <c r="AT59" s="104"/>
      <c r="AU59" s="104"/>
      <c r="AV59" s="104"/>
      <c r="AW59" s="104">
        <v>2</v>
      </c>
      <c r="AX59" s="104"/>
      <c r="AY59" s="104"/>
      <c r="AZ59" s="104"/>
      <c r="BA59" s="104"/>
      <c r="BB59" s="145"/>
      <c r="BC59" s="146"/>
      <c r="BD59" s="104"/>
      <c r="BE59" s="104"/>
      <c r="BF59" s="104"/>
      <c r="BG59" s="104"/>
      <c r="BH59" s="104"/>
      <c r="BI59" s="104">
        <v>3</v>
      </c>
      <c r="BJ59" s="104"/>
      <c r="BK59" s="104"/>
      <c r="BL59" s="104"/>
      <c r="BM59" s="104"/>
      <c r="BN59" s="145"/>
      <c r="BO59" s="148">
        <f t="shared" si="8"/>
        <v>3</v>
      </c>
      <c r="BP59" s="105"/>
      <c r="BQ59" s="105"/>
      <c r="BR59" s="105"/>
      <c r="BS59" s="71">
        <f t="shared" ref="BS59" si="9">SUM(V59/P59)*100</f>
        <v>33.333333333333329</v>
      </c>
      <c r="BT59" s="71">
        <f t="shared" ref="BT59" si="10">SUM(AN59/P59)*100</f>
        <v>66.666666666666657</v>
      </c>
      <c r="BU59" s="71">
        <f t="shared" ref="BU59" si="11">SUM(Y59:AJ59)</f>
        <v>30</v>
      </c>
      <c r="BV59" s="15">
        <f t="shared" ref="BV59" si="12">IF(BU59=V59,1,0)</f>
        <v>1</v>
      </c>
      <c r="BW59" s="15" t="str">
        <f t="shared" ref="BW59" si="13">IF(BV59=1,"тўғри","хато")</f>
        <v>тўғри</v>
      </c>
      <c r="BX59" s="71">
        <f t="shared" ref="BX59" si="14">SUM(BC59:BN59)</f>
        <v>3</v>
      </c>
      <c r="BY59" s="15">
        <f t="shared" ref="BY59" si="15">IF(BX59=BO59,1,0)</f>
        <v>1</v>
      </c>
      <c r="BZ59" s="15" t="str">
        <f t="shared" ref="BZ59" si="16">IF(BY59=1,"тўғри","хато")</f>
        <v>тўғри</v>
      </c>
    </row>
    <row r="60" spans="1:78" ht="28.5" customHeight="1" x14ac:dyDescent="0.25">
      <c r="A60" s="14" t="s">
        <v>23</v>
      </c>
      <c r="B60" s="104" t="s">
        <v>202</v>
      </c>
      <c r="C60" s="104"/>
      <c r="D60" s="244" t="s">
        <v>203</v>
      </c>
      <c r="E60" s="245"/>
      <c r="F60" s="245"/>
      <c r="G60" s="245"/>
      <c r="H60" s="245"/>
      <c r="I60" s="245"/>
      <c r="J60" s="245"/>
      <c r="K60" s="245"/>
      <c r="L60" s="245"/>
      <c r="M60" s="245"/>
      <c r="N60" s="245"/>
      <c r="O60" s="246"/>
      <c r="P60" s="144">
        <f t="shared" ref="P60:P65" si="17">SUM(V60+AN60)</f>
        <v>270</v>
      </c>
      <c r="Q60" s="106"/>
      <c r="R60" s="106"/>
      <c r="S60" s="106"/>
      <c r="T60" s="106"/>
      <c r="U60" s="147"/>
      <c r="V60" s="152">
        <f t="shared" si="5"/>
        <v>120</v>
      </c>
      <c r="W60" s="106"/>
      <c r="X60" s="106"/>
      <c r="Y60" s="104"/>
      <c r="Z60" s="104"/>
      <c r="AA60" s="104"/>
      <c r="AB60" s="104"/>
      <c r="AC60" s="104"/>
      <c r="AD60" s="104"/>
      <c r="AE60" s="104">
        <v>120</v>
      </c>
      <c r="AF60" s="104"/>
      <c r="AG60" s="104"/>
      <c r="AH60" s="104"/>
      <c r="AI60" s="104"/>
      <c r="AJ60" s="104"/>
      <c r="AK60" s="104"/>
      <c r="AL60" s="104"/>
      <c r="AM60" s="104"/>
      <c r="AN60" s="104">
        <v>150</v>
      </c>
      <c r="AO60" s="104"/>
      <c r="AP60" s="145"/>
      <c r="AQ60" s="146">
        <v>2</v>
      </c>
      <c r="AR60" s="104"/>
      <c r="AS60" s="104"/>
      <c r="AT60" s="104">
        <v>2</v>
      </c>
      <c r="AU60" s="104"/>
      <c r="AV60" s="104"/>
      <c r="AW60" s="104">
        <v>2</v>
      </c>
      <c r="AX60" s="104"/>
      <c r="AY60" s="104"/>
      <c r="AZ60" s="104">
        <v>2</v>
      </c>
      <c r="BA60" s="104"/>
      <c r="BB60" s="145"/>
      <c r="BC60" s="146">
        <v>2</v>
      </c>
      <c r="BD60" s="104"/>
      <c r="BE60" s="104"/>
      <c r="BF60" s="104">
        <v>2</v>
      </c>
      <c r="BG60" s="104"/>
      <c r="BH60" s="104"/>
      <c r="BI60" s="104">
        <v>2</v>
      </c>
      <c r="BJ60" s="104"/>
      <c r="BK60" s="104"/>
      <c r="BL60" s="104">
        <v>3</v>
      </c>
      <c r="BM60" s="104"/>
      <c r="BN60" s="145"/>
      <c r="BO60" s="148">
        <f t="shared" ref="BO60:BO67" si="18">SUM(P60/30)</f>
        <v>9</v>
      </c>
      <c r="BP60" s="105"/>
      <c r="BQ60" s="105"/>
      <c r="BR60" s="105"/>
      <c r="BS60" s="71">
        <f t="shared" ref="BS60:BS67" si="19">SUM(V60/P60)*100</f>
        <v>44.444444444444443</v>
      </c>
      <c r="BT60" s="71">
        <f t="shared" ref="BT60:BT67" si="20">SUM(AN60/P60)*100</f>
        <v>55.555555555555557</v>
      </c>
      <c r="BU60" s="71">
        <f t="shared" ref="BU60:BU67" si="21">SUM(Y60:AJ60)</f>
        <v>120</v>
      </c>
      <c r="BV60" s="15">
        <f t="shared" ref="BV60:BV67" si="22">IF(BU60=V60,1,0)</f>
        <v>1</v>
      </c>
      <c r="BW60" s="15" t="str">
        <f t="shared" ref="BW60:BW67" si="23">IF(BV60=1,"тўғри","хато")</f>
        <v>тўғри</v>
      </c>
      <c r="BX60" s="71">
        <f t="shared" ref="BX60:BX67" si="24">SUM(BC60:BN60)</f>
        <v>9</v>
      </c>
      <c r="BY60" s="15">
        <f t="shared" ref="BY60:BY67" si="25">IF(BX60=BO60,1,0)</f>
        <v>1</v>
      </c>
      <c r="BZ60" s="15" t="str">
        <f t="shared" ref="BZ60:BZ67" si="26">IF(BY60=1,"тўғри","хато")</f>
        <v>тўғри</v>
      </c>
    </row>
    <row r="61" spans="1:78" s="92" customFormat="1" ht="14.25" customHeight="1" x14ac:dyDescent="0.25">
      <c r="A61" s="89" t="s">
        <v>24</v>
      </c>
      <c r="B61" s="108" t="s">
        <v>204</v>
      </c>
      <c r="C61" s="108"/>
      <c r="D61" s="256" t="s">
        <v>205</v>
      </c>
      <c r="E61" s="257"/>
      <c r="F61" s="257"/>
      <c r="G61" s="257"/>
      <c r="H61" s="257"/>
      <c r="I61" s="257"/>
      <c r="J61" s="257"/>
      <c r="K61" s="257"/>
      <c r="L61" s="257"/>
      <c r="M61" s="257"/>
      <c r="N61" s="257"/>
      <c r="O61" s="258"/>
      <c r="P61" s="259">
        <f t="shared" si="17"/>
        <v>420</v>
      </c>
      <c r="Q61" s="109"/>
      <c r="R61" s="109"/>
      <c r="S61" s="109"/>
      <c r="T61" s="109"/>
      <c r="U61" s="260"/>
      <c r="V61" s="116">
        <f t="shared" si="5"/>
        <v>180</v>
      </c>
      <c r="W61" s="109"/>
      <c r="X61" s="109"/>
      <c r="Y61" s="108"/>
      <c r="Z61" s="108"/>
      <c r="AA61" s="108"/>
      <c r="AB61" s="108"/>
      <c r="AC61" s="108"/>
      <c r="AD61" s="108"/>
      <c r="AE61" s="108">
        <v>180</v>
      </c>
      <c r="AF61" s="108"/>
      <c r="AG61" s="108"/>
      <c r="AH61" s="108"/>
      <c r="AI61" s="108"/>
      <c r="AJ61" s="108"/>
      <c r="AK61" s="108"/>
      <c r="AL61" s="108"/>
      <c r="AM61" s="108"/>
      <c r="AN61" s="108">
        <v>240</v>
      </c>
      <c r="AO61" s="108"/>
      <c r="AP61" s="261"/>
      <c r="AQ61" s="262">
        <v>2</v>
      </c>
      <c r="AR61" s="108"/>
      <c r="AS61" s="108"/>
      <c r="AT61" s="108">
        <v>4</v>
      </c>
      <c r="AU61" s="108"/>
      <c r="AV61" s="108"/>
      <c r="AW61" s="108">
        <v>4</v>
      </c>
      <c r="AX61" s="108"/>
      <c r="AY61" s="108"/>
      <c r="AZ61" s="108">
        <v>2</v>
      </c>
      <c r="BA61" s="108"/>
      <c r="BB61" s="261"/>
      <c r="BC61" s="262">
        <v>2</v>
      </c>
      <c r="BD61" s="108"/>
      <c r="BE61" s="108"/>
      <c r="BF61" s="108">
        <v>5</v>
      </c>
      <c r="BG61" s="108"/>
      <c r="BH61" s="108"/>
      <c r="BI61" s="108">
        <v>4</v>
      </c>
      <c r="BJ61" s="108"/>
      <c r="BK61" s="108"/>
      <c r="BL61" s="108">
        <v>3</v>
      </c>
      <c r="BM61" s="108"/>
      <c r="BN61" s="261"/>
      <c r="BO61" s="125">
        <f t="shared" si="18"/>
        <v>14</v>
      </c>
      <c r="BP61" s="112"/>
      <c r="BQ61" s="112"/>
      <c r="BR61" s="112"/>
      <c r="BS61" s="90">
        <f t="shared" si="19"/>
        <v>42.857142857142854</v>
      </c>
      <c r="BT61" s="90">
        <f t="shared" si="20"/>
        <v>57.142857142857139</v>
      </c>
      <c r="BU61" s="90">
        <f t="shared" si="21"/>
        <v>180</v>
      </c>
      <c r="BV61" s="88">
        <f t="shared" si="22"/>
        <v>1</v>
      </c>
      <c r="BW61" s="88" t="str">
        <f t="shared" si="23"/>
        <v>тўғри</v>
      </c>
      <c r="BX61" s="90">
        <f t="shared" si="24"/>
        <v>14</v>
      </c>
      <c r="BY61" s="88">
        <f t="shared" si="25"/>
        <v>1</v>
      </c>
      <c r="BZ61" s="88" t="str">
        <f t="shared" si="26"/>
        <v>тўғри</v>
      </c>
    </row>
    <row r="62" spans="1:78" ht="28.5" customHeight="1" x14ac:dyDescent="0.25">
      <c r="A62" s="14" t="s">
        <v>25</v>
      </c>
      <c r="B62" s="104" t="s">
        <v>206</v>
      </c>
      <c r="C62" s="104"/>
      <c r="D62" s="244" t="s">
        <v>184</v>
      </c>
      <c r="E62" s="245"/>
      <c r="F62" s="245"/>
      <c r="G62" s="245"/>
      <c r="H62" s="245"/>
      <c r="I62" s="245"/>
      <c r="J62" s="245"/>
      <c r="K62" s="245"/>
      <c r="L62" s="245"/>
      <c r="M62" s="245"/>
      <c r="N62" s="245"/>
      <c r="O62" s="246"/>
      <c r="P62" s="144">
        <f t="shared" si="17"/>
        <v>90</v>
      </c>
      <c r="Q62" s="106"/>
      <c r="R62" s="106"/>
      <c r="S62" s="127"/>
      <c r="T62" s="127"/>
      <c r="U62" s="208"/>
      <c r="V62" s="152">
        <f t="shared" si="5"/>
        <v>30</v>
      </c>
      <c r="W62" s="106"/>
      <c r="X62" s="106"/>
      <c r="Y62" s="104"/>
      <c r="Z62" s="104"/>
      <c r="AA62" s="104"/>
      <c r="AB62" s="104">
        <v>30</v>
      </c>
      <c r="AC62" s="104"/>
      <c r="AD62" s="104"/>
      <c r="AE62" s="104"/>
      <c r="AF62" s="104"/>
      <c r="AG62" s="104"/>
      <c r="AH62" s="104"/>
      <c r="AI62" s="104"/>
      <c r="AJ62" s="104"/>
      <c r="AK62" s="104"/>
      <c r="AL62" s="104"/>
      <c r="AM62" s="104"/>
      <c r="AN62" s="104">
        <v>60</v>
      </c>
      <c r="AO62" s="104"/>
      <c r="AP62" s="145"/>
      <c r="AQ62" s="146">
        <v>2</v>
      </c>
      <c r="AR62" s="104"/>
      <c r="AS62" s="104"/>
      <c r="AT62" s="104"/>
      <c r="AU62" s="104"/>
      <c r="AV62" s="104"/>
      <c r="AW62" s="104"/>
      <c r="AX62" s="104"/>
      <c r="AY62" s="104"/>
      <c r="AZ62" s="104"/>
      <c r="BA62" s="104"/>
      <c r="BB62" s="145"/>
      <c r="BC62" s="146">
        <v>3</v>
      </c>
      <c r="BD62" s="104"/>
      <c r="BE62" s="104"/>
      <c r="BF62" s="104"/>
      <c r="BG62" s="104"/>
      <c r="BH62" s="104"/>
      <c r="BI62" s="104"/>
      <c r="BJ62" s="104"/>
      <c r="BK62" s="104"/>
      <c r="BL62" s="104"/>
      <c r="BM62" s="104"/>
      <c r="BN62" s="145"/>
      <c r="BO62" s="148">
        <f t="shared" si="18"/>
        <v>3</v>
      </c>
      <c r="BP62" s="105"/>
      <c r="BQ62" s="105"/>
      <c r="BR62" s="105"/>
      <c r="BS62" s="71">
        <f t="shared" si="19"/>
        <v>33.333333333333329</v>
      </c>
      <c r="BT62" s="71">
        <f t="shared" si="20"/>
        <v>66.666666666666657</v>
      </c>
      <c r="BU62" s="71">
        <f t="shared" si="21"/>
        <v>30</v>
      </c>
      <c r="BV62" s="15">
        <f t="shared" si="22"/>
        <v>1</v>
      </c>
      <c r="BW62" s="15" t="str">
        <f t="shared" si="23"/>
        <v>тўғри</v>
      </c>
      <c r="BX62" s="71">
        <f t="shared" si="24"/>
        <v>3</v>
      </c>
      <c r="BY62" s="15">
        <f t="shared" si="25"/>
        <v>1</v>
      </c>
      <c r="BZ62" s="15" t="str">
        <f t="shared" si="26"/>
        <v>тўғри</v>
      </c>
    </row>
    <row r="63" spans="1:78" ht="14.25" customHeight="1" x14ac:dyDescent="0.25">
      <c r="A63" s="14" t="s">
        <v>26</v>
      </c>
      <c r="B63" s="104" t="s">
        <v>38</v>
      </c>
      <c r="C63" s="104"/>
      <c r="D63" s="247" t="s">
        <v>153</v>
      </c>
      <c r="E63" s="248"/>
      <c r="F63" s="248"/>
      <c r="G63" s="248"/>
      <c r="H63" s="248"/>
      <c r="I63" s="248"/>
      <c r="J63" s="248"/>
      <c r="K63" s="248"/>
      <c r="L63" s="248"/>
      <c r="M63" s="248"/>
      <c r="N63" s="248"/>
      <c r="O63" s="249"/>
      <c r="P63" s="144">
        <f t="shared" si="17"/>
        <v>90</v>
      </c>
      <c r="Q63" s="106"/>
      <c r="R63" s="106"/>
      <c r="S63" s="127"/>
      <c r="T63" s="127"/>
      <c r="U63" s="208"/>
      <c r="V63" s="152">
        <f t="shared" si="5"/>
        <v>30</v>
      </c>
      <c r="W63" s="106"/>
      <c r="X63" s="106"/>
      <c r="Y63" s="104">
        <v>10</v>
      </c>
      <c r="Z63" s="104"/>
      <c r="AA63" s="104"/>
      <c r="AB63" s="104">
        <v>10</v>
      </c>
      <c r="AC63" s="104"/>
      <c r="AD63" s="104"/>
      <c r="AE63" s="104"/>
      <c r="AF63" s="104"/>
      <c r="AG63" s="104"/>
      <c r="AH63" s="104">
        <v>10</v>
      </c>
      <c r="AI63" s="104"/>
      <c r="AJ63" s="104"/>
      <c r="AK63" s="104"/>
      <c r="AL63" s="104"/>
      <c r="AM63" s="104"/>
      <c r="AN63" s="104">
        <v>60</v>
      </c>
      <c r="AO63" s="104"/>
      <c r="AP63" s="145"/>
      <c r="AQ63" s="146">
        <v>2</v>
      </c>
      <c r="AR63" s="104"/>
      <c r="AS63" s="104"/>
      <c r="AT63" s="104"/>
      <c r="AU63" s="104"/>
      <c r="AV63" s="104"/>
      <c r="AW63" s="104"/>
      <c r="AX63" s="104"/>
      <c r="AY63" s="104"/>
      <c r="AZ63" s="104"/>
      <c r="BA63" s="104"/>
      <c r="BB63" s="145"/>
      <c r="BC63" s="146">
        <v>3</v>
      </c>
      <c r="BD63" s="104"/>
      <c r="BE63" s="104"/>
      <c r="BF63" s="104"/>
      <c r="BG63" s="104"/>
      <c r="BH63" s="104"/>
      <c r="BI63" s="104"/>
      <c r="BJ63" s="104"/>
      <c r="BK63" s="104"/>
      <c r="BL63" s="104"/>
      <c r="BM63" s="104"/>
      <c r="BN63" s="145"/>
      <c r="BO63" s="148">
        <f t="shared" si="18"/>
        <v>3</v>
      </c>
      <c r="BP63" s="105"/>
      <c r="BQ63" s="105"/>
      <c r="BR63" s="105"/>
      <c r="BS63" s="71">
        <f t="shared" si="19"/>
        <v>33.333333333333329</v>
      </c>
      <c r="BT63" s="71">
        <f t="shared" si="20"/>
        <v>66.666666666666657</v>
      </c>
      <c r="BU63" s="71">
        <f t="shared" si="21"/>
        <v>30</v>
      </c>
      <c r="BV63" s="15">
        <f t="shared" si="22"/>
        <v>1</v>
      </c>
      <c r="BW63" s="15" t="str">
        <f t="shared" si="23"/>
        <v>тўғри</v>
      </c>
      <c r="BX63" s="71">
        <f t="shared" si="24"/>
        <v>3</v>
      </c>
      <c r="BY63" s="15">
        <f t="shared" si="25"/>
        <v>1</v>
      </c>
      <c r="BZ63" s="15" t="str">
        <f t="shared" si="26"/>
        <v>тўғри</v>
      </c>
    </row>
    <row r="64" spans="1:78" ht="14.25" customHeight="1" x14ac:dyDescent="0.25">
      <c r="A64" s="14" t="s">
        <v>27</v>
      </c>
      <c r="B64" s="104" t="s">
        <v>34</v>
      </c>
      <c r="C64" s="104"/>
      <c r="D64" s="247" t="s">
        <v>151</v>
      </c>
      <c r="E64" s="248"/>
      <c r="F64" s="248"/>
      <c r="G64" s="248"/>
      <c r="H64" s="248"/>
      <c r="I64" s="248"/>
      <c r="J64" s="248"/>
      <c r="K64" s="248"/>
      <c r="L64" s="248"/>
      <c r="M64" s="248"/>
      <c r="N64" s="248"/>
      <c r="O64" s="249"/>
      <c r="P64" s="144">
        <f t="shared" si="17"/>
        <v>90</v>
      </c>
      <c r="Q64" s="106"/>
      <c r="R64" s="106"/>
      <c r="S64" s="127"/>
      <c r="T64" s="127"/>
      <c r="U64" s="208"/>
      <c r="V64" s="152">
        <f t="shared" si="5"/>
        <v>30</v>
      </c>
      <c r="W64" s="106"/>
      <c r="X64" s="106"/>
      <c r="Y64" s="104">
        <v>10</v>
      </c>
      <c r="Z64" s="104"/>
      <c r="AA64" s="104"/>
      <c r="AB64" s="104">
        <v>10</v>
      </c>
      <c r="AC64" s="104"/>
      <c r="AD64" s="104"/>
      <c r="AE64" s="104"/>
      <c r="AF64" s="104"/>
      <c r="AG64" s="104"/>
      <c r="AH64" s="104">
        <v>10</v>
      </c>
      <c r="AI64" s="104"/>
      <c r="AJ64" s="104"/>
      <c r="AK64" s="104"/>
      <c r="AL64" s="104"/>
      <c r="AM64" s="104"/>
      <c r="AN64" s="104">
        <v>60</v>
      </c>
      <c r="AO64" s="104"/>
      <c r="AP64" s="145"/>
      <c r="AQ64" s="146">
        <v>2</v>
      </c>
      <c r="AR64" s="104"/>
      <c r="AS64" s="104"/>
      <c r="AT64" s="104"/>
      <c r="AU64" s="104"/>
      <c r="AV64" s="104"/>
      <c r="AW64" s="104"/>
      <c r="AX64" s="104"/>
      <c r="AY64" s="104"/>
      <c r="AZ64" s="104"/>
      <c r="BA64" s="104"/>
      <c r="BB64" s="145"/>
      <c r="BC64" s="146">
        <v>3</v>
      </c>
      <c r="BD64" s="104"/>
      <c r="BE64" s="104"/>
      <c r="BF64" s="104"/>
      <c r="BG64" s="104"/>
      <c r="BH64" s="104"/>
      <c r="BI64" s="104"/>
      <c r="BJ64" s="104"/>
      <c r="BK64" s="104"/>
      <c r="BL64" s="104"/>
      <c r="BM64" s="104"/>
      <c r="BN64" s="145"/>
      <c r="BO64" s="148">
        <f t="shared" si="18"/>
        <v>3</v>
      </c>
      <c r="BP64" s="105"/>
      <c r="BQ64" s="105"/>
      <c r="BR64" s="105"/>
      <c r="BS64" s="71">
        <f t="shared" si="19"/>
        <v>33.333333333333329</v>
      </c>
      <c r="BT64" s="71">
        <f t="shared" si="20"/>
        <v>66.666666666666657</v>
      </c>
      <c r="BU64" s="71">
        <f t="shared" si="21"/>
        <v>30</v>
      </c>
      <c r="BV64" s="15">
        <f t="shared" si="22"/>
        <v>1</v>
      </c>
      <c r="BW64" s="15" t="str">
        <f t="shared" si="23"/>
        <v>тўғри</v>
      </c>
      <c r="BX64" s="71">
        <f t="shared" si="24"/>
        <v>3</v>
      </c>
      <c r="BY64" s="15">
        <f t="shared" si="25"/>
        <v>1</v>
      </c>
      <c r="BZ64" s="15" t="str">
        <f t="shared" si="26"/>
        <v>тўғри</v>
      </c>
    </row>
    <row r="65" spans="1:78" ht="14.25" customHeight="1" x14ac:dyDescent="0.25">
      <c r="A65" s="14" t="s">
        <v>28</v>
      </c>
      <c r="B65" s="104" t="s">
        <v>37</v>
      </c>
      <c r="C65" s="104"/>
      <c r="D65" s="247" t="s">
        <v>152</v>
      </c>
      <c r="E65" s="248"/>
      <c r="F65" s="248"/>
      <c r="G65" s="248"/>
      <c r="H65" s="248"/>
      <c r="I65" s="248"/>
      <c r="J65" s="248"/>
      <c r="K65" s="248"/>
      <c r="L65" s="248"/>
      <c r="M65" s="248"/>
      <c r="N65" s="248"/>
      <c r="O65" s="249"/>
      <c r="P65" s="144">
        <f t="shared" si="17"/>
        <v>90</v>
      </c>
      <c r="Q65" s="106"/>
      <c r="R65" s="106"/>
      <c r="S65" s="127"/>
      <c r="T65" s="127"/>
      <c r="U65" s="208"/>
      <c r="V65" s="152">
        <f t="shared" si="5"/>
        <v>30</v>
      </c>
      <c r="W65" s="106"/>
      <c r="X65" s="106"/>
      <c r="Y65" s="104">
        <v>10</v>
      </c>
      <c r="Z65" s="104"/>
      <c r="AA65" s="104"/>
      <c r="AB65" s="104">
        <v>10</v>
      </c>
      <c r="AC65" s="104"/>
      <c r="AD65" s="104"/>
      <c r="AE65" s="104"/>
      <c r="AF65" s="104"/>
      <c r="AG65" s="104"/>
      <c r="AH65" s="104">
        <v>10</v>
      </c>
      <c r="AI65" s="104"/>
      <c r="AJ65" s="104"/>
      <c r="AK65" s="104"/>
      <c r="AL65" s="104"/>
      <c r="AM65" s="104"/>
      <c r="AN65" s="104">
        <v>60</v>
      </c>
      <c r="AO65" s="104"/>
      <c r="AP65" s="145"/>
      <c r="AQ65" s="146">
        <v>2</v>
      </c>
      <c r="AR65" s="104"/>
      <c r="AS65" s="104"/>
      <c r="AT65" s="104"/>
      <c r="AU65" s="104"/>
      <c r="AV65" s="104"/>
      <c r="AW65" s="104"/>
      <c r="AX65" s="104"/>
      <c r="AY65" s="104"/>
      <c r="AZ65" s="104"/>
      <c r="BA65" s="104"/>
      <c r="BB65" s="145"/>
      <c r="BC65" s="146">
        <v>3</v>
      </c>
      <c r="BD65" s="104"/>
      <c r="BE65" s="104"/>
      <c r="BF65" s="104"/>
      <c r="BG65" s="104"/>
      <c r="BH65" s="104"/>
      <c r="BI65" s="104"/>
      <c r="BJ65" s="104"/>
      <c r="BK65" s="104"/>
      <c r="BL65" s="104"/>
      <c r="BM65" s="104"/>
      <c r="BN65" s="145"/>
      <c r="BO65" s="148">
        <f t="shared" si="18"/>
        <v>3</v>
      </c>
      <c r="BP65" s="105"/>
      <c r="BQ65" s="105"/>
      <c r="BR65" s="105"/>
      <c r="BS65" s="71">
        <f t="shared" si="19"/>
        <v>33.333333333333329</v>
      </c>
      <c r="BT65" s="71">
        <f t="shared" si="20"/>
        <v>66.666666666666657</v>
      </c>
      <c r="BU65" s="71">
        <f t="shared" si="21"/>
        <v>30</v>
      </c>
      <c r="BV65" s="15">
        <f t="shared" si="22"/>
        <v>1</v>
      </c>
      <c r="BW65" s="15" t="str">
        <f t="shared" si="23"/>
        <v>тўғри</v>
      </c>
      <c r="BX65" s="71">
        <f t="shared" si="24"/>
        <v>3</v>
      </c>
      <c r="BY65" s="15">
        <f t="shared" si="25"/>
        <v>1</v>
      </c>
      <c r="BZ65" s="15" t="str">
        <f t="shared" si="26"/>
        <v>тўғри</v>
      </c>
    </row>
    <row r="66" spans="1:78" ht="14.25" customHeight="1" x14ac:dyDescent="0.25">
      <c r="A66" s="14" t="s">
        <v>29</v>
      </c>
      <c r="B66" s="104" t="s">
        <v>47</v>
      </c>
      <c r="C66" s="104"/>
      <c r="D66" s="247" t="s">
        <v>156</v>
      </c>
      <c r="E66" s="248"/>
      <c r="F66" s="248"/>
      <c r="G66" s="248"/>
      <c r="H66" s="248"/>
      <c r="I66" s="248"/>
      <c r="J66" s="248"/>
      <c r="K66" s="248"/>
      <c r="L66" s="248"/>
      <c r="M66" s="248"/>
      <c r="N66" s="248"/>
      <c r="O66" s="249"/>
      <c r="P66" s="144">
        <f>SUM(V66+AN66)</f>
        <v>90</v>
      </c>
      <c r="Q66" s="106"/>
      <c r="R66" s="106"/>
      <c r="S66" s="131"/>
      <c r="T66" s="131"/>
      <c r="U66" s="151"/>
      <c r="V66" s="152">
        <f t="shared" si="5"/>
        <v>30</v>
      </c>
      <c r="W66" s="106"/>
      <c r="X66" s="106"/>
      <c r="Y66" s="104">
        <v>16</v>
      </c>
      <c r="Z66" s="104"/>
      <c r="AA66" s="104"/>
      <c r="AB66" s="104">
        <v>6</v>
      </c>
      <c r="AC66" s="104"/>
      <c r="AD66" s="104"/>
      <c r="AE66" s="104"/>
      <c r="AF66" s="104"/>
      <c r="AG66" s="104"/>
      <c r="AH66" s="104">
        <v>8</v>
      </c>
      <c r="AI66" s="104"/>
      <c r="AJ66" s="104"/>
      <c r="AK66" s="106"/>
      <c r="AL66" s="106"/>
      <c r="AM66" s="106"/>
      <c r="AN66" s="104">
        <v>60</v>
      </c>
      <c r="AO66" s="104"/>
      <c r="AP66" s="145"/>
      <c r="AQ66" s="146">
        <v>2</v>
      </c>
      <c r="AR66" s="104"/>
      <c r="AS66" s="104"/>
      <c r="AT66" s="104"/>
      <c r="AU66" s="104"/>
      <c r="AV66" s="104"/>
      <c r="AW66" s="104"/>
      <c r="AX66" s="104"/>
      <c r="AY66" s="104"/>
      <c r="AZ66" s="104"/>
      <c r="BA66" s="104"/>
      <c r="BB66" s="145"/>
      <c r="BC66" s="146">
        <v>3</v>
      </c>
      <c r="BD66" s="104"/>
      <c r="BE66" s="104"/>
      <c r="BF66" s="104"/>
      <c r="BG66" s="104"/>
      <c r="BH66" s="104"/>
      <c r="BI66" s="104"/>
      <c r="BJ66" s="104"/>
      <c r="BK66" s="104"/>
      <c r="BL66" s="104"/>
      <c r="BM66" s="104"/>
      <c r="BN66" s="145"/>
      <c r="BO66" s="148">
        <f t="shared" si="18"/>
        <v>3</v>
      </c>
      <c r="BP66" s="105"/>
      <c r="BQ66" s="105"/>
      <c r="BR66" s="105"/>
      <c r="BS66" s="71">
        <f t="shared" si="19"/>
        <v>33.333333333333329</v>
      </c>
      <c r="BT66" s="71">
        <f t="shared" si="20"/>
        <v>66.666666666666657</v>
      </c>
      <c r="BU66" s="71">
        <f t="shared" si="21"/>
        <v>30</v>
      </c>
      <c r="BV66" s="15">
        <f t="shared" si="22"/>
        <v>1</v>
      </c>
      <c r="BW66" s="15" t="str">
        <f t="shared" si="23"/>
        <v>тўғри</v>
      </c>
      <c r="BX66" s="71">
        <f t="shared" si="24"/>
        <v>3</v>
      </c>
      <c r="BY66" s="15">
        <f t="shared" si="25"/>
        <v>1</v>
      </c>
      <c r="BZ66" s="15" t="str">
        <f t="shared" si="26"/>
        <v>тўғри</v>
      </c>
    </row>
    <row r="67" spans="1:78" ht="14.25" customHeight="1" x14ac:dyDescent="0.25">
      <c r="A67" s="14" t="s">
        <v>30</v>
      </c>
      <c r="B67" s="104" t="s">
        <v>35</v>
      </c>
      <c r="C67" s="104"/>
      <c r="D67" s="247" t="s">
        <v>157</v>
      </c>
      <c r="E67" s="248"/>
      <c r="F67" s="248"/>
      <c r="G67" s="248"/>
      <c r="H67" s="248"/>
      <c r="I67" s="248"/>
      <c r="J67" s="248"/>
      <c r="K67" s="248"/>
      <c r="L67" s="248"/>
      <c r="M67" s="248"/>
      <c r="N67" s="248"/>
      <c r="O67" s="249"/>
      <c r="P67" s="144">
        <f>SUM(V67+AN67)</f>
        <v>150</v>
      </c>
      <c r="Q67" s="106"/>
      <c r="R67" s="106"/>
      <c r="S67" s="131"/>
      <c r="T67" s="131"/>
      <c r="U67" s="151"/>
      <c r="V67" s="152">
        <f t="shared" si="5"/>
        <v>60</v>
      </c>
      <c r="W67" s="106"/>
      <c r="X67" s="106"/>
      <c r="Y67" s="104">
        <v>32</v>
      </c>
      <c r="Z67" s="104"/>
      <c r="AA67" s="104"/>
      <c r="AB67" s="104">
        <v>12</v>
      </c>
      <c r="AC67" s="104"/>
      <c r="AD67" s="104"/>
      <c r="AE67" s="104"/>
      <c r="AF67" s="104"/>
      <c r="AG67" s="104"/>
      <c r="AH67" s="104">
        <v>16</v>
      </c>
      <c r="AI67" s="104"/>
      <c r="AJ67" s="104"/>
      <c r="AK67" s="106"/>
      <c r="AL67" s="106"/>
      <c r="AM67" s="106"/>
      <c r="AN67" s="104">
        <v>90</v>
      </c>
      <c r="AO67" s="104"/>
      <c r="AP67" s="145"/>
      <c r="AQ67" s="146"/>
      <c r="AR67" s="104"/>
      <c r="AS67" s="104"/>
      <c r="AT67" s="104"/>
      <c r="AU67" s="104"/>
      <c r="AV67" s="104"/>
      <c r="AW67" s="104">
        <v>2</v>
      </c>
      <c r="AX67" s="104"/>
      <c r="AY67" s="104"/>
      <c r="AZ67" s="104">
        <v>2</v>
      </c>
      <c r="BA67" s="104"/>
      <c r="BB67" s="145"/>
      <c r="BC67" s="146"/>
      <c r="BD67" s="104"/>
      <c r="BE67" s="104"/>
      <c r="BF67" s="104"/>
      <c r="BG67" s="104"/>
      <c r="BH67" s="104"/>
      <c r="BI67" s="104">
        <v>3</v>
      </c>
      <c r="BJ67" s="104"/>
      <c r="BK67" s="104"/>
      <c r="BL67" s="104">
        <v>2</v>
      </c>
      <c r="BM67" s="104"/>
      <c r="BN67" s="145"/>
      <c r="BO67" s="148">
        <f t="shared" si="18"/>
        <v>5</v>
      </c>
      <c r="BP67" s="105"/>
      <c r="BQ67" s="105"/>
      <c r="BR67" s="105"/>
      <c r="BS67" s="71">
        <f t="shared" si="19"/>
        <v>40</v>
      </c>
      <c r="BT67" s="71">
        <f t="shared" si="20"/>
        <v>60</v>
      </c>
      <c r="BU67" s="71">
        <f t="shared" si="21"/>
        <v>60</v>
      </c>
      <c r="BV67" s="15">
        <f t="shared" si="22"/>
        <v>1</v>
      </c>
      <c r="BW67" s="15" t="str">
        <f t="shared" si="23"/>
        <v>тўғри</v>
      </c>
      <c r="BX67" s="71">
        <f t="shared" si="24"/>
        <v>5</v>
      </c>
      <c r="BY67" s="15">
        <f t="shared" si="25"/>
        <v>1</v>
      </c>
      <c r="BZ67" s="15" t="str">
        <f t="shared" si="26"/>
        <v>тўғри</v>
      </c>
    </row>
    <row r="68" spans="1:78" ht="14.25" customHeight="1" x14ac:dyDescent="0.25">
      <c r="A68" s="72" t="s">
        <v>9</v>
      </c>
      <c r="B68" s="104"/>
      <c r="C68" s="104"/>
      <c r="D68" s="182" t="s">
        <v>112</v>
      </c>
      <c r="E68" s="182"/>
      <c r="F68" s="182"/>
      <c r="G68" s="182"/>
      <c r="H68" s="182"/>
      <c r="I68" s="182"/>
      <c r="J68" s="182"/>
      <c r="K68" s="182"/>
      <c r="L68" s="182"/>
      <c r="M68" s="182"/>
      <c r="N68" s="182"/>
      <c r="O68" s="183"/>
      <c r="P68" s="144">
        <f t="shared" ref="P68" si="27">SUM(V68+AN68)</f>
        <v>330</v>
      </c>
      <c r="Q68" s="106"/>
      <c r="R68" s="106"/>
      <c r="S68" s="131">
        <f>P68/3600*100</f>
        <v>9.1666666666666661</v>
      </c>
      <c r="T68" s="131"/>
      <c r="U68" s="151"/>
      <c r="V68" s="152">
        <f t="shared" ref="V68" si="28">SUM(AQ68+AT68+AW68+AZ68)*15</f>
        <v>120</v>
      </c>
      <c r="W68" s="106"/>
      <c r="X68" s="106"/>
      <c r="Y68" s="106">
        <f>SUM(Y69:AA77)</f>
        <v>10</v>
      </c>
      <c r="Z68" s="106"/>
      <c r="AA68" s="106"/>
      <c r="AB68" s="106">
        <f>SUM(AB69:AD77)</f>
        <v>100</v>
      </c>
      <c r="AC68" s="106"/>
      <c r="AD68" s="106"/>
      <c r="AE68" s="106">
        <f>SUM(AE69:AG77)</f>
        <v>0</v>
      </c>
      <c r="AF68" s="106"/>
      <c r="AG68" s="106"/>
      <c r="AH68" s="106">
        <f>SUM(AH69:AJ77)</f>
        <v>10</v>
      </c>
      <c r="AI68" s="106"/>
      <c r="AJ68" s="106"/>
      <c r="AK68" s="106">
        <f>SUM(AK69:AM77)</f>
        <v>0</v>
      </c>
      <c r="AL68" s="106"/>
      <c r="AM68" s="106"/>
      <c r="AN68" s="106">
        <f>SUM(AN69:AP77)</f>
        <v>210</v>
      </c>
      <c r="AO68" s="106"/>
      <c r="AP68" s="147"/>
      <c r="AQ68" s="144">
        <f>SUM(AQ69:AS77)</f>
        <v>2</v>
      </c>
      <c r="AR68" s="106"/>
      <c r="AS68" s="106"/>
      <c r="AT68" s="106">
        <f>SUM(AT69:AV77)</f>
        <v>4</v>
      </c>
      <c r="AU68" s="106"/>
      <c r="AV68" s="106"/>
      <c r="AW68" s="106">
        <f>SUM(AW69:AY77)</f>
        <v>2</v>
      </c>
      <c r="AX68" s="106"/>
      <c r="AY68" s="106"/>
      <c r="AZ68" s="106">
        <f>SUM(AZ69:BB77)</f>
        <v>0</v>
      </c>
      <c r="BA68" s="106"/>
      <c r="BB68" s="147"/>
      <c r="BC68" s="144">
        <f>SUM(BC69:BE77)</f>
        <v>2</v>
      </c>
      <c r="BD68" s="106"/>
      <c r="BE68" s="106"/>
      <c r="BF68" s="106">
        <f>SUM(BF69:BH77)</f>
        <v>6</v>
      </c>
      <c r="BG68" s="106"/>
      <c r="BH68" s="106"/>
      <c r="BI68" s="106">
        <f>SUM(BI69:BK77)</f>
        <v>3</v>
      </c>
      <c r="BJ68" s="106"/>
      <c r="BK68" s="106"/>
      <c r="BL68" s="106">
        <f>SUM(BL69:BN77)</f>
        <v>0</v>
      </c>
      <c r="BM68" s="106"/>
      <c r="BN68" s="147"/>
      <c r="BO68" s="148">
        <f t="shared" ref="BO68:BO83" si="29">SUM(P68/30)</f>
        <v>11</v>
      </c>
      <c r="BP68" s="105"/>
      <c r="BQ68" s="105"/>
      <c r="BR68" s="105"/>
      <c r="BS68" s="71">
        <f t="shared" ref="BS68:BS83" si="30">SUM(V68/P68)*100</f>
        <v>36.363636363636367</v>
      </c>
      <c r="BT68" s="71">
        <f t="shared" ref="BT68:BT83" si="31">SUM(AN68/P68)*100</f>
        <v>63.636363636363633</v>
      </c>
      <c r="BU68" s="71">
        <f t="shared" ref="BU68" si="32">SUM(Y68:AJ68)</f>
        <v>120</v>
      </c>
      <c r="BV68" s="15">
        <f t="shared" ref="BV68:BV77" si="33">IF(BU68=V68,1,0)</f>
        <v>1</v>
      </c>
      <c r="BW68" s="15" t="str">
        <f t="shared" ref="BW68:BW77" si="34">IF(BV68=1,"тўғри","хато")</f>
        <v>тўғри</v>
      </c>
      <c r="BX68" s="71">
        <f t="shared" ref="BX68:BX83" si="35">SUM(BC68:BN68)</f>
        <v>11</v>
      </c>
      <c r="BY68" s="15">
        <f t="shared" ref="BY68:BY83" si="36">IF(BX68=BO68,1,0)</f>
        <v>1</v>
      </c>
      <c r="BZ68" s="15" t="str">
        <f t="shared" ref="BZ68:BZ83" si="37">IF(BY68=1,"тўғри","хато")</f>
        <v>тўғри</v>
      </c>
    </row>
    <row r="69" spans="1:78" ht="14.25" customHeight="1" x14ac:dyDescent="0.25">
      <c r="A69" s="85" t="s">
        <v>10</v>
      </c>
      <c r="B69" s="104"/>
      <c r="C69" s="104"/>
      <c r="D69" s="178" t="s">
        <v>130</v>
      </c>
      <c r="E69" s="178"/>
      <c r="F69" s="178"/>
      <c r="G69" s="178"/>
      <c r="H69" s="178"/>
      <c r="I69" s="178"/>
      <c r="J69" s="178"/>
      <c r="K69" s="178"/>
      <c r="L69" s="178"/>
      <c r="M69" s="178"/>
      <c r="N69" s="178"/>
      <c r="O69" s="179"/>
      <c r="P69" s="144">
        <f>SUM(V69+AN69)</f>
        <v>90</v>
      </c>
      <c r="Q69" s="106"/>
      <c r="R69" s="106"/>
      <c r="S69" s="131"/>
      <c r="T69" s="131"/>
      <c r="U69" s="151"/>
      <c r="V69" s="152">
        <f t="shared" ref="V69" si="38">SUM(AQ69+AT69+AW69+AZ69)*15</f>
        <v>30</v>
      </c>
      <c r="W69" s="106"/>
      <c r="X69" s="106"/>
      <c r="Y69" s="104"/>
      <c r="Z69" s="104"/>
      <c r="AA69" s="104"/>
      <c r="AB69" s="104">
        <v>30</v>
      </c>
      <c r="AC69" s="104"/>
      <c r="AD69" s="104"/>
      <c r="AE69" s="104"/>
      <c r="AF69" s="104"/>
      <c r="AG69" s="104"/>
      <c r="AH69" s="104"/>
      <c r="AI69" s="104"/>
      <c r="AJ69" s="104"/>
      <c r="AK69" s="104"/>
      <c r="AL69" s="104"/>
      <c r="AM69" s="104"/>
      <c r="AN69" s="104">
        <v>60</v>
      </c>
      <c r="AO69" s="104"/>
      <c r="AP69" s="145"/>
      <c r="AQ69" s="146"/>
      <c r="AR69" s="104"/>
      <c r="AS69" s="104"/>
      <c r="AT69" s="104">
        <v>2</v>
      </c>
      <c r="AU69" s="104"/>
      <c r="AV69" s="104"/>
      <c r="AW69" s="104"/>
      <c r="AX69" s="104"/>
      <c r="AY69" s="104"/>
      <c r="AZ69" s="104"/>
      <c r="BA69" s="104"/>
      <c r="BB69" s="145"/>
      <c r="BC69" s="146"/>
      <c r="BD69" s="104"/>
      <c r="BE69" s="104"/>
      <c r="BF69" s="104">
        <v>3</v>
      </c>
      <c r="BG69" s="104"/>
      <c r="BH69" s="104"/>
      <c r="BI69" s="104"/>
      <c r="BJ69" s="104"/>
      <c r="BK69" s="104"/>
      <c r="BL69" s="104"/>
      <c r="BM69" s="104"/>
      <c r="BN69" s="145"/>
      <c r="BO69" s="148">
        <f t="shared" si="29"/>
        <v>3</v>
      </c>
      <c r="BP69" s="105"/>
      <c r="BQ69" s="105"/>
      <c r="BR69" s="105"/>
      <c r="BS69" s="71">
        <f t="shared" ref="BS69:BS77" si="39">SUM(V69/P69)*100</f>
        <v>33.333333333333329</v>
      </c>
      <c r="BT69" s="71">
        <f t="shared" ref="BT69:BT77" si="40">SUM(AN69/P69)*100</f>
        <v>66.666666666666657</v>
      </c>
      <c r="BU69" s="71">
        <f t="shared" ref="BU69:BU77" si="41">SUM(Y69:AJ69)</f>
        <v>30</v>
      </c>
      <c r="BV69" s="15">
        <f t="shared" si="33"/>
        <v>1</v>
      </c>
      <c r="BW69" s="15" t="str">
        <f t="shared" si="34"/>
        <v>тўғри</v>
      </c>
      <c r="BX69" s="71">
        <f t="shared" si="35"/>
        <v>3</v>
      </c>
      <c r="BY69" s="15">
        <f t="shared" si="36"/>
        <v>1</v>
      </c>
      <c r="BZ69" s="15" t="str">
        <f t="shared" si="37"/>
        <v>тўғри</v>
      </c>
    </row>
    <row r="70" spans="1:78" ht="14.25" customHeight="1" x14ac:dyDescent="0.25">
      <c r="A70" s="71">
        <v>1</v>
      </c>
      <c r="B70" s="104" t="s">
        <v>214</v>
      </c>
      <c r="C70" s="104"/>
      <c r="D70" s="149" t="s">
        <v>136</v>
      </c>
      <c r="E70" s="149"/>
      <c r="F70" s="149"/>
      <c r="G70" s="149"/>
      <c r="H70" s="149"/>
      <c r="I70" s="149"/>
      <c r="J70" s="149"/>
      <c r="K70" s="149"/>
      <c r="L70" s="149"/>
      <c r="M70" s="149"/>
      <c r="N70" s="149"/>
      <c r="O70" s="150"/>
      <c r="P70" s="144"/>
      <c r="Q70" s="106"/>
      <c r="R70" s="106"/>
      <c r="S70" s="131"/>
      <c r="T70" s="131"/>
      <c r="U70" s="151"/>
      <c r="V70" s="152"/>
      <c r="W70" s="106"/>
      <c r="X70" s="106"/>
      <c r="Y70" s="104"/>
      <c r="Z70" s="104"/>
      <c r="AA70" s="104"/>
      <c r="AB70" s="104"/>
      <c r="AC70" s="104"/>
      <c r="AD70" s="104"/>
      <c r="AE70" s="104"/>
      <c r="AF70" s="104"/>
      <c r="AG70" s="104"/>
      <c r="AH70" s="104"/>
      <c r="AI70" s="104"/>
      <c r="AJ70" s="104"/>
      <c r="AK70" s="104"/>
      <c r="AL70" s="104"/>
      <c r="AM70" s="104"/>
      <c r="AN70" s="104"/>
      <c r="AO70" s="104"/>
      <c r="AP70" s="145"/>
      <c r="AQ70" s="146"/>
      <c r="AR70" s="104"/>
      <c r="AS70" s="104"/>
      <c r="AT70" s="104"/>
      <c r="AU70" s="104"/>
      <c r="AV70" s="104"/>
      <c r="AW70" s="104"/>
      <c r="AX70" s="104"/>
      <c r="AY70" s="104"/>
      <c r="AZ70" s="104"/>
      <c r="BA70" s="104"/>
      <c r="BB70" s="145"/>
      <c r="BC70" s="146"/>
      <c r="BD70" s="104"/>
      <c r="BE70" s="104"/>
      <c r="BF70" s="104"/>
      <c r="BG70" s="104"/>
      <c r="BH70" s="104"/>
      <c r="BI70" s="104"/>
      <c r="BJ70" s="104"/>
      <c r="BK70" s="104"/>
      <c r="BL70" s="104"/>
      <c r="BM70" s="104"/>
      <c r="BN70" s="145"/>
      <c r="BO70" s="148">
        <f t="shared" si="29"/>
        <v>0</v>
      </c>
      <c r="BP70" s="105"/>
      <c r="BQ70" s="105"/>
      <c r="BR70" s="105"/>
      <c r="BS70" s="71" t="e">
        <f t="shared" si="39"/>
        <v>#DIV/0!</v>
      </c>
      <c r="BT70" s="71" t="e">
        <f t="shared" si="40"/>
        <v>#DIV/0!</v>
      </c>
      <c r="BU70" s="71">
        <f t="shared" si="41"/>
        <v>0</v>
      </c>
      <c r="BV70" s="15">
        <f t="shared" si="33"/>
        <v>1</v>
      </c>
      <c r="BW70" s="15" t="str">
        <f t="shared" si="34"/>
        <v>тўғри</v>
      </c>
      <c r="BX70" s="71">
        <f t="shared" si="35"/>
        <v>0</v>
      </c>
      <c r="BY70" s="15">
        <f t="shared" si="36"/>
        <v>1</v>
      </c>
      <c r="BZ70" s="15" t="str">
        <f t="shared" si="37"/>
        <v>тўғри</v>
      </c>
    </row>
    <row r="71" spans="1:78" ht="14.25" customHeight="1" x14ac:dyDescent="0.25">
      <c r="A71" s="71">
        <v>2</v>
      </c>
      <c r="B71" s="104" t="s">
        <v>215</v>
      </c>
      <c r="C71" s="104"/>
      <c r="D71" s="149" t="s">
        <v>137</v>
      </c>
      <c r="E71" s="149"/>
      <c r="F71" s="149"/>
      <c r="G71" s="149"/>
      <c r="H71" s="149"/>
      <c r="I71" s="149"/>
      <c r="J71" s="149"/>
      <c r="K71" s="149"/>
      <c r="L71" s="149"/>
      <c r="M71" s="149"/>
      <c r="N71" s="149"/>
      <c r="O71" s="150"/>
      <c r="P71" s="144"/>
      <c r="Q71" s="106"/>
      <c r="R71" s="106"/>
      <c r="S71" s="131"/>
      <c r="T71" s="131"/>
      <c r="U71" s="151"/>
      <c r="V71" s="152"/>
      <c r="W71" s="106"/>
      <c r="X71" s="106"/>
      <c r="Y71" s="104"/>
      <c r="Z71" s="104"/>
      <c r="AA71" s="104"/>
      <c r="AB71" s="104"/>
      <c r="AC71" s="104"/>
      <c r="AD71" s="104"/>
      <c r="AE71" s="104"/>
      <c r="AF71" s="104"/>
      <c r="AG71" s="104"/>
      <c r="AH71" s="104"/>
      <c r="AI71" s="104"/>
      <c r="AJ71" s="104"/>
      <c r="AK71" s="104"/>
      <c r="AL71" s="104"/>
      <c r="AM71" s="104"/>
      <c r="AN71" s="104"/>
      <c r="AO71" s="104"/>
      <c r="AP71" s="145"/>
      <c r="AQ71" s="146"/>
      <c r="AR71" s="104"/>
      <c r="AS71" s="104"/>
      <c r="AT71" s="104"/>
      <c r="AU71" s="104"/>
      <c r="AV71" s="104"/>
      <c r="AW71" s="104"/>
      <c r="AX71" s="104"/>
      <c r="AY71" s="104"/>
      <c r="AZ71" s="104"/>
      <c r="BA71" s="104"/>
      <c r="BB71" s="145"/>
      <c r="BC71" s="146"/>
      <c r="BD71" s="104"/>
      <c r="BE71" s="104"/>
      <c r="BF71" s="104"/>
      <c r="BG71" s="104"/>
      <c r="BH71" s="104"/>
      <c r="BI71" s="104"/>
      <c r="BJ71" s="104"/>
      <c r="BK71" s="104"/>
      <c r="BL71" s="104"/>
      <c r="BM71" s="104"/>
      <c r="BN71" s="145"/>
      <c r="BO71" s="148">
        <f t="shared" si="29"/>
        <v>0</v>
      </c>
      <c r="BP71" s="105"/>
      <c r="BQ71" s="105"/>
      <c r="BR71" s="105"/>
      <c r="BS71" s="71" t="e">
        <f t="shared" si="39"/>
        <v>#DIV/0!</v>
      </c>
      <c r="BT71" s="71" t="e">
        <f t="shared" si="40"/>
        <v>#DIV/0!</v>
      </c>
      <c r="BU71" s="71">
        <f t="shared" si="41"/>
        <v>0</v>
      </c>
      <c r="BV71" s="15">
        <f t="shared" si="33"/>
        <v>1</v>
      </c>
      <c r="BW71" s="15" t="str">
        <f t="shared" si="34"/>
        <v>тўғри</v>
      </c>
      <c r="BX71" s="71">
        <f t="shared" si="35"/>
        <v>0</v>
      </c>
      <c r="BY71" s="15">
        <f t="shared" si="36"/>
        <v>1</v>
      </c>
      <c r="BZ71" s="15" t="str">
        <f t="shared" si="37"/>
        <v>тўғри</v>
      </c>
    </row>
    <row r="72" spans="1:78" ht="14.25" customHeight="1" x14ac:dyDescent="0.25">
      <c r="A72" s="85" t="s">
        <v>11</v>
      </c>
      <c r="B72" s="104"/>
      <c r="C72" s="104"/>
      <c r="D72" s="178" t="s">
        <v>130</v>
      </c>
      <c r="E72" s="178"/>
      <c r="F72" s="178"/>
      <c r="G72" s="178"/>
      <c r="H72" s="178"/>
      <c r="I72" s="178"/>
      <c r="J72" s="178"/>
      <c r="K72" s="178"/>
      <c r="L72" s="178"/>
      <c r="M72" s="178"/>
      <c r="N72" s="178"/>
      <c r="O72" s="179"/>
      <c r="P72" s="144">
        <f t="shared" ref="P72" si="42">SUM(V72+AN72)</f>
        <v>150</v>
      </c>
      <c r="Q72" s="106"/>
      <c r="R72" s="106"/>
      <c r="S72" s="131"/>
      <c r="T72" s="131"/>
      <c r="U72" s="151"/>
      <c r="V72" s="152">
        <f t="shared" ref="V72" si="43">SUM(AQ72+AT72+AW72+AZ72)*15</f>
        <v>60</v>
      </c>
      <c r="W72" s="106"/>
      <c r="X72" s="106"/>
      <c r="Y72" s="104"/>
      <c r="Z72" s="104"/>
      <c r="AA72" s="104"/>
      <c r="AB72" s="104">
        <v>60</v>
      </c>
      <c r="AC72" s="104"/>
      <c r="AD72" s="104"/>
      <c r="AE72" s="104"/>
      <c r="AF72" s="104"/>
      <c r="AG72" s="104"/>
      <c r="AH72" s="104"/>
      <c r="AI72" s="104"/>
      <c r="AJ72" s="104"/>
      <c r="AK72" s="106"/>
      <c r="AL72" s="106"/>
      <c r="AM72" s="106"/>
      <c r="AN72" s="104">
        <v>90</v>
      </c>
      <c r="AO72" s="104"/>
      <c r="AP72" s="145"/>
      <c r="AQ72" s="146">
        <v>2</v>
      </c>
      <c r="AR72" s="104"/>
      <c r="AS72" s="104"/>
      <c r="AT72" s="104">
        <v>2</v>
      </c>
      <c r="AU72" s="104"/>
      <c r="AV72" s="104"/>
      <c r="AW72" s="104"/>
      <c r="AX72" s="104"/>
      <c r="AY72" s="104"/>
      <c r="AZ72" s="104"/>
      <c r="BA72" s="104"/>
      <c r="BB72" s="145"/>
      <c r="BC72" s="146">
        <v>2</v>
      </c>
      <c r="BD72" s="104"/>
      <c r="BE72" s="104"/>
      <c r="BF72" s="104">
        <v>3</v>
      </c>
      <c r="BG72" s="104"/>
      <c r="BH72" s="104"/>
      <c r="BI72" s="104"/>
      <c r="BJ72" s="104"/>
      <c r="BK72" s="104"/>
      <c r="BL72" s="104"/>
      <c r="BM72" s="104"/>
      <c r="BN72" s="145"/>
      <c r="BO72" s="148">
        <f t="shared" si="29"/>
        <v>5</v>
      </c>
      <c r="BP72" s="105"/>
      <c r="BQ72" s="105"/>
      <c r="BR72" s="105"/>
      <c r="BS72" s="71">
        <f t="shared" si="39"/>
        <v>40</v>
      </c>
      <c r="BT72" s="71">
        <f t="shared" si="40"/>
        <v>60</v>
      </c>
      <c r="BU72" s="71">
        <f t="shared" si="41"/>
        <v>60</v>
      </c>
      <c r="BV72" s="15">
        <f t="shared" si="33"/>
        <v>1</v>
      </c>
      <c r="BW72" s="15" t="str">
        <f t="shared" si="34"/>
        <v>тўғри</v>
      </c>
      <c r="BX72" s="71">
        <f t="shared" si="35"/>
        <v>5</v>
      </c>
      <c r="BY72" s="15">
        <f t="shared" si="36"/>
        <v>1</v>
      </c>
      <c r="BZ72" s="15" t="str">
        <f t="shared" si="37"/>
        <v>тўғри</v>
      </c>
    </row>
    <row r="73" spans="1:78" ht="28.5" customHeight="1" x14ac:dyDescent="0.25">
      <c r="A73" s="71">
        <v>1</v>
      </c>
      <c r="B73" s="104" t="s">
        <v>216</v>
      </c>
      <c r="C73" s="104"/>
      <c r="D73" s="180" t="s">
        <v>138</v>
      </c>
      <c r="E73" s="180"/>
      <c r="F73" s="180"/>
      <c r="G73" s="180"/>
      <c r="H73" s="180"/>
      <c r="I73" s="180"/>
      <c r="J73" s="180"/>
      <c r="K73" s="180"/>
      <c r="L73" s="180"/>
      <c r="M73" s="180"/>
      <c r="N73" s="180"/>
      <c r="O73" s="181"/>
      <c r="P73" s="144"/>
      <c r="Q73" s="106"/>
      <c r="R73" s="106"/>
      <c r="S73" s="131"/>
      <c r="T73" s="131"/>
      <c r="U73" s="151"/>
      <c r="V73" s="152"/>
      <c r="W73" s="106"/>
      <c r="X73" s="106"/>
      <c r="Y73" s="104"/>
      <c r="Z73" s="104"/>
      <c r="AA73" s="104"/>
      <c r="AB73" s="104"/>
      <c r="AC73" s="104"/>
      <c r="AD73" s="104"/>
      <c r="AE73" s="104"/>
      <c r="AF73" s="104"/>
      <c r="AG73" s="104"/>
      <c r="AH73" s="104"/>
      <c r="AI73" s="104"/>
      <c r="AJ73" s="104"/>
      <c r="AK73" s="106"/>
      <c r="AL73" s="106"/>
      <c r="AM73" s="106"/>
      <c r="AN73" s="104"/>
      <c r="AO73" s="104"/>
      <c r="AP73" s="145"/>
      <c r="AQ73" s="146"/>
      <c r="AR73" s="104"/>
      <c r="AS73" s="104"/>
      <c r="AT73" s="104"/>
      <c r="AU73" s="104"/>
      <c r="AV73" s="104"/>
      <c r="AW73" s="104"/>
      <c r="AX73" s="104"/>
      <c r="AY73" s="104"/>
      <c r="AZ73" s="104"/>
      <c r="BA73" s="104"/>
      <c r="BB73" s="145"/>
      <c r="BC73" s="146"/>
      <c r="BD73" s="104"/>
      <c r="BE73" s="104"/>
      <c r="BF73" s="104"/>
      <c r="BG73" s="104"/>
      <c r="BH73" s="104"/>
      <c r="BI73" s="104"/>
      <c r="BJ73" s="104"/>
      <c r="BK73" s="104"/>
      <c r="BL73" s="104"/>
      <c r="BM73" s="104"/>
      <c r="BN73" s="145"/>
      <c r="BO73" s="148">
        <f t="shared" si="29"/>
        <v>0</v>
      </c>
      <c r="BP73" s="105"/>
      <c r="BQ73" s="105"/>
      <c r="BR73" s="105"/>
      <c r="BS73" s="71" t="e">
        <f t="shared" si="39"/>
        <v>#DIV/0!</v>
      </c>
      <c r="BT73" s="71" t="e">
        <f t="shared" si="40"/>
        <v>#DIV/0!</v>
      </c>
      <c r="BU73" s="71">
        <f t="shared" si="41"/>
        <v>0</v>
      </c>
      <c r="BV73" s="15">
        <f t="shared" si="33"/>
        <v>1</v>
      </c>
      <c r="BW73" s="15" t="str">
        <f t="shared" si="34"/>
        <v>тўғри</v>
      </c>
      <c r="BX73" s="71">
        <f t="shared" si="35"/>
        <v>0</v>
      </c>
      <c r="BY73" s="15">
        <f t="shared" si="36"/>
        <v>1</v>
      </c>
      <c r="BZ73" s="15" t="str">
        <f t="shared" si="37"/>
        <v>тўғри</v>
      </c>
    </row>
    <row r="74" spans="1:78" ht="14.25" customHeight="1" x14ac:dyDescent="0.25">
      <c r="A74" s="71">
        <v>2</v>
      </c>
      <c r="B74" s="104" t="s">
        <v>217</v>
      </c>
      <c r="C74" s="104"/>
      <c r="D74" s="149" t="s">
        <v>139</v>
      </c>
      <c r="E74" s="149"/>
      <c r="F74" s="149"/>
      <c r="G74" s="149"/>
      <c r="H74" s="149"/>
      <c r="I74" s="149"/>
      <c r="J74" s="149"/>
      <c r="K74" s="149"/>
      <c r="L74" s="149"/>
      <c r="M74" s="149"/>
      <c r="N74" s="149"/>
      <c r="O74" s="150"/>
      <c r="P74" s="144"/>
      <c r="Q74" s="106"/>
      <c r="R74" s="106"/>
      <c r="S74" s="131"/>
      <c r="T74" s="131"/>
      <c r="U74" s="151"/>
      <c r="V74" s="152"/>
      <c r="W74" s="106"/>
      <c r="X74" s="106"/>
      <c r="Y74" s="104"/>
      <c r="Z74" s="104"/>
      <c r="AA74" s="104"/>
      <c r="AB74" s="104"/>
      <c r="AC74" s="104"/>
      <c r="AD74" s="104"/>
      <c r="AE74" s="104"/>
      <c r="AF74" s="104"/>
      <c r="AG74" s="104"/>
      <c r="AH74" s="104"/>
      <c r="AI74" s="104"/>
      <c r="AJ74" s="104"/>
      <c r="AK74" s="106"/>
      <c r="AL74" s="106"/>
      <c r="AM74" s="106"/>
      <c r="AN74" s="104"/>
      <c r="AO74" s="104"/>
      <c r="AP74" s="145"/>
      <c r="AQ74" s="146"/>
      <c r="AR74" s="104"/>
      <c r="AS74" s="104"/>
      <c r="AT74" s="104"/>
      <c r="AU74" s="104"/>
      <c r="AV74" s="104"/>
      <c r="AW74" s="104"/>
      <c r="AX74" s="104"/>
      <c r="AY74" s="104"/>
      <c r="AZ74" s="104"/>
      <c r="BA74" s="104"/>
      <c r="BB74" s="145"/>
      <c r="BC74" s="146"/>
      <c r="BD74" s="104"/>
      <c r="BE74" s="104"/>
      <c r="BF74" s="104"/>
      <c r="BG74" s="104"/>
      <c r="BH74" s="104"/>
      <c r="BI74" s="104"/>
      <c r="BJ74" s="104"/>
      <c r="BK74" s="104"/>
      <c r="BL74" s="104"/>
      <c r="BM74" s="104"/>
      <c r="BN74" s="145"/>
      <c r="BO74" s="148">
        <f t="shared" si="29"/>
        <v>0</v>
      </c>
      <c r="BP74" s="105"/>
      <c r="BQ74" s="105"/>
      <c r="BR74" s="105"/>
      <c r="BS74" s="71" t="e">
        <f t="shared" si="39"/>
        <v>#DIV/0!</v>
      </c>
      <c r="BT74" s="71" t="e">
        <f t="shared" si="40"/>
        <v>#DIV/0!</v>
      </c>
      <c r="BU74" s="71">
        <f t="shared" si="41"/>
        <v>0</v>
      </c>
      <c r="BV74" s="15">
        <f t="shared" si="33"/>
        <v>1</v>
      </c>
      <c r="BW74" s="15" t="str">
        <f t="shared" si="34"/>
        <v>тўғри</v>
      </c>
      <c r="BX74" s="71">
        <f t="shared" si="35"/>
        <v>0</v>
      </c>
      <c r="BY74" s="15">
        <f t="shared" si="36"/>
        <v>1</v>
      </c>
      <c r="BZ74" s="15" t="str">
        <f t="shared" si="37"/>
        <v>тўғри</v>
      </c>
    </row>
    <row r="75" spans="1:78" ht="14.25" customHeight="1" x14ac:dyDescent="0.25">
      <c r="A75" s="85" t="s">
        <v>12</v>
      </c>
      <c r="B75" s="104"/>
      <c r="C75" s="104"/>
      <c r="D75" s="178" t="s">
        <v>131</v>
      </c>
      <c r="E75" s="178"/>
      <c r="F75" s="178"/>
      <c r="G75" s="178"/>
      <c r="H75" s="178"/>
      <c r="I75" s="178"/>
      <c r="J75" s="178"/>
      <c r="K75" s="178"/>
      <c r="L75" s="178"/>
      <c r="M75" s="178"/>
      <c r="N75" s="178"/>
      <c r="O75" s="179"/>
      <c r="P75" s="144">
        <f>SUM(V75+AN75)</f>
        <v>90</v>
      </c>
      <c r="Q75" s="106"/>
      <c r="R75" s="106"/>
      <c r="S75" s="131"/>
      <c r="T75" s="131"/>
      <c r="U75" s="151"/>
      <c r="V75" s="152">
        <f t="shared" ref="V75" si="44">SUM(AQ75+AT75+AW75+AZ75)*15</f>
        <v>30</v>
      </c>
      <c r="W75" s="106"/>
      <c r="X75" s="106"/>
      <c r="Y75" s="104">
        <v>10</v>
      </c>
      <c r="Z75" s="104"/>
      <c r="AA75" s="104"/>
      <c r="AB75" s="104">
        <v>10</v>
      </c>
      <c r="AC75" s="104"/>
      <c r="AD75" s="104"/>
      <c r="AE75" s="104"/>
      <c r="AF75" s="104"/>
      <c r="AG75" s="104"/>
      <c r="AH75" s="104">
        <v>10</v>
      </c>
      <c r="AI75" s="104"/>
      <c r="AJ75" s="104"/>
      <c r="AK75" s="106"/>
      <c r="AL75" s="106"/>
      <c r="AM75" s="106"/>
      <c r="AN75" s="104">
        <v>60</v>
      </c>
      <c r="AO75" s="104"/>
      <c r="AP75" s="145"/>
      <c r="AQ75" s="146"/>
      <c r="AR75" s="104"/>
      <c r="AS75" s="104"/>
      <c r="AT75" s="104"/>
      <c r="AU75" s="104"/>
      <c r="AV75" s="104"/>
      <c r="AW75" s="104">
        <v>2</v>
      </c>
      <c r="AX75" s="104"/>
      <c r="AY75" s="104"/>
      <c r="AZ75" s="104"/>
      <c r="BA75" s="104"/>
      <c r="BB75" s="145"/>
      <c r="BC75" s="146"/>
      <c r="BD75" s="104"/>
      <c r="BE75" s="104"/>
      <c r="BF75" s="104"/>
      <c r="BG75" s="104"/>
      <c r="BH75" s="104"/>
      <c r="BI75" s="104">
        <v>3</v>
      </c>
      <c r="BJ75" s="104"/>
      <c r="BK75" s="104"/>
      <c r="BL75" s="104"/>
      <c r="BM75" s="104"/>
      <c r="BN75" s="145"/>
      <c r="BO75" s="148">
        <f t="shared" si="29"/>
        <v>3</v>
      </c>
      <c r="BP75" s="105"/>
      <c r="BQ75" s="105"/>
      <c r="BR75" s="105"/>
      <c r="BS75" s="71">
        <f t="shared" si="39"/>
        <v>33.333333333333329</v>
      </c>
      <c r="BT75" s="71">
        <f t="shared" si="40"/>
        <v>66.666666666666657</v>
      </c>
      <c r="BU75" s="71">
        <f t="shared" si="41"/>
        <v>30</v>
      </c>
      <c r="BV75" s="15">
        <f t="shared" si="33"/>
        <v>1</v>
      </c>
      <c r="BW75" s="15" t="str">
        <f t="shared" si="34"/>
        <v>тўғри</v>
      </c>
      <c r="BX75" s="71">
        <f t="shared" si="35"/>
        <v>3</v>
      </c>
      <c r="BY75" s="15">
        <f t="shared" si="36"/>
        <v>1</v>
      </c>
      <c r="BZ75" s="15" t="str">
        <f t="shared" si="37"/>
        <v>тўғри</v>
      </c>
    </row>
    <row r="76" spans="1:78" ht="14.25" customHeight="1" x14ac:dyDescent="0.25">
      <c r="A76" s="71">
        <v>1</v>
      </c>
      <c r="B76" s="104" t="s">
        <v>32</v>
      </c>
      <c r="C76" s="104"/>
      <c r="D76" s="149" t="s">
        <v>247</v>
      </c>
      <c r="E76" s="149"/>
      <c r="F76" s="149"/>
      <c r="G76" s="149"/>
      <c r="H76" s="149"/>
      <c r="I76" s="149"/>
      <c r="J76" s="149"/>
      <c r="K76" s="149"/>
      <c r="L76" s="149"/>
      <c r="M76" s="149"/>
      <c r="N76" s="149"/>
      <c r="O76" s="150"/>
      <c r="P76" s="144"/>
      <c r="Q76" s="106"/>
      <c r="R76" s="106"/>
      <c r="S76" s="131"/>
      <c r="T76" s="131"/>
      <c r="U76" s="151"/>
      <c r="V76" s="152"/>
      <c r="W76" s="106"/>
      <c r="X76" s="106"/>
      <c r="Y76" s="104"/>
      <c r="Z76" s="104"/>
      <c r="AA76" s="104"/>
      <c r="AB76" s="104"/>
      <c r="AC76" s="104"/>
      <c r="AD76" s="104"/>
      <c r="AE76" s="104"/>
      <c r="AF76" s="104"/>
      <c r="AG76" s="104"/>
      <c r="AH76" s="104"/>
      <c r="AI76" s="104"/>
      <c r="AJ76" s="104"/>
      <c r="AK76" s="106"/>
      <c r="AL76" s="106"/>
      <c r="AM76" s="106"/>
      <c r="AN76" s="104"/>
      <c r="AO76" s="104"/>
      <c r="AP76" s="145"/>
      <c r="AQ76" s="146"/>
      <c r="AR76" s="104"/>
      <c r="AS76" s="104"/>
      <c r="AT76" s="104"/>
      <c r="AU76" s="104"/>
      <c r="AV76" s="104"/>
      <c r="AW76" s="104"/>
      <c r="AX76" s="104"/>
      <c r="AY76" s="104"/>
      <c r="AZ76" s="104"/>
      <c r="BA76" s="104"/>
      <c r="BB76" s="145"/>
      <c r="BC76" s="146"/>
      <c r="BD76" s="104"/>
      <c r="BE76" s="104"/>
      <c r="BF76" s="104"/>
      <c r="BG76" s="104"/>
      <c r="BH76" s="104"/>
      <c r="BI76" s="104"/>
      <c r="BJ76" s="104"/>
      <c r="BK76" s="104"/>
      <c r="BL76" s="104"/>
      <c r="BM76" s="104"/>
      <c r="BN76" s="145"/>
      <c r="BO76" s="148">
        <f t="shared" si="29"/>
        <v>0</v>
      </c>
      <c r="BP76" s="105"/>
      <c r="BQ76" s="105"/>
      <c r="BR76" s="105"/>
      <c r="BS76" s="71" t="e">
        <f t="shared" si="39"/>
        <v>#DIV/0!</v>
      </c>
      <c r="BT76" s="71" t="e">
        <f t="shared" si="40"/>
        <v>#DIV/0!</v>
      </c>
      <c r="BU76" s="71">
        <f t="shared" si="41"/>
        <v>0</v>
      </c>
      <c r="BV76" s="15">
        <f t="shared" si="33"/>
        <v>1</v>
      </c>
      <c r="BW76" s="15" t="str">
        <f t="shared" si="34"/>
        <v>тўғри</v>
      </c>
      <c r="BX76" s="71">
        <f t="shared" si="35"/>
        <v>0</v>
      </c>
      <c r="BY76" s="15">
        <f t="shared" si="36"/>
        <v>1</v>
      </c>
      <c r="BZ76" s="15" t="str">
        <f t="shared" si="37"/>
        <v>тўғри</v>
      </c>
    </row>
    <row r="77" spans="1:78" ht="14.25" customHeight="1" x14ac:dyDescent="0.25">
      <c r="A77" s="71">
        <v>2</v>
      </c>
      <c r="B77" s="104" t="s">
        <v>33</v>
      </c>
      <c r="C77" s="104"/>
      <c r="D77" s="149" t="s">
        <v>140</v>
      </c>
      <c r="E77" s="149"/>
      <c r="F77" s="149"/>
      <c r="G77" s="149"/>
      <c r="H77" s="149"/>
      <c r="I77" s="149"/>
      <c r="J77" s="149"/>
      <c r="K77" s="149"/>
      <c r="L77" s="149"/>
      <c r="M77" s="149"/>
      <c r="N77" s="149"/>
      <c r="O77" s="150"/>
      <c r="P77" s="144"/>
      <c r="Q77" s="106"/>
      <c r="R77" s="106"/>
      <c r="S77" s="131"/>
      <c r="T77" s="131"/>
      <c r="U77" s="151"/>
      <c r="V77" s="152"/>
      <c r="W77" s="106"/>
      <c r="X77" s="106"/>
      <c r="Y77" s="104"/>
      <c r="Z77" s="104"/>
      <c r="AA77" s="104"/>
      <c r="AB77" s="104"/>
      <c r="AC77" s="104"/>
      <c r="AD77" s="104"/>
      <c r="AE77" s="104"/>
      <c r="AF77" s="104"/>
      <c r="AG77" s="104"/>
      <c r="AH77" s="104"/>
      <c r="AI77" s="104"/>
      <c r="AJ77" s="104"/>
      <c r="AK77" s="106"/>
      <c r="AL77" s="106"/>
      <c r="AM77" s="106"/>
      <c r="AN77" s="104"/>
      <c r="AO77" s="104"/>
      <c r="AP77" s="145"/>
      <c r="AQ77" s="146"/>
      <c r="AR77" s="104"/>
      <c r="AS77" s="104"/>
      <c r="AT77" s="104"/>
      <c r="AU77" s="104"/>
      <c r="AV77" s="104"/>
      <c r="AW77" s="104"/>
      <c r="AX77" s="104"/>
      <c r="AY77" s="104"/>
      <c r="AZ77" s="104"/>
      <c r="BA77" s="104"/>
      <c r="BB77" s="145"/>
      <c r="BC77" s="146"/>
      <c r="BD77" s="104"/>
      <c r="BE77" s="104"/>
      <c r="BF77" s="104"/>
      <c r="BG77" s="104"/>
      <c r="BH77" s="104"/>
      <c r="BI77" s="104"/>
      <c r="BJ77" s="104"/>
      <c r="BK77" s="104"/>
      <c r="BL77" s="104"/>
      <c r="BM77" s="104"/>
      <c r="BN77" s="145"/>
      <c r="BO77" s="148">
        <f t="shared" si="29"/>
        <v>0</v>
      </c>
      <c r="BP77" s="105"/>
      <c r="BQ77" s="105"/>
      <c r="BR77" s="105"/>
      <c r="BS77" s="71" t="e">
        <f t="shared" si="39"/>
        <v>#DIV/0!</v>
      </c>
      <c r="BT77" s="71" t="e">
        <f t="shared" si="40"/>
        <v>#DIV/0!</v>
      </c>
      <c r="BU77" s="71">
        <f t="shared" si="41"/>
        <v>0</v>
      </c>
      <c r="BV77" s="15">
        <f t="shared" si="33"/>
        <v>1</v>
      </c>
      <c r="BW77" s="15" t="str">
        <f t="shared" si="34"/>
        <v>тўғри</v>
      </c>
      <c r="BX77" s="71">
        <f t="shared" si="35"/>
        <v>0</v>
      </c>
      <c r="BY77" s="15">
        <f t="shared" si="36"/>
        <v>1</v>
      </c>
      <c r="BZ77" s="15" t="str">
        <f t="shared" si="37"/>
        <v>тўғри</v>
      </c>
    </row>
    <row r="78" spans="1:78" ht="14.25" customHeight="1" x14ac:dyDescent="0.25">
      <c r="A78" s="71"/>
      <c r="B78" s="104"/>
      <c r="C78" s="104"/>
      <c r="D78" s="184" t="s">
        <v>133</v>
      </c>
      <c r="E78" s="184"/>
      <c r="F78" s="184"/>
      <c r="G78" s="184"/>
      <c r="H78" s="184"/>
      <c r="I78" s="184"/>
      <c r="J78" s="184"/>
      <c r="K78" s="184"/>
      <c r="L78" s="184"/>
      <c r="M78" s="184"/>
      <c r="N78" s="184"/>
      <c r="O78" s="185"/>
      <c r="P78" s="144">
        <f>SUM(V78+AN78)</f>
        <v>1800</v>
      </c>
      <c r="Q78" s="106"/>
      <c r="R78" s="106"/>
      <c r="S78" s="131">
        <f>P78/3600*100</f>
        <v>50</v>
      </c>
      <c r="T78" s="131"/>
      <c r="U78" s="151"/>
      <c r="V78" s="152">
        <f t="shared" ref="V78" si="45">SUM(AQ78+AT78+AW78+AZ78)*15</f>
        <v>690</v>
      </c>
      <c r="W78" s="106"/>
      <c r="X78" s="106"/>
      <c r="Y78" s="106">
        <f>SUM(Y68+Y57)</f>
        <v>120</v>
      </c>
      <c r="Z78" s="106"/>
      <c r="AA78" s="106"/>
      <c r="AB78" s="106">
        <f>SUM(AB68+AB57)</f>
        <v>206</v>
      </c>
      <c r="AC78" s="106"/>
      <c r="AD78" s="106"/>
      <c r="AE78" s="106">
        <f>SUM(AE68+AE57)</f>
        <v>300</v>
      </c>
      <c r="AF78" s="106"/>
      <c r="AG78" s="106"/>
      <c r="AH78" s="106">
        <f>SUM(AH68+AH57)</f>
        <v>64</v>
      </c>
      <c r="AI78" s="106"/>
      <c r="AJ78" s="106"/>
      <c r="AK78" s="106"/>
      <c r="AL78" s="106"/>
      <c r="AM78" s="106"/>
      <c r="AN78" s="106">
        <f>SUM(AN68+AN57)</f>
        <v>1110</v>
      </c>
      <c r="AO78" s="106"/>
      <c r="AP78" s="147"/>
      <c r="AQ78" s="144">
        <f>SUM(AQ68+AQ57)</f>
        <v>18</v>
      </c>
      <c r="AR78" s="106"/>
      <c r="AS78" s="106"/>
      <c r="AT78" s="106">
        <f>SUM(AT68+AT57)</f>
        <v>10</v>
      </c>
      <c r="AU78" s="106"/>
      <c r="AV78" s="106"/>
      <c r="AW78" s="106">
        <f>SUM(AW68+AW57)</f>
        <v>12</v>
      </c>
      <c r="AX78" s="106"/>
      <c r="AY78" s="106"/>
      <c r="AZ78" s="106">
        <f>SUM(AZ68+AZ57)</f>
        <v>6</v>
      </c>
      <c r="BA78" s="106"/>
      <c r="BB78" s="147"/>
      <c r="BC78" s="144">
        <f>SUM(BC68+BC57)</f>
        <v>24</v>
      </c>
      <c r="BD78" s="106"/>
      <c r="BE78" s="106"/>
      <c r="BF78" s="106">
        <f>SUM(BF68+BF57)</f>
        <v>13</v>
      </c>
      <c r="BG78" s="106"/>
      <c r="BH78" s="106"/>
      <c r="BI78" s="106">
        <f>SUM(BI68+BI57)</f>
        <v>15</v>
      </c>
      <c r="BJ78" s="106"/>
      <c r="BK78" s="106"/>
      <c r="BL78" s="106">
        <f>SUM(BL68+BL57)</f>
        <v>8</v>
      </c>
      <c r="BM78" s="106"/>
      <c r="BN78" s="147"/>
      <c r="BO78" s="148">
        <f>SUM(P78/30)</f>
        <v>60</v>
      </c>
      <c r="BP78" s="105"/>
      <c r="BQ78" s="105"/>
      <c r="BR78" s="105"/>
      <c r="BS78" s="71">
        <f>SUM(V78/P78)*100</f>
        <v>38.333333333333336</v>
      </c>
      <c r="BT78" s="71">
        <f>SUM(AN78/P78)*100</f>
        <v>61.666666666666671</v>
      </c>
      <c r="BU78" s="71">
        <f>SUM(Y78:AJ78)</f>
        <v>690</v>
      </c>
      <c r="BV78" s="15">
        <f>IF(BU78=V78,1,0)</f>
        <v>1</v>
      </c>
      <c r="BW78" s="15" t="str">
        <f>IF(BV78=1,"тўғри","хато")</f>
        <v>тўғри</v>
      </c>
      <c r="BX78" s="71">
        <f>SUM(BC78:BN78)</f>
        <v>60</v>
      </c>
      <c r="BY78" s="15">
        <f>IF(BX78=BO78,1,0)</f>
        <v>1</v>
      </c>
      <c r="BZ78" s="15" t="str">
        <f>IF(BY78=1,"тўғри","хато")</f>
        <v>тўғри</v>
      </c>
    </row>
    <row r="79" spans="1:78" ht="14.25" customHeight="1" x14ac:dyDescent="0.25">
      <c r="A79" s="72" t="s">
        <v>49</v>
      </c>
      <c r="B79" s="104"/>
      <c r="C79" s="104"/>
      <c r="D79" s="182" t="s">
        <v>132</v>
      </c>
      <c r="E79" s="182"/>
      <c r="F79" s="182"/>
      <c r="G79" s="182"/>
      <c r="H79" s="182"/>
      <c r="I79" s="182"/>
      <c r="J79" s="182"/>
      <c r="K79" s="182"/>
      <c r="L79" s="182"/>
      <c r="M79" s="182"/>
      <c r="N79" s="182"/>
      <c r="O79" s="183"/>
      <c r="P79" s="144">
        <f>SUM(V79+AN79)</f>
        <v>1800</v>
      </c>
      <c r="Q79" s="106"/>
      <c r="R79" s="106"/>
      <c r="S79" s="131">
        <f>P79/3600*100</f>
        <v>50</v>
      </c>
      <c r="T79" s="131"/>
      <c r="U79" s="151"/>
      <c r="V79" s="152">
        <f>SUM(V80:X82)</f>
        <v>750</v>
      </c>
      <c r="W79" s="106"/>
      <c r="X79" s="106"/>
      <c r="Y79" s="106"/>
      <c r="Z79" s="106"/>
      <c r="AA79" s="106"/>
      <c r="AB79" s="106"/>
      <c r="AC79" s="106"/>
      <c r="AD79" s="106"/>
      <c r="AE79" s="106"/>
      <c r="AF79" s="106"/>
      <c r="AG79" s="106"/>
      <c r="AH79" s="106"/>
      <c r="AI79" s="106"/>
      <c r="AJ79" s="106"/>
      <c r="AK79" s="106"/>
      <c r="AL79" s="106"/>
      <c r="AM79" s="106"/>
      <c r="AN79" s="106">
        <f>SUM(AN80:AP82)</f>
        <v>1050</v>
      </c>
      <c r="AO79" s="106"/>
      <c r="AP79" s="147"/>
      <c r="AQ79" s="144">
        <f>SUM(AQ80:AS82)</f>
        <v>6</v>
      </c>
      <c r="AR79" s="106"/>
      <c r="AS79" s="106"/>
      <c r="AT79" s="106">
        <f>SUM(AT80:AV82)</f>
        <v>14</v>
      </c>
      <c r="AU79" s="106"/>
      <c r="AV79" s="106"/>
      <c r="AW79" s="106">
        <f>SUM(AW80:AY82)</f>
        <v>12</v>
      </c>
      <c r="AX79" s="106"/>
      <c r="AY79" s="106"/>
      <c r="AZ79" s="106">
        <f>SUM(AZ80:BB82)</f>
        <v>18</v>
      </c>
      <c r="BA79" s="106"/>
      <c r="BB79" s="147"/>
      <c r="BC79" s="144">
        <f>SUM(BC80:BE82)</f>
        <v>6</v>
      </c>
      <c r="BD79" s="106"/>
      <c r="BE79" s="106"/>
      <c r="BF79" s="106">
        <f>SUM(BF80:BH82)</f>
        <v>17</v>
      </c>
      <c r="BG79" s="106"/>
      <c r="BH79" s="106"/>
      <c r="BI79" s="106">
        <f>SUM(BI80:BK82)</f>
        <v>15</v>
      </c>
      <c r="BJ79" s="106"/>
      <c r="BK79" s="106"/>
      <c r="BL79" s="106">
        <f>SUM(BL80:BN82)</f>
        <v>22</v>
      </c>
      <c r="BM79" s="106"/>
      <c r="BN79" s="147"/>
      <c r="BO79" s="148">
        <f>SUM(P79/30)</f>
        <v>60</v>
      </c>
      <c r="BP79" s="105"/>
      <c r="BQ79" s="105"/>
      <c r="BR79" s="105"/>
      <c r="BS79" s="71">
        <f t="shared" si="30"/>
        <v>41.666666666666671</v>
      </c>
      <c r="BT79" s="71">
        <f t="shared" si="31"/>
        <v>58.333333333333336</v>
      </c>
      <c r="BU79" s="71"/>
      <c r="BV79" s="15"/>
      <c r="BW79" s="15"/>
      <c r="BX79" s="71">
        <f>SUM(BC79:BN79)</f>
        <v>60</v>
      </c>
      <c r="BY79" s="15">
        <f t="shared" si="36"/>
        <v>1</v>
      </c>
      <c r="BZ79" s="15" t="str">
        <f t="shared" ref="BZ79:BZ81" si="46">IF(BY79=1,"тўғри","хато")</f>
        <v>тўғри</v>
      </c>
    </row>
    <row r="80" spans="1:78" ht="28.5" customHeight="1" x14ac:dyDescent="0.25">
      <c r="A80" s="14" t="s">
        <v>50</v>
      </c>
      <c r="B80" s="104"/>
      <c r="C80" s="104"/>
      <c r="D80" s="180" t="s">
        <v>99</v>
      </c>
      <c r="E80" s="180"/>
      <c r="F80" s="180"/>
      <c r="G80" s="180"/>
      <c r="H80" s="180"/>
      <c r="I80" s="180"/>
      <c r="J80" s="180"/>
      <c r="K80" s="180"/>
      <c r="L80" s="180"/>
      <c r="M80" s="180"/>
      <c r="N80" s="180"/>
      <c r="O80" s="181"/>
      <c r="P80" s="144">
        <f>SUM(V80+AN80)</f>
        <v>1080</v>
      </c>
      <c r="Q80" s="106"/>
      <c r="R80" s="106"/>
      <c r="S80" s="106"/>
      <c r="T80" s="106"/>
      <c r="U80" s="147"/>
      <c r="V80" s="152">
        <f t="shared" ref="V80:V82" si="47">SUM(AQ80+AT80+AW80+AZ80)*15</f>
        <v>480</v>
      </c>
      <c r="W80" s="106"/>
      <c r="X80" s="106"/>
      <c r="Y80" s="106"/>
      <c r="Z80" s="106"/>
      <c r="AA80" s="106"/>
      <c r="AB80" s="106"/>
      <c r="AC80" s="106"/>
      <c r="AD80" s="106"/>
      <c r="AE80" s="106"/>
      <c r="AF80" s="106"/>
      <c r="AG80" s="106"/>
      <c r="AH80" s="106"/>
      <c r="AI80" s="106"/>
      <c r="AJ80" s="106"/>
      <c r="AK80" s="106"/>
      <c r="AL80" s="106"/>
      <c r="AM80" s="106"/>
      <c r="AN80" s="104">
        <v>600</v>
      </c>
      <c r="AO80" s="104"/>
      <c r="AP80" s="145"/>
      <c r="AQ80" s="146">
        <v>4</v>
      </c>
      <c r="AR80" s="104"/>
      <c r="AS80" s="104"/>
      <c r="AT80" s="104">
        <v>6</v>
      </c>
      <c r="AU80" s="104"/>
      <c r="AV80" s="104"/>
      <c r="AW80" s="104">
        <v>10</v>
      </c>
      <c r="AX80" s="104"/>
      <c r="AY80" s="104"/>
      <c r="AZ80" s="104">
        <v>12</v>
      </c>
      <c r="BA80" s="104"/>
      <c r="BB80" s="145"/>
      <c r="BC80" s="146">
        <v>4</v>
      </c>
      <c r="BD80" s="104"/>
      <c r="BE80" s="104"/>
      <c r="BF80" s="104">
        <v>6</v>
      </c>
      <c r="BG80" s="104"/>
      <c r="BH80" s="104"/>
      <c r="BI80" s="104">
        <v>12</v>
      </c>
      <c r="BJ80" s="104"/>
      <c r="BK80" s="104"/>
      <c r="BL80" s="104">
        <v>14</v>
      </c>
      <c r="BM80" s="104"/>
      <c r="BN80" s="145"/>
      <c r="BO80" s="148">
        <f t="shared" ref="BO80:BO82" si="48">SUM(P80/30)</f>
        <v>36</v>
      </c>
      <c r="BP80" s="105"/>
      <c r="BQ80" s="105"/>
      <c r="BR80" s="105"/>
      <c r="BS80" s="71">
        <f t="shared" ref="BS80:BS82" si="49">SUM(V80/P80)*100</f>
        <v>44.444444444444443</v>
      </c>
      <c r="BT80" s="71">
        <f t="shared" ref="BT80:BT82" si="50">SUM(AN80/P80)*100</f>
        <v>55.555555555555557</v>
      </c>
      <c r="BU80" s="71"/>
      <c r="BV80" s="15"/>
      <c r="BW80" s="15" t="str">
        <f>IF(BV80=1,"тўғри","хато")</f>
        <v>хато</v>
      </c>
      <c r="BX80" s="71">
        <f>SUM(BC80:BN80)</f>
        <v>36</v>
      </c>
      <c r="BY80" s="15">
        <f t="shared" si="36"/>
        <v>1</v>
      </c>
      <c r="BZ80" s="15" t="str">
        <f t="shared" si="46"/>
        <v>тўғри</v>
      </c>
    </row>
    <row r="81" spans="1:78" ht="14.25" customHeight="1" x14ac:dyDescent="0.25">
      <c r="A81" s="14" t="s">
        <v>51</v>
      </c>
      <c r="B81" s="104"/>
      <c r="C81" s="104"/>
      <c r="D81" s="149" t="s">
        <v>134</v>
      </c>
      <c r="E81" s="149"/>
      <c r="F81" s="149"/>
      <c r="G81" s="149"/>
      <c r="H81" s="149"/>
      <c r="I81" s="149"/>
      <c r="J81" s="149"/>
      <c r="K81" s="149"/>
      <c r="L81" s="149"/>
      <c r="M81" s="149"/>
      <c r="N81" s="149"/>
      <c r="O81" s="150"/>
      <c r="P81" s="144">
        <f t="shared" ref="P81:P82" si="51">SUM(V81+AN81)</f>
        <v>240</v>
      </c>
      <c r="Q81" s="106"/>
      <c r="R81" s="106"/>
      <c r="S81" s="106"/>
      <c r="T81" s="106"/>
      <c r="U81" s="147"/>
      <c r="V81" s="152">
        <f t="shared" si="47"/>
        <v>90</v>
      </c>
      <c r="W81" s="106"/>
      <c r="X81" s="106"/>
      <c r="Y81" s="106"/>
      <c r="Z81" s="106"/>
      <c r="AA81" s="106"/>
      <c r="AB81" s="106"/>
      <c r="AC81" s="106"/>
      <c r="AD81" s="106"/>
      <c r="AE81" s="106"/>
      <c r="AF81" s="106"/>
      <c r="AG81" s="106"/>
      <c r="AH81" s="106"/>
      <c r="AI81" s="106"/>
      <c r="AJ81" s="106"/>
      <c r="AK81" s="106"/>
      <c r="AL81" s="106"/>
      <c r="AM81" s="106"/>
      <c r="AN81" s="104">
        <v>150</v>
      </c>
      <c r="AO81" s="104"/>
      <c r="AP81" s="145"/>
      <c r="AQ81" s="146">
        <v>2</v>
      </c>
      <c r="AR81" s="104"/>
      <c r="AS81" s="104"/>
      <c r="AT81" s="104">
        <v>2</v>
      </c>
      <c r="AU81" s="104"/>
      <c r="AV81" s="104"/>
      <c r="AW81" s="104">
        <v>2</v>
      </c>
      <c r="AX81" s="104"/>
      <c r="AY81" s="104"/>
      <c r="AZ81" s="104"/>
      <c r="BA81" s="104"/>
      <c r="BB81" s="145"/>
      <c r="BC81" s="146">
        <v>2</v>
      </c>
      <c r="BD81" s="104"/>
      <c r="BE81" s="104"/>
      <c r="BF81" s="104">
        <v>3</v>
      </c>
      <c r="BG81" s="104"/>
      <c r="BH81" s="104"/>
      <c r="BI81" s="104">
        <v>3</v>
      </c>
      <c r="BJ81" s="104"/>
      <c r="BK81" s="104"/>
      <c r="BL81" s="104"/>
      <c r="BM81" s="104"/>
      <c r="BN81" s="145"/>
      <c r="BO81" s="148">
        <f t="shared" si="48"/>
        <v>8</v>
      </c>
      <c r="BP81" s="105"/>
      <c r="BQ81" s="105"/>
      <c r="BR81" s="105"/>
      <c r="BS81" s="71">
        <f t="shared" si="49"/>
        <v>37.5</v>
      </c>
      <c r="BT81" s="71">
        <f t="shared" si="50"/>
        <v>62.5</v>
      </c>
      <c r="BU81" s="71"/>
      <c r="BV81" s="15"/>
      <c r="BW81" s="15" t="str">
        <f t="shared" ref="BW81:BW82" si="52">IF(BV81=1,"тўғри","хато")</f>
        <v>хато</v>
      </c>
      <c r="BX81" s="71">
        <f t="shared" ref="BX81:BX82" si="53">SUM(BC81:BN81)</f>
        <v>8</v>
      </c>
      <c r="BY81" s="15">
        <f t="shared" si="36"/>
        <v>1</v>
      </c>
      <c r="BZ81" s="15" t="str">
        <f t="shared" si="46"/>
        <v>тўғри</v>
      </c>
    </row>
    <row r="82" spans="1:78" ht="14.25" customHeight="1" x14ac:dyDescent="0.25">
      <c r="A82" s="14" t="s">
        <v>52</v>
      </c>
      <c r="B82" s="104"/>
      <c r="C82" s="104"/>
      <c r="D82" s="149" t="s">
        <v>135</v>
      </c>
      <c r="E82" s="149"/>
      <c r="F82" s="149"/>
      <c r="G82" s="149"/>
      <c r="H82" s="149"/>
      <c r="I82" s="149"/>
      <c r="J82" s="149"/>
      <c r="K82" s="149"/>
      <c r="L82" s="149"/>
      <c r="M82" s="149"/>
      <c r="N82" s="149"/>
      <c r="O82" s="150"/>
      <c r="P82" s="144">
        <f t="shared" si="51"/>
        <v>480</v>
      </c>
      <c r="Q82" s="106"/>
      <c r="R82" s="106"/>
      <c r="S82" s="106"/>
      <c r="T82" s="106"/>
      <c r="U82" s="147"/>
      <c r="V82" s="152">
        <f t="shared" si="47"/>
        <v>180</v>
      </c>
      <c r="W82" s="106"/>
      <c r="X82" s="106"/>
      <c r="Y82" s="106"/>
      <c r="Z82" s="106"/>
      <c r="AA82" s="106"/>
      <c r="AB82" s="106"/>
      <c r="AC82" s="106"/>
      <c r="AD82" s="106"/>
      <c r="AE82" s="106"/>
      <c r="AF82" s="106"/>
      <c r="AG82" s="106"/>
      <c r="AH82" s="106"/>
      <c r="AI82" s="106"/>
      <c r="AJ82" s="106"/>
      <c r="AK82" s="106"/>
      <c r="AL82" s="106"/>
      <c r="AM82" s="106"/>
      <c r="AN82" s="104">
        <v>300</v>
      </c>
      <c r="AO82" s="104"/>
      <c r="AP82" s="145"/>
      <c r="AQ82" s="146"/>
      <c r="AR82" s="104"/>
      <c r="AS82" s="104"/>
      <c r="AT82" s="104">
        <v>6</v>
      </c>
      <c r="AU82" s="104"/>
      <c r="AV82" s="104"/>
      <c r="AW82" s="104"/>
      <c r="AX82" s="104"/>
      <c r="AY82" s="104"/>
      <c r="AZ82" s="104">
        <v>6</v>
      </c>
      <c r="BA82" s="104"/>
      <c r="BB82" s="145"/>
      <c r="BC82" s="146"/>
      <c r="BD82" s="104"/>
      <c r="BE82" s="104"/>
      <c r="BF82" s="104">
        <v>8</v>
      </c>
      <c r="BG82" s="104"/>
      <c r="BH82" s="104"/>
      <c r="BI82" s="104"/>
      <c r="BJ82" s="104"/>
      <c r="BK82" s="104"/>
      <c r="BL82" s="104">
        <v>8</v>
      </c>
      <c r="BM82" s="104"/>
      <c r="BN82" s="145"/>
      <c r="BO82" s="148">
        <f t="shared" si="48"/>
        <v>16</v>
      </c>
      <c r="BP82" s="105"/>
      <c r="BQ82" s="105"/>
      <c r="BR82" s="105"/>
      <c r="BS82" s="71">
        <f t="shared" si="49"/>
        <v>37.5</v>
      </c>
      <c r="BT82" s="71">
        <f t="shared" si="50"/>
        <v>62.5</v>
      </c>
      <c r="BU82" s="71"/>
      <c r="BV82" s="15"/>
      <c r="BW82" s="15" t="str">
        <f t="shared" si="52"/>
        <v>хато</v>
      </c>
      <c r="BX82" s="71">
        <f t="shared" si="53"/>
        <v>16</v>
      </c>
      <c r="BY82" s="15">
        <f t="shared" si="36"/>
        <v>1</v>
      </c>
      <c r="BZ82" s="15" t="str">
        <f>IF(BY82=1,"тўғри","хато")</f>
        <v>тўғри</v>
      </c>
    </row>
    <row r="83" spans="1:78" ht="14.25" customHeight="1" x14ac:dyDescent="0.25">
      <c r="A83" s="71"/>
      <c r="B83" s="130"/>
      <c r="C83" s="130"/>
      <c r="D83" s="184" t="s">
        <v>133</v>
      </c>
      <c r="E83" s="184"/>
      <c r="F83" s="184"/>
      <c r="G83" s="184"/>
      <c r="H83" s="184"/>
      <c r="I83" s="184"/>
      <c r="J83" s="184"/>
      <c r="K83" s="184"/>
      <c r="L83" s="184"/>
      <c r="M83" s="184"/>
      <c r="N83" s="184"/>
      <c r="O83" s="185"/>
      <c r="P83" s="144">
        <f>SUM(P79,P78)</f>
        <v>3600</v>
      </c>
      <c r="Q83" s="106"/>
      <c r="R83" s="106"/>
      <c r="S83" s="131">
        <f>P83/3600*100</f>
        <v>100</v>
      </c>
      <c r="T83" s="131"/>
      <c r="U83" s="151"/>
      <c r="V83" s="152">
        <f>SUM(V79+V77)</f>
        <v>750</v>
      </c>
      <c r="W83" s="106"/>
      <c r="X83" s="106"/>
      <c r="Y83" s="106"/>
      <c r="Z83" s="106"/>
      <c r="AA83" s="106"/>
      <c r="AB83" s="106"/>
      <c r="AC83" s="106"/>
      <c r="AD83" s="106"/>
      <c r="AE83" s="106"/>
      <c r="AF83" s="106"/>
      <c r="AG83" s="106"/>
      <c r="AH83" s="106"/>
      <c r="AI83" s="106"/>
      <c r="AJ83" s="106"/>
      <c r="AK83" s="106"/>
      <c r="AL83" s="106"/>
      <c r="AM83" s="106"/>
      <c r="AN83" s="106">
        <f>SUM(AN79+AN78)</f>
        <v>2160</v>
      </c>
      <c r="AO83" s="106"/>
      <c r="AP83" s="147"/>
      <c r="AQ83" s="144">
        <f>SUM(AQ79+AQ78)</f>
        <v>24</v>
      </c>
      <c r="AR83" s="106"/>
      <c r="AS83" s="106"/>
      <c r="AT83" s="106">
        <f t="shared" ref="AT83" si="54">SUM(AT79+AT78)</f>
        <v>24</v>
      </c>
      <c r="AU83" s="106"/>
      <c r="AV83" s="106"/>
      <c r="AW83" s="106">
        <f t="shared" ref="AW83" si="55">SUM(AW79+AW78)</f>
        <v>24</v>
      </c>
      <c r="AX83" s="106"/>
      <c r="AY83" s="106"/>
      <c r="AZ83" s="106">
        <f t="shared" ref="AZ83" si="56">SUM(AZ79+AZ78)</f>
        <v>24</v>
      </c>
      <c r="BA83" s="106"/>
      <c r="BB83" s="147"/>
      <c r="BC83" s="144">
        <f t="shared" ref="BC83" si="57">SUM(BC79+BC78)</f>
        <v>30</v>
      </c>
      <c r="BD83" s="106"/>
      <c r="BE83" s="106"/>
      <c r="BF83" s="106">
        <f t="shared" ref="BF83" si="58">SUM(BF79+BF78)</f>
        <v>30</v>
      </c>
      <c r="BG83" s="106"/>
      <c r="BH83" s="106"/>
      <c r="BI83" s="106">
        <f t="shared" ref="BI83" si="59">SUM(BI79+BI78)</f>
        <v>30</v>
      </c>
      <c r="BJ83" s="106"/>
      <c r="BK83" s="106"/>
      <c r="BL83" s="106">
        <f t="shared" ref="BL83" si="60">SUM(BL79+BL78)</f>
        <v>30</v>
      </c>
      <c r="BM83" s="106"/>
      <c r="BN83" s="147"/>
      <c r="BO83" s="148">
        <f t="shared" si="29"/>
        <v>120</v>
      </c>
      <c r="BP83" s="105"/>
      <c r="BQ83" s="105"/>
      <c r="BR83" s="105"/>
      <c r="BS83" s="71">
        <f t="shared" si="30"/>
        <v>20.833333333333336</v>
      </c>
      <c r="BT83" s="71">
        <f t="shared" si="31"/>
        <v>60</v>
      </c>
      <c r="BU83" s="71"/>
      <c r="BV83" s="15"/>
      <c r="BW83" s="15"/>
      <c r="BX83" s="71">
        <f t="shared" si="35"/>
        <v>120</v>
      </c>
      <c r="BY83" s="15">
        <f t="shared" si="36"/>
        <v>1</v>
      </c>
      <c r="BZ83" s="15" t="str">
        <f t="shared" si="37"/>
        <v>тўғри</v>
      </c>
    </row>
    <row r="84" spans="1:78" ht="14.25" customHeight="1" x14ac:dyDescent="0.25">
      <c r="A84" s="1"/>
      <c r="B84" s="16"/>
      <c r="C84" s="16"/>
      <c r="D84" s="17"/>
      <c r="E84" s="17"/>
      <c r="F84" s="17"/>
      <c r="G84" s="17"/>
      <c r="H84" s="17"/>
      <c r="I84" s="17"/>
      <c r="J84" s="17"/>
      <c r="K84" s="17"/>
      <c r="L84" s="17"/>
      <c r="M84" s="17"/>
      <c r="N84" s="17"/>
      <c r="O84" s="17"/>
      <c r="P84" s="18"/>
      <c r="Q84" s="18"/>
      <c r="R84" s="18"/>
      <c r="S84" s="18"/>
      <c r="T84" s="18"/>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
      <c r="BC84" s="1"/>
      <c r="BD84" s="1"/>
      <c r="BE84" s="1"/>
      <c r="BF84" s="1"/>
      <c r="BG84" s="1"/>
      <c r="BH84" s="1"/>
      <c r="BI84" s="1"/>
      <c r="BJ84" s="1"/>
      <c r="BK84" s="1"/>
      <c r="BL84" s="1"/>
      <c r="BM84" s="1"/>
      <c r="BN84" s="1"/>
      <c r="BO84" s="20"/>
      <c r="BP84" s="20"/>
      <c r="BQ84" s="20"/>
      <c r="BR84" s="20"/>
    </row>
    <row r="85" spans="1:78" ht="14.25" customHeight="1" thickBot="1" x14ac:dyDescent="0.3">
      <c r="A85" s="1"/>
      <c r="B85" s="16"/>
      <c r="C85" s="16"/>
      <c r="D85" s="17"/>
      <c r="E85" s="17"/>
      <c r="F85" s="17"/>
      <c r="G85" s="17"/>
      <c r="H85" s="17"/>
      <c r="I85" s="17"/>
      <c r="J85" s="17"/>
      <c r="K85" s="17"/>
      <c r="L85" s="17"/>
      <c r="M85" s="17"/>
      <c r="N85" s="17"/>
      <c r="O85" s="17"/>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
      <c r="BC85" s="1"/>
      <c r="BD85" s="1"/>
      <c r="BE85" s="1"/>
      <c r="BF85" s="1"/>
      <c r="BG85" s="1"/>
      <c r="BH85" s="1"/>
      <c r="BI85" s="1"/>
      <c r="BJ85" s="1"/>
      <c r="BK85" s="1"/>
      <c r="BL85" s="1"/>
      <c r="BM85" s="1"/>
      <c r="BN85" s="1"/>
      <c r="BO85" s="20"/>
      <c r="BP85" s="20"/>
      <c r="BQ85" s="20"/>
      <c r="BR85" s="20"/>
    </row>
    <row r="86" spans="1:78" s="24" customFormat="1" ht="14.25" customHeight="1" x14ac:dyDescent="0.35">
      <c r="A86" s="21"/>
      <c r="B86" s="16"/>
      <c r="C86" s="16"/>
      <c r="D86" s="74"/>
      <c r="E86" s="74"/>
      <c r="F86" s="74"/>
      <c r="G86" s="74"/>
      <c r="H86" s="74"/>
      <c r="I86" s="74"/>
      <c r="J86" s="74"/>
      <c r="K86" s="74"/>
      <c r="L86" s="74"/>
      <c r="M86" s="74"/>
      <c r="N86" s="74"/>
      <c r="O86" s="74"/>
      <c r="P86" s="22"/>
      <c r="Q86" s="22"/>
      <c r="R86" s="22"/>
      <c r="S86" s="22"/>
      <c r="T86" s="22"/>
      <c r="U86" s="22"/>
      <c r="V86" s="191" t="s">
        <v>129</v>
      </c>
      <c r="W86" s="192"/>
      <c r="X86" s="192"/>
      <c r="Y86" s="192"/>
      <c r="Z86" s="192"/>
      <c r="AA86" s="192"/>
      <c r="AB86" s="192"/>
      <c r="AC86" s="192"/>
      <c r="AD86" s="192"/>
      <c r="AE86" s="192"/>
      <c r="AF86" s="192"/>
      <c r="AG86" s="192"/>
      <c r="AH86" s="192"/>
      <c r="AI86" s="192"/>
      <c r="AJ86" s="192"/>
      <c r="AK86" s="192"/>
      <c r="AL86" s="192"/>
      <c r="AM86" s="192"/>
      <c r="AN86" s="192"/>
      <c r="AO86" s="192"/>
      <c r="AP86" s="192"/>
      <c r="AQ86" s="192"/>
      <c r="AR86" s="192"/>
      <c r="AS86" s="192"/>
      <c r="AT86" s="192"/>
      <c r="AU86" s="192"/>
      <c r="AV86" s="192"/>
      <c r="AW86" s="192"/>
      <c r="AX86" s="192"/>
      <c r="AY86" s="192"/>
      <c r="AZ86" s="193"/>
      <c r="BA86" s="22"/>
      <c r="BB86" s="22"/>
      <c r="BC86" s="22"/>
      <c r="BD86" s="22"/>
      <c r="BE86" s="22"/>
      <c r="BF86" s="22"/>
      <c r="BG86" s="22"/>
      <c r="BH86" s="22"/>
      <c r="BI86" s="22"/>
      <c r="BJ86" s="22"/>
      <c r="BK86" s="22"/>
      <c r="BL86" s="22"/>
      <c r="BM86" s="22"/>
      <c r="BN86" s="22"/>
      <c r="BO86" s="23"/>
      <c r="BP86" s="23"/>
      <c r="BQ86" s="23"/>
      <c r="BR86" s="23"/>
      <c r="BS86" s="1"/>
      <c r="BT86" s="1"/>
      <c r="BU86" s="1"/>
      <c r="BV86" s="1"/>
      <c r="BW86" s="1"/>
      <c r="BX86" s="1"/>
      <c r="BY86" s="1"/>
      <c r="BZ86" s="1"/>
    </row>
    <row r="87" spans="1:78" s="24" customFormat="1" ht="14.25" customHeight="1" x14ac:dyDescent="0.35">
      <c r="A87" s="21"/>
      <c r="B87" s="16"/>
      <c r="C87" s="16"/>
      <c r="D87" s="74"/>
      <c r="E87" s="74"/>
      <c r="F87" s="74"/>
      <c r="G87" s="74"/>
      <c r="H87" s="74"/>
      <c r="I87" s="74"/>
      <c r="J87" s="74"/>
      <c r="K87" s="74"/>
      <c r="L87" s="74"/>
      <c r="M87" s="74"/>
      <c r="N87" s="74"/>
      <c r="O87" s="74"/>
      <c r="P87" s="22"/>
      <c r="Q87" s="22"/>
      <c r="R87" s="22"/>
      <c r="S87" s="22"/>
      <c r="T87" s="22"/>
      <c r="U87" s="22"/>
      <c r="V87" s="194"/>
      <c r="W87" s="195"/>
      <c r="X87" s="195"/>
      <c r="Y87" s="195"/>
      <c r="Z87" s="195"/>
      <c r="AA87" s="195"/>
      <c r="AB87" s="195"/>
      <c r="AC87" s="195"/>
      <c r="AD87" s="195"/>
      <c r="AE87" s="195"/>
      <c r="AF87" s="195"/>
      <c r="AG87" s="195"/>
      <c r="AH87" s="195"/>
      <c r="AI87" s="195"/>
      <c r="AJ87" s="195"/>
      <c r="AK87" s="195"/>
      <c r="AL87" s="195"/>
      <c r="AM87" s="195"/>
      <c r="AN87" s="195"/>
      <c r="AO87" s="195"/>
      <c r="AP87" s="195"/>
      <c r="AQ87" s="195"/>
      <c r="AR87" s="195"/>
      <c r="AS87" s="195"/>
      <c r="AT87" s="195"/>
      <c r="AU87" s="195"/>
      <c r="AV87" s="195"/>
      <c r="AW87" s="195"/>
      <c r="AX87" s="195"/>
      <c r="AY87" s="195"/>
      <c r="AZ87" s="196"/>
      <c r="BA87" s="22"/>
      <c r="BB87" s="22"/>
      <c r="BC87" s="22"/>
      <c r="BD87" s="22"/>
      <c r="BE87" s="22"/>
      <c r="BF87" s="22"/>
      <c r="BG87" s="22"/>
      <c r="BH87" s="22"/>
      <c r="BI87" s="22"/>
      <c r="BJ87" s="22"/>
      <c r="BK87" s="22"/>
      <c r="BL87" s="22"/>
      <c r="BM87" s="22"/>
      <c r="BN87" s="22"/>
      <c r="BO87" s="23"/>
      <c r="BP87" s="23"/>
      <c r="BQ87" s="23"/>
      <c r="BR87" s="23"/>
      <c r="BS87" s="1"/>
      <c r="BT87" s="1"/>
      <c r="BU87" s="1"/>
      <c r="BV87" s="1"/>
      <c r="BW87" s="1"/>
      <c r="BX87" s="1"/>
      <c r="BY87" s="1"/>
      <c r="BZ87" s="1"/>
    </row>
    <row r="88" spans="1:78" s="24" customFormat="1" ht="14.25" customHeight="1" x14ac:dyDescent="0.35">
      <c r="A88" s="21"/>
      <c r="B88" s="16"/>
      <c r="C88" s="16"/>
      <c r="D88" s="74"/>
      <c r="E88" s="74"/>
      <c r="F88" s="74"/>
      <c r="G88" s="74"/>
      <c r="H88" s="74"/>
      <c r="I88" s="74"/>
      <c r="J88" s="74"/>
      <c r="K88" s="74"/>
      <c r="L88" s="74"/>
      <c r="M88" s="74"/>
      <c r="N88" s="74"/>
      <c r="O88" s="74"/>
      <c r="P88" s="22"/>
      <c r="Q88" s="22"/>
      <c r="R88" s="22"/>
      <c r="S88" s="22"/>
      <c r="T88" s="22"/>
      <c r="U88" s="22"/>
      <c r="V88" s="197" t="s">
        <v>141</v>
      </c>
      <c r="W88" s="198"/>
      <c r="X88" s="198"/>
      <c r="Y88" s="198"/>
      <c r="Z88" s="198"/>
      <c r="AA88" s="198"/>
      <c r="AB88" s="198"/>
      <c r="AC88" s="198"/>
      <c r="AD88" s="198"/>
      <c r="AE88" s="198"/>
      <c r="AF88" s="198"/>
      <c r="AG88" s="198"/>
      <c r="AH88" s="198"/>
      <c r="AI88" s="198"/>
      <c r="AJ88" s="198"/>
      <c r="AK88" s="198"/>
      <c r="AL88" s="198"/>
      <c r="AM88" s="198"/>
      <c r="AN88" s="198"/>
      <c r="AO88" s="198"/>
      <c r="AP88" s="198"/>
      <c r="AQ88" s="198"/>
      <c r="AR88" s="198"/>
      <c r="AS88" s="198"/>
      <c r="AT88" s="198"/>
      <c r="AU88" s="198"/>
      <c r="AV88" s="198"/>
      <c r="AW88" s="198"/>
      <c r="AX88" s="198"/>
      <c r="AY88" s="198"/>
      <c r="AZ88" s="199"/>
      <c r="BA88" s="22"/>
      <c r="BB88" s="22"/>
      <c r="BC88" s="22"/>
      <c r="BD88" s="22"/>
      <c r="BE88" s="22"/>
      <c r="BF88" s="22"/>
      <c r="BG88" s="22"/>
      <c r="BH88" s="22"/>
      <c r="BI88" s="22"/>
      <c r="BJ88" s="22"/>
      <c r="BK88" s="22"/>
      <c r="BL88" s="22"/>
      <c r="BM88" s="22"/>
      <c r="BN88" s="22"/>
      <c r="BO88" s="23"/>
      <c r="BP88" s="23"/>
      <c r="BQ88" s="23"/>
      <c r="BR88" s="23"/>
      <c r="BS88" s="1"/>
      <c r="BT88" s="1"/>
      <c r="BU88" s="1"/>
      <c r="BV88" s="1"/>
      <c r="BW88" s="1"/>
      <c r="BX88" s="1"/>
      <c r="BY88" s="1"/>
      <c r="BZ88" s="1"/>
    </row>
    <row r="89" spans="1:78" ht="14.25" customHeight="1" thickBot="1" x14ac:dyDescent="0.3">
      <c r="A89" s="1"/>
      <c r="B89" s="16"/>
      <c r="C89" s="16"/>
      <c r="D89" s="18"/>
      <c r="E89" s="18"/>
      <c r="F89" s="18"/>
      <c r="G89" s="18"/>
      <c r="H89" s="18"/>
      <c r="I89" s="18"/>
      <c r="J89" s="18"/>
      <c r="K89" s="18"/>
      <c r="L89" s="18"/>
      <c r="M89" s="18"/>
      <c r="N89" s="18"/>
      <c r="O89" s="18"/>
      <c r="P89" s="25"/>
      <c r="Q89" s="25"/>
      <c r="R89" s="25"/>
      <c r="S89" s="25"/>
      <c r="T89" s="25"/>
      <c r="U89" s="25"/>
      <c r="V89" s="200"/>
      <c r="W89" s="201"/>
      <c r="X89" s="201"/>
      <c r="Y89" s="201"/>
      <c r="Z89" s="201"/>
      <c r="AA89" s="201"/>
      <c r="AB89" s="201"/>
      <c r="AC89" s="201"/>
      <c r="AD89" s="201"/>
      <c r="AE89" s="201"/>
      <c r="AF89" s="201"/>
      <c r="AG89" s="201"/>
      <c r="AH89" s="201"/>
      <c r="AI89" s="201"/>
      <c r="AJ89" s="201"/>
      <c r="AK89" s="201"/>
      <c r="AL89" s="201"/>
      <c r="AM89" s="201"/>
      <c r="AN89" s="201"/>
      <c r="AO89" s="201"/>
      <c r="AP89" s="201"/>
      <c r="AQ89" s="201"/>
      <c r="AR89" s="201"/>
      <c r="AS89" s="201"/>
      <c r="AT89" s="201"/>
      <c r="AU89" s="201"/>
      <c r="AV89" s="201"/>
      <c r="AW89" s="201"/>
      <c r="AX89" s="201"/>
      <c r="AY89" s="201"/>
      <c r="AZ89" s="202"/>
      <c r="BA89" s="25"/>
      <c r="BB89" s="25"/>
      <c r="BC89" s="25"/>
      <c r="BD89" s="25"/>
      <c r="BE89" s="25"/>
      <c r="BF89" s="25"/>
      <c r="BG89" s="25"/>
      <c r="BH89" s="25"/>
      <c r="BI89" s="25"/>
      <c r="BJ89" s="25"/>
      <c r="BK89" s="25"/>
      <c r="BL89" s="25"/>
      <c r="BM89" s="25"/>
      <c r="BN89" s="25"/>
      <c r="BO89" s="26"/>
      <c r="BP89" s="26"/>
      <c r="BQ89" s="26"/>
      <c r="BR89" s="26"/>
    </row>
    <row r="90" spans="1:78" ht="14.25" customHeight="1" x14ac:dyDescent="0.25">
      <c r="A90" s="1"/>
      <c r="B90" s="16"/>
      <c r="C90" s="16"/>
      <c r="D90" s="18"/>
      <c r="E90" s="18"/>
      <c r="F90" s="18"/>
      <c r="G90" s="18"/>
      <c r="H90" s="18"/>
      <c r="I90" s="18"/>
      <c r="J90" s="18"/>
      <c r="K90" s="18"/>
      <c r="L90" s="18"/>
      <c r="M90" s="18"/>
      <c r="N90" s="18"/>
      <c r="O90" s="18"/>
      <c r="P90" s="25"/>
      <c r="Q90" s="25"/>
      <c r="R90" s="25"/>
      <c r="S90" s="25"/>
      <c r="T90" s="25"/>
      <c r="U90" s="25"/>
      <c r="V90" s="80"/>
      <c r="W90" s="80"/>
      <c r="X90" s="80"/>
      <c r="Y90" s="80"/>
      <c r="Z90" s="80"/>
      <c r="AA90" s="80"/>
      <c r="AB90" s="80"/>
      <c r="AC90" s="80"/>
      <c r="AD90" s="80"/>
      <c r="AE90" s="80"/>
      <c r="AF90" s="80"/>
      <c r="AG90" s="80"/>
      <c r="AH90" s="80"/>
      <c r="AI90" s="80"/>
      <c r="AJ90" s="80"/>
      <c r="AK90" s="80"/>
      <c r="AL90" s="80"/>
      <c r="AM90" s="80"/>
      <c r="AN90" s="80"/>
      <c r="AO90" s="80"/>
      <c r="AP90" s="80"/>
      <c r="AQ90" s="80"/>
      <c r="AR90" s="80"/>
      <c r="AS90" s="80"/>
      <c r="AT90" s="80"/>
      <c r="AU90" s="80"/>
      <c r="AV90" s="80"/>
      <c r="AW90" s="80"/>
      <c r="AX90" s="80"/>
      <c r="AY90" s="80"/>
      <c r="AZ90" s="80"/>
      <c r="BA90" s="25"/>
      <c r="BB90" s="25"/>
      <c r="BC90" s="25"/>
      <c r="BD90" s="25"/>
      <c r="BE90" s="25"/>
      <c r="BF90" s="25"/>
      <c r="BG90" s="25"/>
      <c r="BH90" s="25"/>
      <c r="BI90" s="25"/>
      <c r="BJ90" s="25"/>
      <c r="BK90" s="25"/>
      <c r="BL90" s="25"/>
      <c r="BM90" s="25"/>
      <c r="BN90" s="25"/>
      <c r="BO90" s="26"/>
      <c r="BP90" s="26"/>
      <c r="BQ90" s="26"/>
      <c r="BR90" s="26"/>
    </row>
    <row r="91" spans="1:78" ht="14.25" customHeight="1" x14ac:dyDescent="0.25">
      <c r="A91" s="27" t="s">
        <v>149</v>
      </c>
      <c r="B91" s="63"/>
      <c r="C91" s="63"/>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30"/>
      <c r="BP91" s="30"/>
      <c r="BQ91" s="60"/>
      <c r="BR91" s="60"/>
    </row>
    <row r="92" spans="1:78" ht="14.25" customHeight="1" x14ac:dyDescent="0.25">
      <c r="A92" s="31" t="s">
        <v>13</v>
      </c>
      <c r="B92" s="207" t="s">
        <v>144</v>
      </c>
      <c r="C92" s="207"/>
      <c r="D92" s="207"/>
      <c r="E92" s="207"/>
      <c r="F92" s="207"/>
      <c r="G92" s="207"/>
      <c r="H92" s="207"/>
      <c r="I92" s="207"/>
      <c r="J92" s="207"/>
      <c r="K92" s="207"/>
      <c r="L92" s="207"/>
      <c r="M92" s="207"/>
      <c r="N92" s="207"/>
      <c r="O92" s="207"/>
      <c r="P92" s="207"/>
      <c r="Q92" s="207"/>
      <c r="R92" s="207"/>
      <c r="S92" s="207"/>
      <c r="T92" s="207"/>
      <c r="U92" s="207"/>
      <c r="V92" s="207"/>
      <c r="W92" s="207"/>
      <c r="X92" s="207"/>
      <c r="Y92" s="207"/>
      <c r="Z92" s="207"/>
      <c r="AA92" s="207"/>
      <c r="AB92" s="207"/>
      <c r="AC92" s="207"/>
      <c r="AD92" s="207"/>
      <c r="AE92" s="207"/>
      <c r="AF92" s="207"/>
      <c r="AG92" s="207"/>
      <c r="AH92" s="207"/>
      <c r="AI92" s="207"/>
      <c r="AJ92" s="207"/>
      <c r="AK92" s="207"/>
      <c r="AL92" s="207"/>
      <c r="AM92" s="207"/>
      <c r="AN92" s="207"/>
      <c r="AO92" s="207"/>
      <c r="AP92" s="207"/>
      <c r="AQ92" s="207"/>
      <c r="AR92" s="207"/>
      <c r="AS92" s="207"/>
      <c r="AT92" s="207"/>
      <c r="AU92" s="207"/>
      <c r="AV92" s="207"/>
      <c r="AW92" s="207"/>
      <c r="AX92" s="207"/>
      <c r="AY92" s="207"/>
      <c r="AZ92" s="207"/>
      <c r="BA92" s="207"/>
      <c r="BB92" s="207"/>
      <c r="BC92" s="207"/>
      <c r="BD92" s="207"/>
      <c r="BE92" s="207"/>
      <c r="BF92" s="207"/>
      <c r="BG92" s="207"/>
      <c r="BH92" s="207"/>
      <c r="BI92" s="207"/>
      <c r="BJ92" s="207"/>
      <c r="BK92" s="207"/>
      <c r="BL92" s="207"/>
      <c r="BM92" s="207"/>
      <c r="BN92" s="207"/>
      <c r="BO92" s="207"/>
      <c r="BP92" s="207"/>
      <c r="BQ92" s="207"/>
      <c r="BR92" s="207"/>
    </row>
    <row r="93" spans="1:78" ht="14.25" customHeight="1" x14ac:dyDescent="0.25">
      <c r="A93" s="31" t="s">
        <v>14</v>
      </c>
      <c r="B93" s="207" t="s">
        <v>145</v>
      </c>
      <c r="C93" s="207"/>
      <c r="D93" s="207"/>
      <c r="E93" s="207"/>
      <c r="F93" s="207"/>
      <c r="G93" s="207"/>
      <c r="H93" s="207"/>
      <c r="I93" s="207"/>
      <c r="J93" s="207"/>
      <c r="K93" s="207"/>
      <c r="L93" s="207"/>
      <c r="M93" s="207"/>
      <c r="N93" s="207"/>
      <c r="O93" s="207"/>
      <c r="P93" s="207"/>
      <c r="Q93" s="207"/>
      <c r="R93" s="207"/>
      <c r="S93" s="207"/>
      <c r="T93" s="207"/>
      <c r="U93" s="207"/>
      <c r="V93" s="207"/>
      <c r="W93" s="207"/>
      <c r="X93" s="207"/>
      <c r="Y93" s="207"/>
      <c r="Z93" s="207"/>
      <c r="AA93" s="207"/>
      <c r="AB93" s="207"/>
      <c r="AC93" s="207"/>
      <c r="AD93" s="207"/>
      <c r="AE93" s="207"/>
      <c r="AF93" s="207"/>
      <c r="AG93" s="207"/>
      <c r="AH93" s="207"/>
      <c r="AI93" s="207"/>
      <c r="AJ93" s="207"/>
      <c r="AK93" s="207"/>
      <c r="AL93" s="207"/>
      <c r="AM93" s="207"/>
      <c r="AN93" s="207"/>
      <c r="AO93" s="207"/>
      <c r="AP93" s="207"/>
      <c r="AQ93" s="207"/>
      <c r="AR93" s="207"/>
      <c r="AS93" s="207"/>
      <c r="AT93" s="207"/>
      <c r="AU93" s="207"/>
      <c r="AV93" s="207"/>
      <c r="AW93" s="207"/>
      <c r="AX93" s="207"/>
      <c r="AY93" s="207"/>
      <c r="AZ93" s="207"/>
      <c r="BA93" s="207"/>
      <c r="BB93" s="207"/>
      <c r="BC93" s="207"/>
      <c r="BD93" s="207"/>
      <c r="BE93" s="207"/>
      <c r="BF93" s="207"/>
      <c r="BG93" s="207"/>
      <c r="BH93" s="207"/>
      <c r="BI93" s="207"/>
      <c r="BJ93" s="207"/>
      <c r="BK93" s="207"/>
      <c r="BL93" s="207"/>
      <c r="BM93" s="207"/>
      <c r="BN93" s="207"/>
      <c r="BO93" s="207"/>
      <c r="BP93" s="207"/>
      <c r="BQ93" s="207"/>
      <c r="BR93" s="207"/>
    </row>
    <row r="94" spans="1:78" ht="14.25" customHeight="1" x14ac:dyDescent="0.25">
      <c r="A94" s="31" t="s">
        <v>15</v>
      </c>
      <c r="B94" s="207" t="s">
        <v>146</v>
      </c>
      <c r="C94" s="207"/>
      <c r="D94" s="207"/>
      <c r="E94" s="207"/>
      <c r="F94" s="207"/>
      <c r="G94" s="207"/>
      <c r="H94" s="207"/>
      <c r="I94" s="207"/>
      <c r="J94" s="207"/>
      <c r="K94" s="207"/>
      <c r="L94" s="207"/>
      <c r="M94" s="207"/>
      <c r="N94" s="207"/>
      <c r="O94" s="207"/>
      <c r="P94" s="207"/>
      <c r="Q94" s="207"/>
      <c r="R94" s="207"/>
      <c r="S94" s="207"/>
      <c r="T94" s="207"/>
      <c r="U94" s="207"/>
      <c r="V94" s="207"/>
      <c r="W94" s="207"/>
      <c r="X94" s="207"/>
      <c r="Y94" s="207"/>
      <c r="Z94" s="207"/>
      <c r="AA94" s="207"/>
      <c r="AB94" s="207"/>
      <c r="AC94" s="207"/>
      <c r="AD94" s="207"/>
      <c r="AE94" s="207"/>
      <c r="AF94" s="207"/>
      <c r="AG94" s="207"/>
      <c r="AH94" s="207"/>
      <c r="AI94" s="207"/>
      <c r="AJ94" s="207"/>
      <c r="AK94" s="207"/>
      <c r="AL94" s="207"/>
      <c r="AM94" s="207"/>
      <c r="AN94" s="207"/>
      <c r="AO94" s="207"/>
      <c r="AP94" s="207"/>
      <c r="AQ94" s="207"/>
      <c r="AR94" s="207"/>
      <c r="AS94" s="207"/>
      <c r="AT94" s="207"/>
      <c r="AU94" s="207"/>
      <c r="AV94" s="207"/>
      <c r="AW94" s="207"/>
      <c r="AX94" s="207"/>
      <c r="AY94" s="207"/>
      <c r="AZ94" s="207"/>
      <c r="BA94" s="207"/>
      <c r="BB94" s="207"/>
      <c r="BC94" s="207"/>
      <c r="BD94" s="207"/>
      <c r="BE94" s="207"/>
      <c r="BF94" s="207"/>
      <c r="BG94" s="207"/>
      <c r="BH94" s="207"/>
      <c r="BI94" s="207"/>
      <c r="BJ94" s="207"/>
      <c r="BK94" s="207"/>
      <c r="BL94" s="207"/>
      <c r="BM94" s="207"/>
      <c r="BN94" s="207"/>
      <c r="BO94" s="207"/>
      <c r="BP94" s="207"/>
      <c r="BQ94" s="207"/>
      <c r="BR94" s="207"/>
    </row>
    <row r="95" spans="1:78" ht="14.25" customHeight="1" x14ac:dyDescent="0.25">
      <c r="A95" s="31" t="s">
        <v>16</v>
      </c>
      <c r="B95" s="207" t="s">
        <v>188</v>
      </c>
      <c r="C95" s="207"/>
      <c r="D95" s="207"/>
      <c r="E95" s="207"/>
      <c r="F95" s="207"/>
      <c r="G95" s="207"/>
      <c r="H95" s="207"/>
      <c r="I95" s="207"/>
      <c r="J95" s="207"/>
      <c r="K95" s="207"/>
      <c r="L95" s="207"/>
      <c r="M95" s="207"/>
      <c r="N95" s="207"/>
      <c r="O95" s="207"/>
      <c r="P95" s="207"/>
      <c r="Q95" s="207"/>
      <c r="R95" s="207"/>
      <c r="S95" s="207"/>
      <c r="T95" s="207"/>
      <c r="U95" s="207"/>
      <c r="V95" s="207"/>
      <c r="W95" s="207"/>
      <c r="X95" s="207"/>
      <c r="Y95" s="207"/>
      <c r="Z95" s="207"/>
      <c r="AA95" s="207"/>
      <c r="AB95" s="207"/>
      <c r="AC95" s="207"/>
      <c r="AD95" s="207"/>
      <c r="AE95" s="207"/>
      <c r="AF95" s="207"/>
      <c r="AG95" s="207"/>
      <c r="AH95" s="207"/>
      <c r="AI95" s="207"/>
      <c r="AJ95" s="207"/>
      <c r="AK95" s="207"/>
      <c r="AL95" s="207"/>
      <c r="AM95" s="207"/>
      <c r="AN95" s="207"/>
      <c r="AO95" s="207"/>
      <c r="AP95" s="207"/>
      <c r="AQ95" s="207"/>
      <c r="AR95" s="207"/>
      <c r="AS95" s="207"/>
      <c r="AT95" s="207"/>
      <c r="AU95" s="207"/>
      <c r="AV95" s="207"/>
      <c r="AW95" s="207"/>
      <c r="AX95" s="207"/>
      <c r="AY95" s="207"/>
      <c r="AZ95" s="207"/>
      <c r="BA95" s="207"/>
      <c r="BB95" s="207"/>
      <c r="BC95" s="207"/>
      <c r="BD95" s="207"/>
      <c r="BE95" s="207"/>
      <c r="BF95" s="207"/>
      <c r="BG95" s="207"/>
      <c r="BH95" s="207"/>
      <c r="BI95" s="207"/>
      <c r="BJ95" s="207"/>
      <c r="BK95" s="207"/>
      <c r="BL95" s="207"/>
      <c r="BM95" s="207"/>
      <c r="BN95" s="207"/>
      <c r="BO95" s="207"/>
      <c r="BP95" s="207"/>
      <c r="BQ95" s="207"/>
      <c r="BR95" s="207"/>
    </row>
    <row r="96" spans="1:78" ht="14.25" customHeight="1" x14ac:dyDescent="0.25">
      <c r="A96" s="31" t="s">
        <v>17</v>
      </c>
      <c r="B96" s="207" t="s">
        <v>189</v>
      </c>
      <c r="C96" s="207"/>
      <c r="D96" s="207"/>
      <c r="E96" s="207"/>
      <c r="F96" s="207"/>
      <c r="G96" s="207"/>
      <c r="H96" s="207"/>
      <c r="I96" s="207"/>
      <c r="J96" s="207"/>
      <c r="K96" s="207"/>
      <c r="L96" s="207"/>
      <c r="M96" s="207"/>
      <c r="N96" s="207"/>
      <c r="O96" s="207"/>
      <c r="P96" s="207"/>
      <c r="Q96" s="207"/>
      <c r="R96" s="207"/>
      <c r="S96" s="207"/>
      <c r="T96" s="207"/>
      <c r="U96" s="207"/>
      <c r="V96" s="207"/>
      <c r="W96" s="207"/>
      <c r="X96" s="207"/>
      <c r="Y96" s="207"/>
      <c r="Z96" s="207"/>
      <c r="AA96" s="207"/>
      <c r="AB96" s="207"/>
      <c r="AC96" s="207"/>
      <c r="AD96" s="207"/>
      <c r="AE96" s="207"/>
      <c r="AF96" s="207"/>
      <c r="AG96" s="207"/>
      <c r="AH96" s="207"/>
      <c r="AI96" s="207"/>
      <c r="AJ96" s="207"/>
      <c r="AK96" s="207"/>
      <c r="AL96" s="207"/>
      <c r="AM96" s="207"/>
      <c r="AN96" s="207"/>
      <c r="AO96" s="207"/>
      <c r="AP96" s="207"/>
      <c r="AQ96" s="207"/>
      <c r="AR96" s="207"/>
      <c r="AS96" s="207"/>
      <c r="AT96" s="207"/>
      <c r="AU96" s="207"/>
      <c r="AV96" s="207"/>
      <c r="AW96" s="207"/>
      <c r="AX96" s="207"/>
      <c r="AY96" s="207"/>
      <c r="AZ96" s="207"/>
      <c r="BA96" s="207"/>
      <c r="BB96" s="207"/>
      <c r="BC96" s="207"/>
      <c r="BD96" s="207"/>
      <c r="BE96" s="207"/>
      <c r="BF96" s="207"/>
      <c r="BG96" s="207"/>
      <c r="BH96" s="207"/>
      <c r="BI96" s="207"/>
      <c r="BJ96" s="207"/>
      <c r="BK96" s="207"/>
      <c r="BL96" s="207"/>
      <c r="BM96" s="207"/>
      <c r="BN96" s="207"/>
      <c r="BO96" s="207"/>
      <c r="BP96" s="207"/>
      <c r="BQ96" s="207"/>
      <c r="BR96" s="207"/>
    </row>
    <row r="97" spans="1:70" ht="14.25" customHeight="1" x14ac:dyDescent="0.25">
      <c r="A97" s="31" t="s">
        <v>18</v>
      </c>
      <c r="B97" s="207" t="s">
        <v>199</v>
      </c>
      <c r="C97" s="207"/>
      <c r="D97" s="207"/>
      <c r="E97" s="207"/>
      <c r="F97" s="207"/>
      <c r="G97" s="207"/>
      <c r="H97" s="207"/>
      <c r="I97" s="207"/>
      <c r="J97" s="207"/>
      <c r="K97" s="207"/>
      <c r="L97" s="207"/>
      <c r="M97" s="207"/>
      <c r="N97" s="207"/>
      <c r="O97" s="207"/>
      <c r="P97" s="207"/>
      <c r="Q97" s="207"/>
      <c r="R97" s="207"/>
      <c r="S97" s="207"/>
      <c r="T97" s="207"/>
      <c r="U97" s="207"/>
      <c r="V97" s="207"/>
      <c r="W97" s="207"/>
      <c r="X97" s="207"/>
      <c r="Y97" s="207"/>
      <c r="Z97" s="207"/>
      <c r="AA97" s="207"/>
      <c r="AB97" s="207"/>
      <c r="AC97" s="207"/>
      <c r="AD97" s="207"/>
      <c r="AE97" s="207"/>
      <c r="AF97" s="207"/>
      <c r="AG97" s="207"/>
      <c r="AH97" s="207"/>
      <c r="AI97" s="207"/>
      <c r="AJ97" s="207"/>
      <c r="AK97" s="207"/>
      <c r="AL97" s="207"/>
      <c r="AM97" s="207"/>
      <c r="AN97" s="207"/>
      <c r="AO97" s="207"/>
      <c r="AP97" s="207"/>
      <c r="AQ97" s="207"/>
      <c r="AR97" s="207"/>
      <c r="AS97" s="207"/>
      <c r="AT97" s="207"/>
      <c r="AU97" s="207"/>
      <c r="AV97" s="207"/>
      <c r="AW97" s="207"/>
      <c r="AX97" s="207"/>
      <c r="AY97" s="207"/>
      <c r="AZ97" s="207"/>
      <c r="BA97" s="207"/>
      <c r="BB97" s="207"/>
      <c r="BC97" s="207"/>
      <c r="BD97" s="207"/>
      <c r="BE97" s="207"/>
      <c r="BF97" s="207"/>
      <c r="BG97" s="207"/>
      <c r="BH97" s="207"/>
      <c r="BI97" s="207"/>
      <c r="BJ97" s="207"/>
      <c r="BK97" s="207"/>
      <c r="BL97" s="207"/>
      <c r="BM97" s="207"/>
      <c r="BN97" s="207"/>
      <c r="BO97" s="207"/>
      <c r="BP97" s="207"/>
      <c r="BQ97" s="207"/>
      <c r="BR97" s="207"/>
    </row>
    <row r="98" spans="1:70" ht="14.25" customHeight="1" x14ac:dyDescent="0.25">
      <c r="A98" s="31"/>
      <c r="B98" s="207" t="s">
        <v>207</v>
      </c>
      <c r="C98" s="207"/>
      <c r="D98" s="207"/>
      <c r="E98" s="207"/>
      <c r="F98" s="207"/>
      <c r="G98" s="207"/>
      <c r="H98" s="207"/>
      <c r="I98" s="207"/>
      <c r="J98" s="207"/>
      <c r="K98" s="207"/>
      <c r="L98" s="207"/>
      <c r="M98" s="207"/>
      <c r="N98" s="207"/>
      <c r="O98" s="207"/>
      <c r="P98" s="207"/>
      <c r="Q98" s="207"/>
      <c r="R98" s="207"/>
      <c r="S98" s="207"/>
      <c r="T98" s="207"/>
      <c r="U98" s="207"/>
      <c r="V98" s="207"/>
      <c r="W98" s="207"/>
      <c r="X98" s="207"/>
      <c r="Y98" s="207"/>
      <c r="Z98" s="207"/>
      <c r="AA98" s="207"/>
      <c r="AB98" s="207"/>
      <c r="AC98" s="207"/>
      <c r="AD98" s="207"/>
      <c r="AE98" s="207"/>
      <c r="AF98" s="207"/>
      <c r="AG98" s="207"/>
      <c r="AH98" s="207"/>
      <c r="AI98" s="207"/>
      <c r="AJ98" s="207"/>
      <c r="AK98" s="207"/>
      <c r="AL98" s="207"/>
      <c r="AM98" s="207"/>
      <c r="AN98" s="207"/>
      <c r="AO98" s="207"/>
      <c r="AP98" s="207"/>
      <c r="AQ98" s="207"/>
      <c r="AR98" s="207"/>
      <c r="AS98" s="207"/>
      <c r="AT98" s="207"/>
      <c r="AU98" s="207"/>
      <c r="AV98" s="207"/>
      <c r="AW98" s="207"/>
      <c r="AX98" s="207"/>
      <c r="AY98" s="207"/>
      <c r="AZ98" s="207"/>
      <c r="BA98" s="207"/>
      <c r="BB98" s="207"/>
      <c r="BC98" s="207"/>
      <c r="BD98" s="207"/>
      <c r="BE98" s="207"/>
      <c r="BF98" s="207"/>
      <c r="BG98" s="207"/>
      <c r="BH98" s="207"/>
      <c r="BI98" s="207"/>
      <c r="BJ98" s="207"/>
      <c r="BK98" s="207"/>
      <c r="BL98" s="207"/>
      <c r="BM98" s="207"/>
      <c r="BN98" s="207"/>
      <c r="BO98" s="207"/>
      <c r="BP98" s="207"/>
      <c r="BQ98" s="207"/>
      <c r="BR98" s="207"/>
    </row>
    <row r="99" spans="1:70" ht="14.25" customHeight="1" x14ac:dyDescent="0.25">
      <c r="A99" s="31" t="s">
        <v>19</v>
      </c>
      <c r="B99" s="207" t="s">
        <v>158</v>
      </c>
      <c r="C99" s="207"/>
      <c r="D99" s="207"/>
      <c r="E99" s="207"/>
      <c r="F99" s="207"/>
      <c r="G99" s="207"/>
      <c r="H99" s="207"/>
      <c r="I99" s="207"/>
      <c r="J99" s="207"/>
      <c r="K99" s="207"/>
      <c r="L99" s="207"/>
      <c r="M99" s="207"/>
      <c r="N99" s="207"/>
      <c r="O99" s="207"/>
      <c r="P99" s="207"/>
      <c r="Q99" s="207"/>
      <c r="R99" s="207"/>
      <c r="S99" s="207"/>
      <c r="T99" s="207"/>
      <c r="U99" s="207"/>
      <c r="V99" s="207"/>
      <c r="W99" s="207"/>
      <c r="X99" s="207"/>
      <c r="Y99" s="207"/>
      <c r="Z99" s="207"/>
      <c r="AA99" s="207"/>
      <c r="AB99" s="207"/>
      <c r="AC99" s="207"/>
      <c r="AD99" s="207"/>
      <c r="AE99" s="207"/>
      <c r="AF99" s="207"/>
      <c r="AG99" s="207"/>
      <c r="AH99" s="207"/>
      <c r="AI99" s="207"/>
      <c r="AJ99" s="207"/>
      <c r="AK99" s="207"/>
      <c r="AL99" s="207"/>
      <c r="AM99" s="207"/>
      <c r="AN99" s="207"/>
      <c r="AO99" s="207"/>
      <c r="AP99" s="207"/>
      <c r="AQ99" s="207"/>
      <c r="AR99" s="207"/>
      <c r="AS99" s="207"/>
      <c r="AT99" s="207"/>
      <c r="AU99" s="207"/>
      <c r="AV99" s="207"/>
      <c r="AW99" s="207"/>
      <c r="AX99" s="207"/>
      <c r="AY99" s="207"/>
      <c r="AZ99" s="207"/>
      <c r="BA99" s="207"/>
      <c r="BB99" s="207"/>
      <c r="BC99" s="207"/>
      <c r="BD99" s="207"/>
      <c r="BE99" s="207"/>
      <c r="BF99" s="207"/>
      <c r="BG99" s="207"/>
      <c r="BH99" s="207"/>
      <c r="BI99" s="207"/>
      <c r="BJ99" s="207"/>
      <c r="BK99" s="207"/>
      <c r="BL99" s="207"/>
      <c r="BM99" s="207"/>
      <c r="BN99" s="207"/>
      <c r="BO99" s="207"/>
      <c r="BP99" s="207"/>
      <c r="BQ99" s="207"/>
      <c r="BR99" s="207"/>
    </row>
    <row r="100" spans="1:70" ht="14.25" customHeight="1" x14ac:dyDescent="0.25">
      <c r="A100" s="31" t="s">
        <v>20</v>
      </c>
      <c r="B100" s="207" t="s">
        <v>167</v>
      </c>
      <c r="C100" s="207"/>
      <c r="D100" s="207"/>
      <c r="E100" s="207"/>
      <c r="F100" s="207"/>
      <c r="G100" s="207"/>
      <c r="H100" s="207"/>
      <c r="I100" s="207"/>
      <c r="J100" s="207"/>
      <c r="K100" s="207"/>
      <c r="L100" s="207"/>
      <c r="M100" s="207"/>
      <c r="N100" s="207"/>
      <c r="O100" s="207"/>
      <c r="P100" s="207"/>
      <c r="Q100" s="207"/>
      <c r="R100" s="207"/>
      <c r="S100" s="207"/>
      <c r="T100" s="207"/>
      <c r="U100" s="207"/>
      <c r="V100" s="207"/>
      <c r="W100" s="207"/>
      <c r="X100" s="207"/>
      <c r="Y100" s="207"/>
      <c r="Z100" s="207"/>
      <c r="AA100" s="207"/>
      <c r="AB100" s="207"/>
      <c r="AC100" s="207"/>
      <c r="AD100" s="207"/>
      <c r="AE100" s="207"/>
      <c r="AF100" s="207"/>
      <c r="AG100" s="207"/>
      <c r="AH100" s="207"/>
      <c r="AI100" s="207"/>
      <c r="AJ100" s="207"/>
      <c r="AK100" s="207"/>
      <c r="AL100" s="207"/>
      <c r="AM100" s="207"/>
      <c r="AN100" s="207"/>
      <c r="AO100" s="207"/>
      <c r="AP100" s="207"/>
      <c r="AQ100" s="207"/>
      <c r="AR100" s="207"/>
      <c r="AS100" s="207"/>
      <c r="AT100" s="207"/>
      <c r="AU100" s="207"/>
      <c r="AV100" s="207"/>
      <c r="AW100" s="207"/>
      <c r="AX100" s="207"/>
      <c r="AY100" s="207"/>
      <c r="AZ100" s="207"/>
      <c r="BA100" s="207"/>
      <c r="BB100" s="207"/>
      <c r="BC100" s="207"/>
      <c r="BD100" s="207"/>
      <c r="BE100" s="207"/>
      <c r="BF100" s="207"/>
      <c r="BG100" s="207"/>
      <c r="BH100" s="207"/>
      <c r="BI100" s="207"/>
      <c r="BJ100" s="207"/>
      <c r="BK100" s="207"/>
      <c r="BL100" s="207"/>
      <c r="BM100" s="207"/>
      <c r="BN100" s="207"/>
      <c r="BO100" s="207"/>
      <c r="BP100" s="207"/>
      <c r="BQ100" s="207"/>
      <c r="BR100" s="207"/>
    </row>
    <row r="101" spans="1:70" ht="14.25" customHeight="1" x14ac:dyDescent="0.25">
      <c r="A101" s="31"/>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row>
    <row r="102" spans="1:70" ht="14.25" customHeight="1" x14ac:dyDescent="0.25">
      <c r="A102" s="31"/>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row>
    <row r="103" spans="1:70" ht="14.25" customHeight="1" x14ac:dyDescent="0.25">
      <c r="A103" s="143"/>
      <c r="B103" s="143"/>
      <c r="C103" s="143"/>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32"/>
      <c r="Z103" s="32"/>
      <c r="AA103" s="32"/>
      <c r="AB103" s="32"/>
      <c r="AC103" s="32"/>
      <c r="AD103" s="32"/>
      <c r="AE103" s="32"/>
      <c r="AF103" s="32"/>
      <c r="AG103" s="32"/>
      <c r="AH103" s="32"/>
      <c r="AI103" s="32"/>
      <c r="AJ103" s="142" t="s">
        <v>71</v>
      </c>
      <c r="AK103" s="142"/>
      <c r="AL103" s="142"/>
      <c r="AM103" s="142"/>
      <c r="AN103" s="142"/>
      <c r="AO103" s="142"/>
      <c r="AP103" s="142"/>
      <c r="AQ103" s="142"/>
      <c r="AR103" s="142"/>
      <c r="AS103" s="142"/>
      <c r="AT103" s="142"/>
      <c r="AU103" s="142"/>
      <c r="AV103" s="142"/>
      <c r="AW103" s="142"/>
      <c r="AX103" s="142"/>
      <c r="AY103" s="142"/>
      <c r="AZ103" s="142"/>
      <c r="BA103" s="142"/>
      <c r="BB103" s="142"/>
      <c r="BC103" s="142"/>
      <c r="BD103" s="142"/>
      <c r="BE103" s="142"/>
      <c r="BF103" s="142"/>
      <c r="BG103" s="142"/>
      <c r="BH103" s="142"/>
      <c r="BI103" s="142"/>
      <c r="BJ103" s="142"/>
      <c r="BK103" s="142"/>
      <c r="BL103" s="142"/>
      <c r="BM103" s="142"/>
      <c r="BN103" s="142"/>
      <c r="BO103" s="142"/>
      <c r="BP103" s="142"/>
      <c r="BQ103" s="142"/>
      <c r="BR103" s="142"/>
    </row>
    <row r="104" spans="1:70" ht="14.25" customHeight="1" x14ac:dyDescent="0.25">
      <c r="A104" s="33"/>
      <c r="B104" s="34"/>
      <c r="C104" s="34"/>
      <c r="D104" s="33"/>
      <c r="E104" s="33"/>
      <c r="F104" s="33"/>
      <c r="G104" s="33"/>
      <c r="H104" s="33"/>
      <c r="I104" s="33"/>
      <c r="J104" s="33"/>
      <c r="K104" s="33"/>
      <c r="L104" s="33"/>
      <c r="M104" s="33"/>
      <c r="N104" s="33"/>
      <c r="O104" s="33"/>
      <c r="P104" s="33"/>
      <c r="Q104" s="33"/>
      <c r="R104" s="33"/>
      <c r="S104" s="33"/>
      <c r="T104" s="35"/>
      <c r="U104" s="35"/>
      <c r="V104" s="35"/>
      <c r="W104" s="35"/>
      <c r="X104" s="35"/>
      <c r="Y104" s="36"/>
      <c r="Z104" s="36"/>
      <c r="AA104" s="36"/>
      <c r="AB104" s="36"/>
      <c r="AC104" s="36"/>
      <c r="AD104" s="36"/>
      <c r="AE104" s="36"/>
      <c r="AF104" s="36"/>
      <c r="AG104" s="36"/>
      <c r="AH104" s="36"/>
      <c r="AI104" s="36"/>
      <c r="AJ104" s="142"/>
      <c r="AK104" s="142"/>
      <c r="AL104" s="142"/>
      <c r="AM104" s="142"/>
      <c r="AN104" s="142"/>
      <c r="AO104" s="142"/>
      <c r="AP104" s="142"/>
      <c r="AQ104" s="142"/>
      <c r="AR104" s="142"/>
      <c r="AS104" s="142"/>
      <c r="AT104" s="142"/>
      <c r="AU104" s="142"/>
      <c r="AV104" s="142"/>
      <c r="AW104" s="142"/>
      <c r="AX104" s="142"/>
      <c r="AY104" s="142"/>
      <c r="AZ104" s="142"/>
      <c r="BA104" s="142"/>
      <c r="BB104" s="142"/>
      <c r="BC104" s="142"/>
      <c r="BD104" s="142"/>
      <c r="BE104" s="142"/>
      <c r="BF104" s="142"/>
      <c r="BG104" s="142"/>
      <c r="BH104" s="142"/>
      <c r="BI104" s="142"/>
      <c r="BJ104" s="142"/>
      <c r="BK104" s="142"/>
      <c r="BL104" s="142"/>
      <c r="BM104" s="142"/>
      <c r="BN104" s="142"/>
      <c r="BO104" s="142"/>
      <c r="BP104" s="142"/>
      <c r="BQ104" s="142"/>
      <c r="BR104" s="142"/>
    </row>
    <row r="105" spans="1:70" ht="14.25" customHeight="1" x14ac:dyDescent="0.25">
      <c r="A105" s="33"/>
      <c r="B105" s="34"/>
      <c r="C105" s="34"/>
      <c r="D105" s="33"/>
      <c r="E105" s="33"/>
      <c r="F105" s="33"/>
      <c r="G105" s="33"/>
      <c r="H105" s="33"/>
      <c r="I105" s="33"/>
      <c r="J105" s="33"/>
      <c r="K105" s="33"/>
      <c r="L105" s="33"/>
      <c r="M105" s="33"/>
      <c r="N105" s="33"/>
      <c r="O105" s="33"/>
      <c r="P105" s="33"/>
      <c r="Q105" s="33"/>
      <c r="R105" s="33"/>
      <c r="S105" s="33"/>
      <c r="T105" s="35"/>
      <c r="U105" s="35"/>
      <c r="V105" s="35"/>
      <c r="W105" s="35"/>
      <c r="X105" s="35"/>
      <c r="Y105" s="36"/>
      <c r="Z105" s="36"/>
      <c r="AA105" s="36"/>
      <c r="AB105" s="36"/>
      <c r="AC105" s="36"/>
      <c r="AD105" s="36"/>
      <c r="AE105" s="36"/>
      <c r="AF105" s="36"/>
      <c r="AG105" s="36"/>
      <c r="AH105" s="36"/>
      <c r="AI105" s="36"/>
      <c r="AJ105" s="142"/>
      <c r="AK105" s="142"/>
      <c r="AL105" s="142"/>
      <c r="AM105" s="142"/>
      <c r="AN105" s="142"/>
      <c r="AO105" s="142"/>
      <c r="AP105" s="142"/>
      <c r="AQ105" s="142"/>
      <c r="AR105" s="142"/>
      <c r="AS105" s="142"/>
      <c r="AT105" s="142"/>
      <c r="AU105" s="142"/>
      <c r="AV105" s="142"/>
      <c r="AW105" s="142"/>
      <c r="AX105" s="142"/>
      <c r="AY105" s="142"/>
      <c r="AZ105" s="142"/>
      <c r="BA105" s="142"/>
      <c r="BB105" s="142"/>
      <c r="BC105" s="142"/>
      <c r="BD105" s="142"/>
      <c r="BE105" s="142"/>
      <c r="BF105" s="142"/>
      <c r="BG105" s="142"/>
      <c r="BH105" s="142"/>
      <c r="BI105" s="142"/>
      <c r="BJ105" s="142"/>
      <c r="BK105" s="142"/>
      <c r="BL105" s="142"/>
      <c r="BM105" s="142"/>
      <c r="BN105" s="142"/>
      <c r="BO105" s="142"/>
      <c r="BP105" s="142"/>
      <c r="BQ105" s="142"/>
      <c r="BR105" s="142"/>
    </row>
    <row r="106" spans="1:70" ht="14.25" customHeight="1" x14ac:dyDescent="0.25">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6"/>
      <c r="AG106" s="36"/>
      <c r="AH106" s="36"/>
      <c r="AI106" s="36"/>
      <c r="AJ106" s="142"/>
      <c r="AK106" s="142"/>
      <c r="AL106" s="142"/>
      <c r="AM106" s="142"/>
      <c r="AN106" s="142"/>
      <c r="AO106" s="142"/>
      <c r="AP106" s="142"/>
      <c r="AQ106" s="142"/>
      <c r="AR106" s="142"/>
      <c r="AS106" s="142"/>
      <c r="AT106" s="142"/>
      <c r="AU106" s="142"/>
      <c r="AV106" s="142"/>
      <c r="AW106" s="142"/>
      <c r="AX106" s="142"/>
      <c r="AY106" s="142"/>
      <c r="AZ106" s="142"/>
      <c r="BA106" s="142"/>
      <c r="BB106" s="142"/>
      <c r="BC106" s="142"/>
      <c r="BD106" s="142"/>
      <c r="BE106" s="142"/>
      <c r="BF106" s="142"/>
      <c r="BG106" s="142"/>
      <c r="BH106" s="142"/>
      <c r="BI106" s="142"/>
      <c r="BJ106" s="142"/>
      <c r="BK106" s="142"/>
      <c r="BL106" s="142"/>
      <c r="BM106" s="142"/>
      <c r="BN106" s="142"/>
      <c r="BO106" s="142"/>
      <c r="BP106" s="142"/>
      <c r="BQ106" s="142"/>
      <c r="BR106" s="142"/>
    </row>
    <row r="107" spans="1:70" ht="14.25" customHeight="1" x14ac:dyDescent="0.25">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6"/>
      <c r="AG107" s="36"/>
      <c r="AH107" s="36"/>
      <c r="AI107" s="36"/>
      <c r="AJ107" s="142"/>
      <c r="AK107" s="142"/>
      <c r="AL107" s="142"/>
      <c r="AM107" s="142"/>
      <c r="AN107" s="142"/>
      <c r="AO107" s="142"/>
      <c r="AP107" s="142"/>
      <c r="AQ107" s="142"/>
      <c r="AR107" s="142"/>
      <c r="AS107" s="142"/>
      <c r="AT107" s="142"/>
      <c r="AU107" s="142"/>
      <c r="AV107" s="142"/>
      <c r="AW107" s="142"/>
      <c r="AX107" s="142"/>
      <c r="AY107" s="142"/>
      <c r="AZ107" s="142"/>
      <c r="BA107" s="142"/>
      <c r="BB107" s="142"/>
      <c r="BC107" s="142"/>
      <c r="BD107" s="142"/>
      <c r="BE107" s="142"/>
      <c r="BF107" s="142"/>
      <c r="BG107" s="142"/>
      <c r="BH107" s="142"/>
      <c r="BI107" s="142"/>
      <c r="BJ107" s="142"/>
      <c r="BK107" s="142"/>
      <c r="BL107" s="142"/>
      <c r="BM107" s="142"/>
      <c r="BN107" s="142"/>
      <c r="BO107" s="142"/>
      <c r="BP107" s="142"/>
      <c r="BQ107" s="142"/>
      <c r="BR107" s="142"/>
    </row>
    <row r="108" spans="1:70" ht="14.25" customHeight="1" x14ac:dyDescent="0.25">
      <c r="A108" s="38"/>
      <c r="B108" s="16"/>
      <c r="C108" s="16"/>
      <c r="D108" s="38"/>
      <c r="E108" s="38"/>
      <c r="F108" s="38"/>
      <c r="G108" s="38"/>
      <c r="H108" s="38"/>
      <c r="I108" s="38"/>
      <c r="J108" s="38"/>
      <c r="K108" s="38"/>
      <c r="L108" s="38"/>
      <c r="M108" s="38"/>
      <c r="N108" s="38"/>
      <c r="O108" s="38"/>
      <c r="P108" s="38"/>
      <c r="Q108" s="38"/>
      <c r="R108" s="38"/>
      <c r="S108" s="38"/>
      <c r="T108" s="39"/>
      <c r="U108" s="39"/>
      <c r="V108" s="39"/>
      <c r="W108" s="39"/>
      <c r="X108" s="39"/>
      <c r="Y108" s="38"/>
      <c r="Z108" s="38"/>
      <c r="AA108" s="38"/>
      <c r="AB108" s="38"/>
      <c r="AC108" s="38"/>
      <c r="AD108" s="38"/>
      <c r="AE108" s="38"/>
      <c r="AF108" s="36"/>
      <c r="AG108" s="36"/>
      <c r="AH108" s="36"/>
      <c r="AI108" s="36"/>
      <c r="AJ108" s="142"/>
      <c r="AK108" s="142"/>
      <c r="AL108" s="142"/>
      <c r="AM108" s="142"/>
      <c r="AN108" s="142"/>
      <c r="AO108" s="142"/>
      <c r="AP108" s="142"/>
      <c r="AQ108" s="142"/>
      <c r="AR108" s="142"/>
      <c r="AS108" s="142"/>
      <c r="AT108" s="142"/>
      <c r="AU108" s="142"/>
      <c r="AV108" s="142"/>
      <c r="AW108" s="142"/>
      <c r="AX108" s="142"/>
      <c r="AY108" s="142"/>
      <c r="AZ108" s="142"/>
      <c r="BA108" s="142"/>
      <c r="BB108" s="142"/>
      <c r="BC108" s="142"/>
      <c r="BD108" s="142"/>
      <c r="BE108" s="142"/>
      <c r="BF108" s="142"/>
      <c r="BG108" s="142"/>
      <c r="BH108" s="142"/>
      <c r="BI108" s="142"/>
      <c r="BJ108" s="142"/>
      <c r="BK108" s="142"/>
      <c r="BL108" s="142"/>
      <c r="BM108" s="142"/>
      <c r="BN108" s="142"/>
      <c r="BO108" s="142"/>
      <c r="BP108" s="142"/>
      <c r="BQ108" s="142"/>
      <c r="BR108" s="142"/>
    </row>
    <row r="109" spans="1:70" ht="14.25" customHeight="1" x14ac:dyDescent="0.25">
      <c r="A109" s="70"/>
      <c r="B109" s="16"/>
      <c r="C109" s="16"/>
      <c r="D109" s="70"/>
      <c r="E109" s="70"/>
      <c r="F109" s="70"/>
      <c r="G109" s="70"/>
      <c r="H109" s="70"/>
      <c r="I109" s="70"/>
      <c r="J109" s="70"/>
      <c r="K109" s="70"/>
      <c r="L109" s="70"/>
      <c r="M109" s="70"/>
      <c r="N109" s="70"/>
      <c r="O109" s="70"/>
      <c r="P109" s="70"/>
      <c r="Q109" s="70"/>
      <c r="R109" s="70"/>
      <c r="S109" s="70"/>
      <c r="T109" s="40"/>
      <c r="U109" s="40"/>
      <c r="V109" s="40"/>
      <c r="W109" s="40"/>
      <c r="X109" s="40"/>
      <c r="Y109" s="38"/>
      <c r="Z109" s="38"/>
      <c r="AA109" s="38"/>
      <c r="AB109" s="38"/>
      <c r="AC109" s="38"/>
      <c r="AD109" s="38"/>
      <c r="AE109" s="38"/>
      <c r="AF109" s="36"/>
      <c r="AG109" s="36"/>
      <c r="AH109" s="36"/>
      <c r="AI109" s="36"/>
      <c r="AJ109" s="142"/>
      <c r="AK109" s="142"/>
      <c r="AL109" s="142"/>
      <c r="AM109" s="142"/>
      <c r="AN109" s="142"/>
      <c r="AO109" s="142"/>
      <c r="AP109" s="142"/>
      <c r="AQ109" s="142"/>
      <c r="AR109" s="142"/>
      <c r="AS109" s="142"/>
      <c r="AT109" s="142"/>
      <c r="AU109" s="142"/>
      <c r="AV109" s="142"/>
      <c r="AW109" s="142"/>
      <c r="AX109" s="142"/>
      <c r="AY109" s="142"/>
      <c r="AZ109" s="142"/>
      <c r="BA109" s="142"/>
      <c r="BB109" s="142"/>
      <c r="BC109" s="142"/>
      <c r="BD109" s="142"/>
      <c r="BE109" s="142"/>
      <c r="BF109" s="142"/>
      <c r="BG109" s="142"/>
      <c r="BH109" s="142"/>
      <c r="BI109" s="142"/>
      <c r="BJ109" s="142"/>
      <c r="BK109" s="142"/>
      <c r="BL109" s="142"/>
      <c r="BM109" s="142"/>
      <c r="BN109" s="142"/>
      <c r="BO109" s="142"/>
      <c r="BP109" s="142"/>
      <c r="BQ109" s="142"/>
      <c r="BR109" s="142"/>
    </row>
    <row r="110" spans="1:70" ht="14.25" customHeight="1" x14ac:dyDescent="0.3">
      <c r="A110" s="70"/>
      <c r="B110" s="16"/>
      <c r="C110" s="16"/>
      <c r="D110" s="70"/>
      <c r="E110" s="70"/>
      <c r="F110" s="70"/>
      <c r="G110" s="70"/>
      <c r="H110" s="70"/>
      <c r="I110" s="70"/>
      <c r="J110" s="70"/>
      <c r="K110" s="70"/>
      <c r="L110" s="70"/>
      <c r="M110" s="70"/>
      <c r="N110" s="70"/>
      <c r="O110" s="70"/>
      <c r="P110" s="70"/>
      <c r="Q110" s="70"/>
      <c r="R110" s="70"/>
      <c r="S110" s="70"/>
      <c r="T110" s="40"/>
      <c r="U110" s="40"/>
      <c r="V110" s="40"/>
      <c r="W110" s="40"/>
      <c r="X110" s="40"/>
      <c r="Y110" s="38"/>
      <c r="Z110" s="38"/>
      <c r="AA110" s="38"/>
      <c r="AB110" s="38"/>
      <c r="AC110" s="38"/>
      <c r="AD110" s="38"/>
      <c r="AE110" s="38"/>
      <c r="AF110" s="36"/>
      <c r="AG110" s="36"/>
      <c r="AH110" s="36"/>
      <c r="AI110" s="36"/>
      <c r="AJ110" s="36"/>
      <c r="AK110" s="41"/>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c r="BI110" s="69"/>
      <c r="BJ110" s="69"/>
      <c r="BK110" s="69"/>
      <c r="BL110" s="69"/>
      <c r="BM110" s="69"/>
      <c r="BN110" s="69"/>
      <c r="BO110" s="69"/>
      <c r="BP110" s="69"/>
    </row>
    <row r="111" spans="1:70" ht="14.25" customHeight="1" x14ac:dyDescent="0.3">
      <c r="A111" s="70"/>
      <c r="B111" s="16"/>
      <c r="C111" s="16"/>
      <c r="D111" s="70"/>
      <c r="E111" s="70"/>
      <c r="F111" s="70"/>
      <c r="G111" s="70"/>
      <c r="H111" s="70"/>
      <c r="I111" s="70"/>
      <c r="J111" s="70"/>
      <c r="K111" s="70"/>
      <c r="L111" s="70"/>
      <c r="M111" s="70"/>
      <c r="N111" s="70"/>
      <c r="O111" s="70"/>
      <c r="P111" s="70"/>
      <c r="Q111" s="70"/>
      <c r="R111" s="70"/>
      <c r="S111" s="70"/>
      <c r="T111" s="40"/>
      <c r="U111" s="40"/>
      <c r="V111" s="40"/>
      <c r="W111" s="40"/>
      <c r="X111" s="40"/>
      <c r="Y111" s="38"/>
      <c r="Z111" s="38"/>
      <c r="AA111" s="38"/>
      <c r="AB111" s="38"/>
      <c r="AC111" s="38"/>
      <c r="AD111" s="38"/>
      <c r="AE111" s="38"/>
      <c r="AF111" s="36"/>
      <c r="AG111" s="36"/>
      <c r="AH111" s="36"/>
      <c r="AI111" s="36"/>
      <c r="AJ111" s="36"/>
      <c r="AK111" s="41"/>
      <c r="AL111" s="69"/>
      <c r="AM111" s="69"/>
      <c r="AN111" s="69"/>
      <c r="AO111" s="69"/>
      <c r="AP111" s="69"/>
      <c r="AQ111" s="69"/>
      <c r="AR111" s="69"/>
      <c r="AS111" s="69"/>
      <c r="AT111" s="69"/>
      <c r="AU111" s="69"/>
      <c r="AV111" s="69"/>
      <c r="AW111" s="69"/>
      <c r="AX111" s="69"/>
      <c r="AY111" s="69"/>
      <c r="AZ111" s="69"/>
      <c r="BA111" s="69"/>
      <c r="BB111" s="69"/>
      <c r="BC111" s="69"/>
      <c r="BD111" s="69"/>
      <c r="BE111" s="69"/>
      <c r="BF111" s="69"/>
      <c r="BG111" s="69"/>
      <c r="BH111" s="69"/>
      <c r="BI111" s="69"/>
      <c r="BJ111" s="69"/>
      <c r="BK111" s="69"/>
      <c r="BL111" s="69"/>
      <c r="BM111" s="69"/>
      <c r="BN111" s="69"/>
      <c r="BO111" s="69"/>
      <c r="BP111" s="69"/>
    </row>
    <row r="112" spans="1:70" ht="14.25" customHeight="1" x14ac:dyDescent="0.25">
      <c r="A112" s="141" t="s">
        <v>67</v>
      </c>
      <c r="B112" s="141"/>
      <c r="C112" s="141"/>
      <c r="D112" s="141"/>
      <c r="E112" s="141"/>
      <c r="F112" s="141"/>
      <c r="G112" s="141"/>
      <c r="H112" s="141"/>
      <c r="I112" s="141"/>
      <c r="J112" s="141"/>
      <c r="K112" s="141"/>
      <c r="L112" s="141"/>
      <c r="M112" s="141"/>
      <c r="N112" s="141"/>
      <c r="O112" s="141"/>
      <c r="P112" s="142" t="s">
        <v>21</v>
      </c>
      <c r="Q112" s="142"/>
      <c r="R112" s="142"/>
      <c r="S112" s="142"/>
      <c r="T112" s="142"/>
      <c r="U112" s="142"/>
      <c r="V112" s="142"/>
      <c r="W112" s="142"/>
      <c r="X112" s="142"/>
      <c r="Y112" s="141" t="s">
        <v>68</v>
      </c>
      <c r="Z112" s="141"/>
      <c r="AA112" s="141"/>
      <c r="AB112" s="141"/>
      <c r="AC112" s="141"/>
      <c r="AD112" s="141"/>
      <c r="AE112" s="141"/>
      <c r="AF112" s="42"/>
      <c r="AG112" s="42"/>
      <c r="AH112" s="43"/>
      <c r="AI112" s="43"/>
      <c r="AJ112" s="203" t="s">
        <v>238</v>
      </c>
      <c r="AK112" s="203"/>
      <c r="AL112" s="203"/>
      <c r="AM112" s="203"/>
      <c r="AN112" s="203"/>
      <c r="AO112" s="203"/>
      <c r="AP112" s="203"/>
      <c r="AQ112" s="203"/>
      <c r="AR112" s="203"/>
      <c r="AS112" s="203"/>
      <c r="AT112" s="203"/>
      <c r="AU112" s="203"/>
      <c r="AV112" s="203"/>
      <c r="AW112" s="203"/>
      <c r="AX112" s="203"/>
      <c r="AY112" s="142" t="s">
        <v>21</v>
      </c>
      <c r="AZ112" s="142"/>
      <c r="BA112" s="142"/>
      <c r="BB112" s="142"/>
      <c r="BC112" s="142"/>
      <c r="BD112" s="142"/>
      <c r="BE112" s="142"/>
      <c r="BF112" s="142"/>
      <c r="BG112" s="142"/>
      <c r="BH112" s="203" t="s">
        <v>244</v>
      </c>
      <c r="BI112" s="203"/>
      <c r="BJ112" s="203"/>
      <c r="BK112" s="203"/>
      <c r="BL112" s="203"/>
      <c r="BM112" s="203"/>
      <c r="BN112" s="203"/>
      <c r="BO112" s="203"/>
      <c r="BP112" s="203"/>
      <c r="BQ112" s="203"/>
      <c r="BR112" s="203"/>
    </row>
    <row r="113" spans="1:70" ht="14.25" customHeight="1" x14ac:dyDescent="0.25">
      <c r="A113" s="141"/>
      <c r="B113" s="141"/>
      <c r="C113" s="141"/>
      <c r="D113" s="141"/>
      <c r="E113" s="141"/>
      <c r="F113" s="141"/>
      <c r="G113" s="141"/>
      <c r="H113" s="141"/>
      <c r="I113" s="141"/>
      <c r="J113" s="141"/>
      <c r="K113" s="141"/>
      <c r="L113" s="141"/>
      <c r="M113" s="141"/>
      <c r="N113" s="141"/>
      <c r="O113" s="141"/>
      <c r="P113" s="142"/>
      <c r="Q113" s="142"/>
      <c r="R113" s="142"/>
      <c r="S113" s="142"/>
      <c r="T113" s="142"/>
      <c r="U113" s="142"/>
      <c r="V113" s="142"/>
      <c r="W113" s="142"/>
      <c r="X113" s="142"/>
      <c r="Y113" s="141"/>
      <c r="Z113" s="141"/>
      <c r="AA113" s="141"/>
      <c r="AB113" s="141"/>
      <c r="AC113" s="141"/>
      <c r="AD113" s="141"/>
      <c r="AE113" s="141"/>
      <c r="AF113" s="42"/>
      <c r="AG113" s="42"/>
      <c r="AH113" s="43"/>
      <c r="AI113" s="43"/>
      <c r="AJ113" s="203"/>
      <c r="AK113" s="203"/>
      <c r="AL113" s="203"/>
      <c r="AM113" s="203"/>
      <c r="AN113" s="203"/>
      <c r="AO113" s="203"/>
      <c r="AP113" s="203"/>
      <c r="AQ113" s="203"/>
      <c r="AR113" s="203"/>
      <c r="AS113" s="203"/>
      <c r="AT113" s="203"/>
      <c r="AU113" s="203"/>
      <c r="AV113" s="203"/>
      <c r="AW113" s="203"/>
      <c r="AX113" s="203"/>
      <c r="AY113" s="142"/>
      <c r="AZ113" s="142"/>
      <c r="BA113" s="142"/>
      <c r="BB113" s="142"/>
      <c r="BC113" s="142"/>
      <c r="BD113" s="142"/>
      <c r="BE113" s="142"/>
      <c r="BF113" s="142"/>
      <c r="BG113" s="142"/>
      <c r="BH113" s="203"/>
      <c r="BI113" s="203"/>
      <c r="BJ113" s="203"/>
      <c r="BK113" s="203"/>
      <c r="BL113" s="203"/>
      <c r="BM113" s="203"/>
      <c r="BN113" s="203"/>
      <c r="BO113" s="203"/>
      <c r="BP113" s="203"/>
      <c r="BQ113" s="203"/>
      <c r="BR113" s="203"/>
    </row>
    <row r="114" spans="1:70" ht="14.25" customHeight="1" x14ac:dyDescent="0.25">
      <c r="A114" s="141"/>
      <c r="B114" s="141"/>
      <c r="C114" s="141"/>
      <c r="D114" s="141"/>
      <c r="E114" s="141"/>
      <c r="F114" s="141"/>
      <c r="G114" s="141"/>
      <c r="H114" s="141"/>
      <c r="I114" s="141"/>
      <c r="J114" s="141"/>
      <c r="K114" s="141"/>
      <c r="L114" s="141"/>
      <c r="M114" s="141"/>
      <c r="N114" s="141"/>
      <c r="O114" s="141"/>
      <c r="P114" s="142"/>
      <c r="Q114" s="142"/>
      <c r="R114" s="142"/>
      <c r="S114" s="142"/>
      <c r="T114" s="142"/>
      <c r="U114" s="142"/>
      <c r="V114" s="142"/>
      <c r="W114" s="142"/>
      <c r="X114" s="142"/>
      <c r="Y114" s="141"/>
      <c r="Z114" s="141"/>
      <c r="AA114" s="141"/>
      <c r="AB114" s="141"/>
      <c r="AC114" s="141"/>
      <c r="AD114" s="141"/>
      <c r="AE114" s="141"/>
      <c r="AF114" s="42"/>
      <c r="AG114" s="42"/>
      <c r="AH114" s="43"/>
      <c r="AI114" s="43"/>
      <c r="AJ114" s="203"/>
      <c r="AK114" s="203"/>
      <c r="AL114" s="203"/>
      <c r="AM114" s="203"/>
      <c r="AN114" s="203"/>
      <c r="AO114" s="203"/>
      <c r="AP114" s="203"/>
      <c r="AQ114" s="203"/>
      <c r="AR114" s="203"/>
      <c r="AS114" s="203"/>
      <c r="AT114" s="203"/>
      <c r="AU114" s="203"/>
      <c r="AV114" s="203"/>
      <c r="AW114" s="203"/>
      <c r="AX114" s="203"/>
      <c r="AY114" s="142"/>
      <c r="AZ114" s="142"/>
      <c r="BA114" s="142"/>
      <c r="BB114" s="142"/>
      <c r="BC114" s="142"/>
      <c r="BD114" s="142"/>
      <c r="BE114" s="142"/>
      <c r="BF114" s="142"/>
      <c r="BG114" s="142"/>
      <c r="BH114" s="203"/>
      <c r="BI114" s="203"/>
      <c r="BJ114" s="203"/>
      <c r="BK114" s="203"/>
      <c r="BL114" s="203"/>
      <c r="BM114" s="203"/>
      <c r="BN114" s="203"/>
      <c r="BO114" s="203"/>
      <c r="BP114" s="203"/>
      <c r="BQ114" s="203"/>
      <c r="BR114" s="203"/>
    </row>
    <row r="115" spans="1:70" ht="14.25" customHeight="1" x14ac:dyDescent="0.25">
      <c r="A115" s="141"/>
      <c r="B115" s="141"/>
      <c r="C115" s="141"/>
      <c r="D115" s="141"/>
      <c r="E115" s="141"/>
      <c r="F115" s="141"/>
      <c r="G115" s="141"/>
      <c r="H115" s="141"/>
      <c r="I115" s="141"/>
      <c r="J115" s="141"/>
      <c r="K115" s="141"/>
      <c r="L115" s="141"/>
      <c r="M115" s="141"/>
      <c r="N115" s="141"/>
      <c r="O115" s="141"/>
      <c r="P115" s="142"/>
      <c r="Q115" s="142"/>
      <c r="R115" s="142"/>
      <c r="S115" s="142"/>
      <c r="T115" s="142"/>
      <c r="U115" s="142"/>
      <c r="V115" s="142"/>
      <c r="W115" s="142"/>
      <c r="X115" s="142"/>
      <c r="Y115" s="141"/>
      <c r="Z115" s="141"/>
      <c r="AA115" s="141"/>
      <c r="AB115" s="141"/>
      <c r="AC115" s="141"/>
      <c r="AD115" s="141"/>
      <c r="AE115" s="141"/>
      <c r="AF115" s="42"/>
      <c r="AG115" s="42"/>
      <c r="AH115" s="43"/>
      <c r="AI115" s="43"/>
      <c r="AJ115" s="203"/>
      <c r="AK115" s="203"/>
      <c r="AL115" s="203"/>
      <c r="AM115" s="203"/>
      <c r="AN115" s="203"/>
      <c r="AO115" s="203"/>
      <c r="AP115" s="203"/>
      <c r="AQ115" s="203"/>
      <c r="AR115" s="203"/>
      <c r="AS115" s="203"/>
      <c r="AT115" s="203"/>
      <c r="AU115" s="203"/>
      <c r="AV115" s="203"/>
      <c r="AW115" s="203"/>
      <c r="AX115" s="203"/>
      <c r="AY115" s="142"/>
      <c r="AZ115" s="142"/>
      <c r="BA115" s="142"/>
      <c r="BB115" s="142"/>
      <c r="BC115" s="142"/>
      <c r="BD115" s="142"/>
      <c r="BE115" s="142"/>
      <c r="BF115" s="142"/>
      <c r="BG115" s="142"/>
      <c r="BH115" s="203"/>
      <c r="BI115" s="203"/>
      <c r="BJ115" s="203"/>
      <c r="BK115" s="203"/>
      <c r="BL115" s="203"/>
      <c r="BM115" s="203"/>
      <c r="BN115" s="203"/>
      <c r="BO115" s="203"/>
      <c r="BP115" s="203"/>
      <c r="BQ115" s="203"/>
      <c r="BR115" s="203"/>
    </row>
    <row r="116" spans="1:70" ht="14.25" customHeight="1" x14ac:dyDescent="0.25">
      <c r="A116" s="68"/>
      <c r="B116" s="68"/>
      <c r="C116" s="68"/>
      <c r="D116" s="68"/>
      <c r="E116" s="68"/>
      <c r="F116" s="68"/>
      <c r="G116" s="68"/>
      <c r="H116" s="68"/>
      <c r="I116" s="68"/>
      <c r="J116" s="68"/>
      <c r="K116" s="68"/>
      <c r="L116" s="68"/>
      <c r="M116" s="68"/>
      <c r="N116" s="68"/>
      <c r="O116" s="68"/>
      <c r="P116" s="69"/>
      <c r="Q116" s="69"/>
      <c r="R116" s="69"/>
      <c r="S116" s="69"/>
      <c r="T116" s="69"/>
      <c r="U116" s="69"/>
      <c r="V116" s="69"/>
      <c r="W116" s="69"/>
      <c r="X116" s="69"/>
      <c r="Y116" s="68"/>
      <c r="Z116" s="68"/>
      <c r="AA116" s="68"/>
      <c r="AB116" s="68"/>
      <c r="AC116" s="68"/>
      <c r="AD116" s="68"/>
      <c r="AE116" s="68"/>
      <c r="AF116" s="42"/>
      <c r="AG116" s="42"/>
      <c r="AH116" s="43"/>
      <c r="AI116" s="43"/>
      <c r="AJ116" s="68"/>
      <c r="AK116" s="68"/>
      <c r="AL116" s="68"/>
      <c r="AM116" s="68"/>
      <c r="AN116" s="68"/>
      <c r="AO116" s="68"/>
      <c r="AP116" s="68"/>
      <c r="AQ116" s="68"/>
      <c r="AR116" s="68"/>
      <c r="AS116" s="68"/>
      <c r="AT116" s="68"/>
      <c r="AU116" s="68"/>
      <c r="AV116" s="68"/>
      <c r="AW116" s="68"/>
      <c r="AX116" s="68"/>
      <c r="AY116" s="69"/>
      <c r="AZ116" s="69"/>
      <c r="BA116" s="69"/>
      <c r="BB116" s="69"/>
      <c r="BC116" s="69"/>
      <c r="BD116" s="69"/>
      <c r="BE116" s="69"/>
      <c r="BF116" s="69"/>
      <c r="BG116" s="69"/>
      <c r="BH116" s="81"/>
      <c r="BI116" s="81"/>
      <c r="BJ116" s="81"/>
      <c r="BK116" s="81"/>
      <c r="BL116" s="81"/>
      <c r="BM116" s="81"/>
      <c r="BN116" s="81"/>
      <c r="BO116" s="81"/>
      <c r="BP116" s="81"/>
      <c r="BQ116" s="81"/>
      <c r="BR116" s="81"/>
    </row>
    <row r="117" spans="1:70" ht="14.25" customHeight="1" x14ac:dyDescent="0.3">
      <c r="A117" s="68"/>
      <c r="B117" s="68"/>
      <c r="C117" s="68"/>
      <c r="D117" s="68"/>
      <c r="E117" s="68"/>
      <c r="F117" s="68"/>
      <c r="G117" s="68"/>
      <c r="H117" s="68"/>
      <c r="I117" s="68"/>
      <c r="J117" s="68"/>
      <c r="K117" s="68"/>
      <c r="L117" s="68"/>
      <c r="M117" s="68"/>
      <c r="N117" s="68"/>
      <c r="O117" s="68"/>
      <c r="P117" s="68"/>
      <c r="Q117" s="42"/>
      <c r="R117" s="42"/>
      <c r="S117" s="42"/>
      <c r="T117" s="68"/>
      <c r="U117" s="68"/>
      <c r="V117" s="44"/>
      <c r="W117" s="44"/>
      <c r="X117" s="44"/>
      <c r="Y117" s="81"/>
      <c r="Z117" s="81"/>
      <c r="AA117" s="81"/>
      <c r="AB117" s="81"/>
      <c r="AC117" s="81"/>
      <c r="AD117" s="81"/>
      <c r="AE117" s="81"/>
      <c r="AF117" s="81"/>
      <c r="AG117" s="81"/>
      <c r="AH117" s="81"/>
      <c r="AI117" s="43"/>
      <c r="AJ117" s="68"/>
      <c r="AK117" s="68"/>
      <c r="AL117" s="68"/>
      <c r="AM117" s="68"/>
      <c r="AN117" s="68"/>
      <c r="AO117" s="68"/>
      <c r="AP117" s="68"/>
      <c r="AQ117" s="68"/>
      <c r="AR117" s="68"/>
      <c r="AS117" s="68"/>
      <c r="AT117" s="68"/>
      <c r="AU117" s="68"/>
      <c r="AV117" s="68"/>
      <c r="AW117" s="68"/>
      <c r="AX117" s="68"/>
      <c r="AY117" s="68"/>
      <c r="AZ117" s="42"/>
      <c r="BA117" s="42"/>
      <c r="BB117" s="42"/>
      <c r="BC117" s="68"/>
      <c r="BD117" s="68"/>
      <c r="BE117" s="44"/>
      <c r="BF117" s="44"/>
      <c r="BG117" s="44"/>
      <c r="BH117" s="81"/>
      <c r="BI117" s="81"/>
      <c r="BJ117" s="81"/>
      <c r="BK117" s="81"/>
      <c r="BL117" s="81"/>
      <c r="BM117" s="81"/>
      <c r="BN117" s="81"/>
      <c r="BO117" s="45"/>
      <c r="BP117" s="45"/>
    </row>
    <row r="118" spans="1:70" ht="14.25" customHeight="1" x14ac:dyDescent="0.25">
      <c r="A118" s="141" t="s">
        <v>254</v>
      </c>
      <c r="B118" s="141"/>
      <c r="C118" s="141"/>
      <c r="D118" s="141"/>
      <c r="E118" s="141"/>
      <c r="F118" s="141"/>
      <c r="G118" s="141"/>
      <c r="H118" s="141"/>
      <c r="I118" s="141"/>
      <c r="J118" s="141"/>
      <c r="K118" s="141"/>
      <c r="L118" s="141"/>
      <c r="M118" s="141"/>
      <c r="N118" s="141"/>
      <c r="O118" s="141"/>
      <c r="P118" s="142" t="s">
        <v>21</v>
      </c>
      <c r="Q118" s="142"/>
      <c r="R118" s="142"/>
      <c r="S118" s="142"/>
      <c r="T118" s="142"/>
      <c r="U118" s="142"/>
      <c r="V118" s="142"/>
      <c r="W118" s="142"/>
      <c r="X118" s="142"/>
      <c r="Y118" s="141" t="s">
        <v>69</v>
      </c>
      <c r="Z118" s="141"/>
      <c r="AA118" s="141"/>
      <c r="AB118" s="141"/>
      <c r="AC118" s="141"/>
      <c r="AD118" s="141"/>
      <c r="AE118" s="141"/>
      <c r="AF118" s="42"/>
      <c r="AG118" s="42"/>
      <c r="AH118" s="43"/>
      <c r="AI118" s="43"/>
      <c r="AJ118" s="141" t="s">
        <v>70</v>
      </c>
      <c r="AK118" s="141"/>
      <c r="AL118" s="141"/>
      <c r="AM118" s="141"/>
      <c r="AN118" s="141"/>
      <c r="AO118" s="141"/>
      <c r="AP118" s="141"/>
      <c r="AQ118" s="141"/>
      <c r="AR118" s="141"/>
      <c r="AS118" s="141"/>
      <c r="AT118" s="141"/>
      <c r="AU118" s="141"/>
      <c r="AV118" s="141"/>
      <c r="AW118" s="141"/>
      <c r="AX118" s="141"/>
      <c r="AY118" s="142" t="s">
        <v>21</v>
      </c>
      <c r="AZ118" s="142"/>
      <c r="BA118" s="142"/>
      <c r="BB118" s="142"/>
      <c r="BC118" s="142"/>
      <c r="BD118" s="142"/>
      <c r="BE118" s="142"/>
      <c r="BF118" s="142"/>
      <c r="BG118" s="142"/>
      <c r="BH118" s="203" t="s">
        <v>246</v>
      </c>
      <c r="BI118" s="203"/>
      <c r="BJ118" s="203"/>
      <c r="BK118" s="203"/>
      <c r="BL118" s="203"/>
      <c r="BM118" s="203"/>
      <c r="BN118" s="203"/>
      <c r="BO118" s="203"/>
      <c r="BP118" s="203"/>
      <c r="BQ118" s="203"/>
      <c r="BR118" s="203"/>
    </row>
    <row r="119" spans="1:70" ht="14.25" customHeight="1" x14ac:dyDescent="0.25">
      <c r="A119" s="141"/>
      <c r="B119" s="141"/>
      <c r="C119" s="141"/>
      <c r="D119" s="141"/>
      <c r="E119" s="141"/>
      <c r="F119" s="141"/>
      <c r="G119" s="141"/>
      <c r="H119" s="141"/>
      <c r="I119" s="141"/>
      <c r="J119" s="141"/>
      <c r="K119" s="141"/>
      <c r="L119" s="141"/>
      <c r="M119" s="141"/>
      <c r="N119" s="141"/>
      <c r="O119" s="141"/>
      <c r="P119" s="142"/>
      <c r="Q119" s="142"/>
      <c r="R119" s="142"/>
      <c r="S119" s="142"/>
      <c r="T119" s="142"/>
      <c r="U119" s="142"/>
      <c r="V119" s="142"/>
      <c r="W119" s="142"/>
      <c r="X119" s="142"/>
      <c r="Y119" s="141"/>
      <c r="Z119" s="141"/>
      <c r="AA119" s="141"/>
      <c r="AB119" s="141"/>
      <c r="AC119" s="141"/>
      <c r="AD119" s="141"/>
      <c r="AE119" s="141"/>
      <c r="AF119" s="42"/>
      <c r="AG119" s="42"/>
      <c r="AH119" s="43"/>
      <c r="AI119" s="43"/>
      <c r="AJ119" s="141"/>
      <c r="AK119" s="141"/>
      <c r="AL119" s="141"/>
      <c r="AM119" s="141"/>
      <c r="AN119" s="141"/>
      <c r="AO119" s="141"/>
      <c r="AP119" s="141"/>
      <c r="AQ119" s="141"/>
      <c r="AR119" s="141"/>
      <c r="AS119" s="141"/>
      <c r="AT119" s="141"/>
      <c r="AU119" s="141"/>
      <c r="AV119" s="141"/>
      <c r="AW119" s="141"/>
      <c r="AX119" s="141"/>
      <c r="AY119" s="142"/>
      <c r="AZ119" s="142"/>
      <c r="BA119" s="142"/>
      <c r="BB119" s="142"/>
      <c r="BC119" s="142"/>
      <c r="BD119" s="142"/>
      <c r="BE119" s="142"/>
      <c r="BF119" s="142"/>
      <c r="BG119" s="142"/>
      <c r="BH119" s="203"/>
      <c r="BI119" s="203"/>
      <c r="BJ119" s="203"/>
      <c r="BK119" s="203"/>
      <c r="BL119" s="203"/>
      <c r="BM119" s="203"/>
      <c r="BN119" s="203"/>
      <c r="BO119" s="203"/>
      <c r="BP119" s="203"/>
      <c r="BQ119" s="203"/>
      <c r="BR119" s="203"/>
    </row>
    <row r="120" spans="1:70" ht="14.25" customHeight="1" x14ac:dyDescent="0.25">
      <c r="A120" s="141"/>
      <c r="B120" s="141"/>
      <c r="C120" s="141"/>
      <c r="D120" s="141"/>
      <c r="E120" s="141"/>
      <c r="F120" s="141"/>
      <c r="G120" s="141"/>
      <c r="H120" s="141"/>
      <c r="I120" s="141"/>
      <c r="J120" s="141"/>
      <c r="K120" s="141"/>
      <c r="L120" s="141"/>
      <c r="M120" s="141"/>
      <c r="N120" s="141"/>
      <c r="O120" s="141"/>
      <c r="P120" s="142"/>
      <c r="Q120" s="142"/>
      <c r="R120" s="142"/>
      <c r="S120" s="142"/>
      <c r="T120" s="142"/>
      <c r="U120" s="142"/>
      <c r="V120" s="142"/>
      <c r="W120" s="142"/>
      <c r="X120" s="142"/>
      <c r="Y120" s="141"/>
      <c r="Z120" s="141"/>
      <c r="AA120" s="141"/>
      <c r="AB120" s="141"/>
      <c r="AC120" s="141"/>
      <c r="AD120" s="141"/>
      <c r="AE120" s="141"/>
      <c r="AF120" s="42"/>
      <c r="AG120" s="42"/>
      <c r="AH120" s="43"/>
      <c r="AI120" s="43"/>
      <c r="AJ120" s="141"/>
      <c r="AK120" s="141"/>
      <c r="AL120" s="141"/>
      <c r="AM120" s="141"/>
      <c r="AN120" s="141"/>
      <c r="AO120" s="141"/>
      <c r="AP120" s="141"/>
      <c r="AQ120" s="141"/>
      <c r="AR120" s="141"/>
      <c r="AS120" s="141"/>
      <c r="AT120" s="141"/>
      <c r="AU120" s="141"/>
      <c r="AV120" s="141"/>
      <c r="AW120" s="141"/>
      <c r="AX120" s="141"/>
      <c r="AY120" s="142"/>
      <c r="AZ120" s="142"/>
      <c r="BA120" s="142"/>
      <c r="BB120" s="142"/>
      <c r="BC120" s="142"/>
      <c r="BD120" s="142"/>
      <c r="BE120" s="142"/>
      <c r="BF120" s="142"/>
      <c r="BG120" s="142"/>
      <c r="BH120" s="203"/>
      <c r="BI120" s="203"/>
      <c r="BJ120" s="203"/>
      <c r="BK120" s="203"/>
      <c r="BL120" s="203"/>
      <c r="BM120" s="203"/>
      <c r="BN120" s="203"/>
      <c r="BO120" s="203"/>
      <c r="BP120" s="203"/>
      <c r="BQ120" s="203"/>
      <c r="BR120" s="203"/>
    </row>
    <row r="121" spans="1:70" ht="14.25" customHeight="1" x14ac:dyDescent="0.25">
      <c r="A121" s="141"/>
      <c r="B121" s="141"/>
      <c r="C121" s="141"/>
      <c r="D121" s="141"/>
      <c r="E121" s="141"/>
      <c r="F121" s="141"/>
      <c r="G121" s="141"/>
      <c r="H121" s="141"/>
      <c r="I121" s="141"/>
      <c r="J121" s="141"/>
      <c r="K121" s="141"/>
      <c r="L121" s="141"/>
      <c r="M121" s="141"/>
      <c r="N121" s="141"/>
      <c r="O121" s="141"/>
      <c r="P121" s="142"/>
      <c r="Q121" s="142"/>
      <c r="R121" s="142"/>
      <c r="S121" s="142"/>
      <c r="T121" s="142"/>
      <c r="U121" s="142"/>
      <c r="V121" s="142"/>
      <c r="W121" s="142"/>
      <c r="X121" s="142"/>
      <c r="Y121" s="141"/>
      <c r="Z121" s="141"/>
      <c r="AA121" s="141"/>
      <c r="AB121" s="141"/>
      <c r="AC121" s="141"/>
      <c r="AD121" s="141"/>
      <c r="AE121" s="141"/>
      <c r="AF121" s="42"/>
      <c r="AG121" s="42"/>
      <c r="AH121" s="43"/>
      <c r="AI121" s="81"/>
      <c r="AJ121" s="141"/>
      <c r="AK121" s="141"/>
      <c r="AL121" s="141"/>
      <c r="AM121" s="141"/>
      <c r="AN121" s="141"/>
      <c r="AO121" s="141"/>
      <c r="AP121" s="141"/>
      <c r="AQ121" s="141"/>
      <c r="AR121" s="141"/>
      <c r="AS121" s="141"/>
      <c r="AT121" s="141"/>
      <c r="AU121" s="141"/>
      <c r="AV121" s="141"/>
      <c r="AW121" s="141"/>
      <c r="AX121" s="141"/>
      <c r="AY121" s="142"/>
      <c r="AZ121" s="142"/>
      <c r="BA121" s="142"/>
      <c r="BB121" s="142"/>
      <c r="BC121" s="142"/>
      <c r="BD121" s="142"/>
      <c r="BE121" s="142"/>
      <c r="BF121" s="142"/>
      <c r="BG121" s="142"/>
      <c r="BH121" s="203"/>
      <c r="BI121" s="203"/>
      <c r="BJ121" s="203"/>
      <c r="BK121" s="203"/>
      <c r="BL121" s="203"/>
      <c r="BM121" s="203"/>
      <c r="BN121" s="203"/>
      <c r="BO121" s="203"/>
      <c r="BP121" s="203"/>
      <c r="BQ121" s="203"/>
      <c r="BR121" s="203"/>
    </row>
    <row r="122" spans="1:70" ht="14.25" customHeight="1" x14ac:dyDescent="0.25">
      <c r="A122" s="68"/>
      <c r="B122" s="68"/>
      <c r="C122" s="68"/>
      <c r="D122" s="68"/>
      <c r="E122" s="68"/>
      <c r="F122" s="68"/>
      <c r="G122" s="68"/>
      <c r="H122" s="68"/>
      <c r="I122" s="68"/>
      <c r="J122" s="68"/>
      <c r="K122" s="68"/>
      <c r="L122" s="68"/>
      <c r="M122" s="68"/>
      <c r="N122" s="68"/>
      <c r="O122" s="68"/>
      <c r="P122" s="43"/>
      <c r="Q122" s="43"/>
      <c r="R122" s="43"/>
      <c r="S122" s="43"/>
      <c r="T122" s="43"/>
      <c r="U122" s="43"/>
      <c r="V122" s="43"/>
      <c r="W122" s="43"/>
      <c r="X122" s="43"/>
      <c r="Y122" s="81"/>
      <c r="Z122" s="81"/>
      <c r="AA122" s="81"/>
      <c r="AB122" s="81"/>
      <c r="AC122" s="81"/>
      <c r="AD122" s="81"/>
      <c r="AE122" s="81"/>
      <c r="AF122" s="81"/>
      <c r="AG122" s="81"/>
      <c r="AH122" s="43"/>
      <c r="AI122" s="81"/>
      <c r="AJ122" s="68"/>
      <c r="AK122" s="68"/>
      <c r="AL122" s="68"/>
      <c r="AM122" s="68"/>
      <c r="AN122" s="68"/>
      <c r="AO122" s="68"/>
      <c r="AP122" s="68"/>
      <c r="AQ122" s="68"/>
      <c r="AR122" s="68"/>
      <c r="AS122" s="68"/>
      <c r="AT122" s="68"/>
      <c r="AU122" s="68"/>
      <c r="AV122" s="68"/>
      <c r="AW122" s="68"/>
      <c r="AX122" s="68"/>
      <c r="AY122" s="43"/>
      <c r="AZ122" s="43"/>
      <c r="BA122" s="43"/>
      <c r="BB122" s="43"/>
      <c r="BC122" s="43"/>
      <c r="BD122" s="43"/>
      <c r="BE122" s="43"/>
      <c r="BF122" s="43"/>
      <c r="BG122" s="43"/>
      <c r="BH122" s="81"/>
      <c r="BI122" s="81"/>
      <c r="BJ122" s="81"/>
      <c r="BK122" s="81"/>
      <c r="BL122" s="81"/>
      <c r="BM122" s="81"/>
      <c r="BN122" s="81"/>
      <c r="BO122" s="61"/>
      <c r="BP122" s="61"/>
    </row>
    <row r="123" spans="1:70" ht="14.25" customHeight="1" x14ac:dyDescent="0.25">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3"/>
      <c r="Z123" s="43"/>
      <c r="AA123" s="43"/>
      <c r="AB123" s="43"/>
      <c r="AC123" s="43"/>
      <c r="AD123" s="43"/>
      <c r="AE123" s="43"/>
      <c r="AF123" s="42"/>
      <c r="AG123" s="42"/>
      <c r="AH123" s="43"/>
      <c r="AI123" s="43"/>
      <c r="AJ123" s="42"/>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2"/>
      <c r="BH123" s="42"/>
      <c r="BI123" s="42"/>
      <c r="BJ123" s="42"/>
      <c r="BK123" s="42"/>
      <c r="BL123" s="42"/>
      <c r="BM123" s="42"/>
      <c r="BN123" s="42"/>
      <c r="BO123" s="61"/>
      <c r="BP123" s="61"/>
    </row>
    <row r="124" spans="1:70" ht="14.25" customHeight="1" x14ac:dyDescent="0.25">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3"/>
      <c r="Z124" s="43"/>
      <c r="AA124" s="43"/>
      <c r="AB124" s="43"/>
      <c r="AC124" s="43"/>
      <c r="AD124" s="43"/>
      <c r="AE124" s="43"/>
      <c r="AF124" s="42"/>
      <c r="AG124" s="42"/>
      <c r="AH124" s="43"/>
      <c r="AI124" s="43"/>
      <c r="AJ124" s="42"/>
      <c r="AK124" s="42"/>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42"/>
      <c r="BH124" s="42"/>
      <c r="BI124" s="42"/>
      <c r="BJ124" s="42"/>
      <c r="BK124" s="42"/>
      <c r="BL124" s="42"/>
      <c r="BM124" s="42"/>
      <c r="BN124" s="42"/>
      <c r="BO124" s="61"/>
      <c r="BP124" s="61"/>
    </row>
    <row r="125" spans="1:70" ht="14.25" customHeight="1" x14ac:dyDescent="0.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3"/>
      <c r="Z125" s="43"/>
      <c r="AA125" s="43"/>
      <c r="AB125" s="43"/>
      <c r="AC125" s="43"/>
      <c r="AD125" s="43"/>
      <c r="AE125" s="43"/>
      <c r="AF125" s="42"/>
      <c r="AG125" s="42"/>
      <c r="AH125" s="43"/>
      <c r="AI125" s="43"/>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c r="BO125" s="61"/>
      <c r="BP125" s="61"/>
    </row>
    <row r="126" spans="1:70" ht="14.25" customHeight="1" x14ac:dyDescent="0.25">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3"/>
      <c r="Z126" s="43"/>
      <c r="AA126" s="43"/>
      <c r="AB126" s="43"/>
      <c r="AC126" s="43"/>
      <c r="AD126" s="43"/>
      <c r="AE126" s="43"/>
      <c r="AF126" s="42"/>
      <c r="AG126" s="42"/>
      <c r="AH126" s="43"/>
      <c r="AI126" s="37"/>
      <c r="AJ126" s="42"/>
      <c r="AK126" s="42"/>
      <c r="AL126" s="42"/>
      <c r="AM126" s="42"/>
      <c r="AN126" s="42"/>
      <c r="AO126" s="42"/>
      <c r="AP126" s="42"/>
      <c r="AQ126" s="42"/>
      <c r="AR126" s="42"/>
      <c r="AS126" s="42"/>
      <c r="AT126" s="42"/>
      <c r="AU126" s="42"/>
      <c r="AV126" s="42"/>
      <c r="AW126" s="42"/>
      <c r="AX126" s="42"/>
      <c r="AY126" s="42"/>
      <c r="AZ126" s="42"/>
      <c r="BA126" s="42"/>
      <c r="BB126" s="42"/>
      <c r="BC126" s="42"/>
      <c r="BD126" s="42"/>
      <c r="BE126" s="42"/>
      <c r="BF126" s="42"/>
      <c r="BG126" s="42"/>
      <c r="BH126" s="42"/>
      <c r="BI126" s="42"/>
      <c r="BJ126" s="42"/>
      <c r="BK126" s="42"/>
      <c r="BL126" s="42"/>
      <c r="BM126" s="42"/>
      <c r="BN126" s="42"/>
    </row>
    <row r="127" spans="1:70" ht="14.25" customHeight="1" x14ac:dyDescent="0.3">
      <c r="A127" s="68"/>
      <c r="B127" s="46"/>
      <c r="C127" s="46"/>
      <c r="D127" s="68"/>
      <c r="E127" s="68"/>
      <c r="F127" s="68"/>
      <c r="G127" s="68"/>
      <c r="H127" s="68"/>
      <c r="I127" s="68"/>
      <c r="J127" s="68"/>
      <c r="K127" s="68"/>
      <c r="L127" s="68"/>
      <c r="M127" s="68"/>
      <c r="N127" s="68"/>
      <c r="O127" s="68"/>
      <c r="P127" s="42"/>
      <c r="Q127" s="42"/>
      <c r="R127" s="42"/>
      <c r="S127" s="42"/>
      <c r="T127" s="42"/>
      <c r="U127" s="42"/>
      <c r="V127" s="42"/>
      <c r="W127" s="42"/>
      <c r="X127" s="42"/>
      <c r="Y127" s="43"/>
      <c r="Z127" s="43"/>
      <c r="AA127" s="43"/>
      <c r="AB127" s="43"/>
      <c r="AC127" s="43"/>
      <c r="AD127" s="43"/>
      <c r="AE127" s="43"/>
      <c r="AF127" s="47"/>
      <c r="AG127" s="47"/>
      <c r="AH127" s="48"/>
      <c r="AI127" s="47"/>
      <c r="AJ127" s="68"/>
      <c r="AK127" s="68"/>
      <c r="AL127" s="68"/>
      <c r="AM127" s="68"/>
      <c r="AN127" s="68"/>
      <c r="AO127" s="68"/>
      <c r="AP127" s="68"/>
      <c r="AQ127" s="68"/>
      <c r="AR127" s="68"/>
      <c r="AS127" s="68"/>
      <c r="AT127" s="68"/>
      <c r="AU127" s="68"/>
      <c r="AV127" s="68"/>
      <c r="AW127" s="68"/>
      <c r="AX127" s="68"/>
      <c r="AY127" s="187"/>
      <c r="AZ127" s="187"/>
      <c r="BA127" s="187"/>
      <c r="BB127" s="187"/>
      <c r="BC127" s="187"/>
      <c r="BD127" s="187"/>
      <c r="BE127" s="187"/>
      <c r="BF127" s="187"/>
      <c r="BG127" s="187"/>
      <c r="BH127" s="187"/>
      <c r="BI127" s="187"/>
      <c r="BJ127" s="187"/>
      <c r="BK127" s="187"/>
      <c r="BL127" s="187"/>
      <c r="BM127" s="187"/>
      <c r="BN127" s="187"/>
      <c r="BO127" s="187"/>
      <c r="BP127" s="187"/>
    </row>
    <row r="128" spans="1:70" ht="14.25" customHeight="1" x14ac:dyDescent="0.3">
      <c r="A128" s="68"/>
      <c r="B128" s="46"/>
      <c r="C128" s="46"/>
      <c r="D128" s="68"/>
      <c r="E128" s="68"/>
      <c r="F128" s="68"/>
      <c r="G128" s="68"/>
      <c r="H128" s="68"/>
      <c r="I128" s="68"/>
      <c r="J128" s="68"/>
      <c r="K128" s="68"/>
      <c r="L128" s="68"/>
      <c r="M128" s="68"/>
      <c r="N128" s="68"/>
      <c r="O128" s="68"/>
      <c r="P128" s="42"/>
      <c r="Q128" s="42"/>
      <c r="R128" s="42"/>
      <c r="S128" s="42"/>
      <c r="T128" s="42"/>
      <c r="U128" s="42"/>
      <c r="V128" s="42"/>
      <c r="W128" s="42"/>
      <c r="X128" s="42"/>
      <c r="Y128" s="43"/>
      <c r="Z128" s="43"/>
      <c r="AA128" s="43"/>
      <c r="AB128" s="43"/>
      <c r="AC128" s="43"/>
      <c r="AD128" s="43"/>
      <c r="AE128" s="43"/>
      <c r="AF128" s="47"/>
      <c r="AG128" s="47"/>
      <c r="AH128" s="48"/>
      <c r="AI128" s="47"/>
      <c r="AJ128" s="68"/>
      <c r="AK128" s="68"/>
      <c r="AL128" s="68"/>
      <c r="AM128" s="68"/>
      <c r="AN128" s="68"/>
      <c r="AO128" s="68"/>
      <c r="AP128" s="68"/>
      <c r="AQ128" s="68"/>
      <c r="AR128" s="68"/>
      <c r="AS128" s="68"/>
      <c r="AT128" s="68"/>
      <c r="AU128" s="68"/>
      <c r="AV128" s="68"/>
      <c r="AW128" s="68"/>
      <c r="AX128" s="68"/>
      <c r="AY128" s="78"/>
      <c r="AZ128" s="78"/>
      <c r="BA128" s="78"/>
      <c r="BB128" s="78"/>
      <c r="BC128" s="78"/>
      <c r="BD128" s="78"/>
      <c r="BE128" s="78"/>
      <c r="BF128" s="78"/>
      <c r="BG128" s="78"/>
      <c r="BH128" s="78"/>
      <c r="BI128" s="78"/>
      <c r="BJ128" s="78"/>
      <c r="BK128" s="78"/>
      <c r="BL128" s="78"/>
      <c r="BM128" s="78"/>
      <c r="BN128" s="78"/>
      <c r="BO128" s="78"/>
      <c r="BP128" s="78"/>
    </row>
    <row r="129" spans="1:68" ht="14.25" customHeight="1" x14ac:dyDescent="0.3">
      <c r="A129" s="68"/>
      <c r="B129" s="46"/>
      <c r="C129" s="46"/>
      <c r="D129" s="68"/>
      <c r="E129" s="68"/>
      <c r="F129" s="68"/>
      <c r="G129" s="68"/>
      <c r="H129" s="68"/>
      <c r="I129" s="68"/>
      <c r="J129" s="68"/>
      <c r="K129" s="68"/>
      <c r="L129" s="68"/>
      <c r="M129" s="68"/>
      <c r="N129" s="68"/>
      <c r="O129" s="68"/>
      <c r="P129" s="42"/>
      <c r="Q129" s="42"/>
      <c r="R129" s="42"/>
      <c r="S129" s="42"/>
      <c r="T129" s="42"/>
      <c r="U129" s="42"/>
      <c r="V129" s="42"/>
      <c r="W129" s="42"/>
      <c r="X129" s="42"/>
      <c r="Y129" s="43"/>
      <c r="Z129" s="43"/>
      <c r="AA129" s="43"/>
      <c r="AB129" s="43"/>
      <c r="AC129" s="43"/>
      <c r="AD129" s="43"/>
      <c r="AE129" s="43"/>
      <c r="AF129" s="47"/>
      <c r="AG129" s="47"/>
      <c r="AH129" s="48"/>
      <c r="AI129" s="47"/>
      <c r="AJ129" s="68"/>
      <c r="AK129" s="68"/>
      <c r="AL129" s="68"/>
      <c r="AM129" s="68"/>
      <c r="AN129" s="68"/>
      <c r="AO129" s="68"/>
      <c r="AP129" s="68"/>
      <c r="AQ129" s="68"/>
      <c r="AR129" s="68"/>
      <c r="AS129" s="68"/>
      <c r="AT129" s="68"/>
      <c r="AU129" s="68"/>
      <c r="AV129" s="68"/>
      <c r="AW129" s="68"/>
      <c r="AX129" s="68"/>
      <c r="AY129" s="78"/>
      <c r="AZ129" s="78"/>
      <c r="BA129" s="78"/>
      <c r="BB129" s="78"/>
      <c r="BC129" s="78"/>
      <c r="BD129" s="78"/>
      <c r="BE129" s="78"/>
      <c r="BF129" s="78"/>
      <c r="BG129" s="78"/>
      <c r="BH129" s="78"/>
      <c r="BI129" s="78"/>
      <c r="BJ129" s="78"/>
      <c r="BK129" s="78"/>
      <c r="BL129" s="78"/>
      <c r="BM129" s="78"/>
      <c r="BN129" s="78"/>
      <c r="BO129" s="78"/>
      <c r="BP129" s="78"/>
    </row>
    <row r="130" spans="1:68" ht="14.25" customHeight="1" x14ac:dyDescent="0.3">
      <c r="A130" s="45"/>
      <c r="B130" s="45"/>
      <c r="C130" s="45"/>
      <c r="D130" s="45"/>
      <c r="E130" s="45"/>
      <c r="F130" s="45"/>
      <c r="G130" s="45"/>
      <c r="H130" s="45"/>
      <c r="I130" s="45"/>
      <c r="J130" s="45"/>
      <c r="K130" s="45"/>
      <c r="L130" s="45"/>
      <c r="M130" s="45"/>
      <c r="N130" s="45"/>
      <c r="O130" s="45"/>
      <c r="P130" s="42"/>
      <c r="Q130" s="42"/>
      <c r="R130" s="42"/>
      <c r="S130" s="42"/>
      <c r="T130" s="42"/>
      <c r="U130" s="42"/>
      <c r="V130" s="42"/>
      <c r="W130" s="42"/>
      <c r="X130" s="42"/>
      <c r="Y130" s="43"/>
      <c r="Z130" s="43"/>
      <c r="AA130" s="43"/>
      <c r="AB130" s="43"/>
      <c r="AC130" s="43"/>
      <c r="AD130" s="43"/>
      <c r="AE130" s="43"/>
      <c r="AF130" s="45"/>
      <c r="AG130" s="45"/>
      <c r="AH130" s="48"/>
      <c r="AI130" s="48"/>
      <c r="AJ130" s="206"/>
      <c r="AK130" s="206"/>
      <c r="AL130" s="206"/>
      <c r="AM130" s="206"/>
      <c r="AN130" s="206"/>
      <c r="AO130" s="206"/>
      <c r="AP130" s="206"/>
      <c r="AQ130" s="206"/>
      <c r="AR130" s="206"/>
      <c r="AS130" s="206"/>
      <c r="AT130" s="206"/>
      <c r="AU130" s="206"/>
      <c r="AV130" s="206"/>
      <c r="AW130" s="206"/>
      <c r="AX130" s="206"/>
      <c r="AY130" s="187"/>
      <c r="AZ130" s="187"/>
      <c r="BA130" s="187"/>
      <c r="BB130" s="187"/>
      <c r="BC130" s="187"/>
      <c r="BD130" s="187"/>
      <c r="BE130" s="187"/>
      <c r="BF130" s="187"/>
      <c r="BG130" s="187"/>
      <c r="BH130" s="187"/>
      <c r="BI130" s="187"/>
      <c r="BJ130" s="187"/>
      <c r="BK130" s="187"/>
      <c r="BL130" s="187"/>
      <c r="BM130" s="187"/>
      <c r="BN130" s="187"/>
      <c r="BO130" s="187"/>
      <c r="BP130" s="187"/>
    </row>
    <row r="131" spans="1:68" ht="14.25" customHeight="1" x14ac:dyDescent="0.3">
      <c r="A131" s="45"/>
      <c r="B131" s="45"/>
      <c r="C131" s="45"/>
      <c r="D131" s="45"/>
      <c r="E131" s="45"/>
      <c r="F131" s="45"/>
      <c r="G131" s="45"/>
      <c r="H131" s="45"/>
      <c r="I131" s="45"/>
      <c r="J131" s="45"/>
      <c r="K131" s="45"/>
      <c r="L131" s="45"/>
      <c r="M131" s="45"/>
      <c r="N131" s="45"/>
      <c r="O131" s="45"/>
      <c r="P131" s="42"/>
      <c r="Q131" s="42"/>
      <c r="R131" s="42"/>
      <c r="S131" s="42"/>
      <c r="T131" s="42"/>
      <c r="U131" s="42"/>
      <c r="V131" s="42"/>
      <c r="W131" s="42"/>
      <c r="X131" s="42"/>
      <c r="Y131" s="43"/>
      <c r="Z131" s="43"/>
      <c r="AA131" s="43"/>
      <c r="AB131" s="43"/>
      <c r="AC131" s="43"/>
      <c r="AD131" s="43"/>
      <c r="AE131" s="43"/>
      <c r="AF131" s="45"/>
      <c r="AG131" s="45"/>
      <c r="AH131" s="48"/>
      <c r="AI131" s="37"/>
      <c r="AJ131" s="206"/>
      <c r="AK131" s="206"/>
      <c r="AL131" s="206"/>
      <c r="AM131" s="206"/>
      <c r="AN131" s="206"/>
      <c r="AO131" s="206"/>
      <c r="AP131" s="206"/>
      <c r="AQ131" s="206"/>
      <c r="AR131" s="206"/>
      <c r="AS131" s="206"/>
      <c r="AT131" s="206"/>
      <c r="AU131" s="206"/>
      <c r="AV131" s="206"/>
      <c r="AW131" s="206"/>
      <c r="AX131" s="206"/>
      <c r="AY131" s="45"/>
      <c r="AZ131" s="45"/>
      <c r="BA131" s="45"/>
      <c r="BB131" s="45"/>
      <c r="BC131" s="45"/>
      <c r="BD131" s="45"/>
      <c r="BE131" s="45"/>
      <c r="BF131" s="45"/>
      <c r="BG131" s="45"/>
    </row>
    <row r="132" spans="1:68" ht="14.25" customHeight="1" x14ac:dyDescent="0.3">
      <c r="A132" s="49"/>
      <c r="B132" s="49"/>
      <c r="C132" s="49"/>
      <c r="D132" s="49"/>
      <c r="E132" s="49"/>
      <c r="F132" s="49"/>
      <c r="G132" s="49"/>
      <c r="H132" s="49"/>
      <c r="I132" s="49"/>
      <c r="J132" s="49"/>
      <c r="K132" s="49"/>
      <c r="L132" s="49"/>
      <c r="M132" s="49"/>
      <c r="N132" s="49"/>
      <c r="O132" s="49"/>
      <c r="P132" s="42"/>
      <c r="Q132" s="42"/>
      <c r="R132" s="42"/>
      <c r="S132" s="42"/>
      <c r="T132" s="42"/>
      <c r="U132" s="42"/>
      <c r="V132" s="42"/>
      <c r="W132" s="42"/>
      <c r="X132" s="42"/>
      <c r="Y132" s="43"/>
      <c r="Z132" s="43"/>
      <c r="AA132" s="43"/>
      <c r="AB132" s="43"/>
      <c r="AC132" s="43"/>
      <c r="AD132" s="43"/>
      <c r="AE132" s="43"/>
      <c r="AF132" s="49"/>
      <c r="AG132" s="49"/>
      <c r="AH132" s="50"/>
      <c r="AI132" s="50"/>
      <c r="AJ132" s="62"/>
      <c r="AK132" s="62"/>
      <c r="AL132" s="62"/>
      <c r="AM132" s="62"/>
      <c r="AN132" s="62"/>
      <c r="AO132" s="62"/>
      <c r="AP132" s="62"/>
      <c r="AQ132" s="41"/>
      <c r="AR132" s="41"/>
      <c r="AS132" s="41"/>
      <c r="AT132" s="41"/>
      <c r="AU132" s="41"/>
      <c r="AV132" s="41"/>
      <c r="AW132" s="41"/>
      <c r="AX132" s="41"/>
      <c r="AY132" s="41"/>
      <c r="AZ132" s="41"/>
      <c r="BA132" s="41"/>
      <c r="BB132" s="41"/>
    </row>
    <row r="133" spans="1:68" ht="14.25" customHeight="1" x14ac:dyDescent="0.3">
      <c r="A133" s="49"/>
      <c r="B133" s="49"/>
      <c r="C133" s="49"/>
      <c r="D133" s="49"/>
      <c r="E133" s="49"/>
      <c r="F133" s="49"/>
      <c r="G133" s="49"/>
      <c r="H133" s="49"/>
      <c r="I133" s="49"/>
      <c r="J133" s="49"/>
      <c r="K133" s="49"/>
      <c r="L133" s="49"/>
      <c r="M133" s="49"/>
      <c r="N133" s="49"/>
      <c r="O133" s="49"/>
      <c r="P133" s="49"/>
      <c r="Q133" s="49"/>
      <c r="R133" s="49"/>
      <c r="S133" s="49"/>
      <c r="T133" s="82"/>
      <c r="U133" s="82"/>
      <c r="V133" s="82"/>
      <c r="W133" s="49"/>
      <c r="X133" s="49"/>
      <c r="Y133" s="49"/>
      <c r="Z133" s="49"/>
      <c r="AA133" s="49"/>
      <c r="AB133" s="49"/>
      <c r="AC133" s="49"/>
      <c r="AD133" s="49"/>
      <c r="AE133" s="49"/>
      <c r="AF133" s="49"/>
      <c r="AG133" s="49"/>
      <c r="AH133" s="50"/>
      <c r="AI133" s="50"/>
      <c r="AJ133" s="62"/>
      <c r="AK133" s="62"/>
      <c r="AL133" s="62"/>
      <c r="AM133" s="62"/>
      <c r="AN133" s="62"/>
      <c r="AO133" s="62"/>
      <c r="AP133" s="62"/>
    </row>
    <row r="134" spans="1:68" ht="14.25" customHeight="1" x14ac:dyDescent="0.25">
      <c r="A134" s="82"/>
      <c r="B134" s="51"/>
      <c r="C134" s="51"/>
      <c r="D134" s="82"/>
      <c r="E134" s="82"/>
      <c r="F134" s="82"/>
      <c r="G134" s="82"/>
      <c r="H134" s="82"/>
      <c r="I134" s="82"/>
      <c r="J134" s="82"/>
      <c r="K134" s="82"/>
      <c r="L134" s="82"/>
      <c r="M134" s="82"/>
      <c r="N134" s="82"/>
      <c r="O134" s="82"/>
      <c r="P134" s="82"/>
      <c r="Q134" s="82"/>
      <c r="R134" s="82"/>
      <c r="S134" s="82"/>
      <c r="T134" s="82"/>
      <c r="U134" s="82"/>
      <c r="V134" s="82"/>
      <c r="W134" s="82"/>
      <c r="X134" s="82"/>
      <c r="Y134" s="52"/>
      <c r="Z134" s="52"/>
      <c r="AA134" s="52"/>
      <c r="AB134" s="52"/>
      <c r="AC134" s="52"/>
      <c r="AD134" s="52"/>
      <c r="AE134" s="52"/>
      <c r="AF134" s="52"/>
      <c r="AG134" s="52"/>
      <c r="AH134" s="52"/>
      <c r="AI134" s="52"/>
      <c r="AJ134" s="52"/>
      <c r="AK134" s="52"/>
      <c r="AL134" s="52"/>
      <c r="AM134" s="52"/>
      <c r="AN134" s="52"/>
      <c r="AO134" s="52"/>
      <c r="AP134" s="52"/>
    </row>
    <row r="135" spans="1:68" ht="14.25" customHeight="1" x14ac:dyDescent="0.3">
      <c r="A135" s="49"/>
      <c r="B135" s="49"/>
      <c r="C135" s="49"/>
      <c r="D135" s="49"/>
      <c r="E135" s="49"/>
      <c r="F135" s="49"/>
      <c r="G135" s="49"/>
      <c r="H135" s="49"/>
      <c r="I135" s="49"/>
      <c r="J135" s="49"/>
      <c r="K135" s="49"/>
      <c r="L135" s="49"/>
      <c r="M135" s="49"/>
      <c r="N135" s="49"/>
      <c r="O135" s="49"/>
      <c r="P135" s="49"/>
      <c r="Q135" s="49"/>
      <c r="R135" s="49"/>
      <c r="S135" s="49"/>
      <c r="T135" s="53"/>
      <c r="U135" s="53"/>
      <c r="V135" s="54"/>
      <c r="W135" s="49"/>
      <c r="X135" s="49"/>
      <c r="Y135" s="49"/>
      <c r="Z135" s="49"/>
      <c r="AA135" s="49"/>
      <c r="AB135" s="49"/>
      <c r="AC135" s="49"/>
      <c r="AD135" s="49"/>
      <c r="AE135" s="49"/>
      <c r="AF135" s="49"/>
      <c r="AG135" s="49"/>
      <c r="AH135" s="55"/>
      <c r="AI135" s="55"/>
      <c r="AJ135" s="62"/>
      <c r="AK135" s="62"/>
      <c r="AL135" s="62"/>
      <c r="AM135" s="62"/>
      <c r="AN135" s="62"/>
      <c r="AO135" s="62"/>
      <c r="AP135" s="62"/>
    </row>
    <row r="136" spans="1:68" ht="14.25" customHeight="1" x14ac:dyDescent="0.25">
      <c r="A136" s="82"/>
      <c r="B136" s="51"/>
      <c r="C136" s="51"/>
      <c r="D136" s="82"/>
      <c r="E136" s="82"/>
      <c r="F136" s="82"/>
      <c r="G136" s="82"/>
      <c r="H136" s="82"/>
      <c r="I136" s="82"/>
      <c r="J136" s="82"/>
      <c r="K136" s="82"/>
      <c r="L136" s="82"/>
      <c r="M136" s="82"/>
      <c r="N136" s="82"/>
      <c r="O136" s="82"/>
      <c r="P136" s="82"/>
      <c r="Q136" s="49"/>
      <c r="R136" s="49"/>
      <c r="S136" s="49"/>
      <c r="T136" s="53"/>
      <c r="U136" s="53"/>
      <c r="V136" s="54"/>
      <c r="W136" s="54"/>
      <c r="X136" s="54"/>
      <c r="Y136" s="56"/>
      <c r="Z136" s="56"/>
      <c r="AA136" s="56"/>
      <c r="AB136" s="56"/>
      <c r="AC136" s="56"/>
      <c r="AD136" s="56"/>
      <c r="AE136" s="56"/>
      <c r="AF136" s="56"/>
      <c r="AG136" s="56"/>
      <c r="AH136" s="56"/>
      <c r="AI136" s="55"/>
      <c r="AJ136" s="56"/>
      <c r="AK136" s="56"/>
      <c r="AL136" s="56"/>
      <c r="AM136" s="56"/>
      <c r="AN136" s="56"/>
      <c r="AO136" s="56"/>
      <c r="AP136" s="56"/>
    </row>
    <row r="137" spans="1:68" ht="14.25" customHeight="1" x14ac:dyDescent="0.3">
      <c r="A137" s="49"/>
      <c r="B137" s="49"/>
      <c r="C137" s="49"/>
      <c r="D137" s="49"/>
      <c r="E137" s="49"/>
      <c r="F137" s="49"/>
      <c r="G137" s="49"/>
      <c r="H137" s="49"/>
      <c r="I137" s="49"/>
      <c r="J137" s="49"/>
      <c r="K137" s="49"/>
      <c r="L137" s="49"/>
      <c r="M137" s="49"/>
      <c r="N137" s="49"/>
      <c r="O137" s="49"/>
      <c r="P137" s="49"/>
      <c r="Q137" s="49"/>
      <c r="R137" s="49"/>
      <c r="S137" s="49"/>
      <c r="T137" s="52"/>
      <c r="U137" s="52"/>
      <c r="V137" s="54"/>
      <c r="W137" s="49"/>
      <c r="X137" s="49"/>
      <c r="Y137" s="49"/>
      <c r="Z137" s="49"/>
      <c r="AA137" s="49"/>
      <c r="AB137" s="49"/>
      <c r="AC137" s="49"/>
      <c r="AD137" s="49"/>
      <c r="AE137" s="49"/>
      <c r="AF137" s="49"/>
      <c r="AG137" s="49"/>
      <c r="AH137" s="55"/>
      <c r="AI137" s="55"/>
      <c r="AJ137" s="62"/>
      <c r="AK137" s="62"/>
      <c r="AL137" s="62"/>
      <c r="AM137" s="62"/>
      <c r="AN137" s="62"/>
      <c r="AO137" s="62"/>
      <c r="AP137" s="62"/>
    </row>
    <row r="138" spans="1:68" ht="14.25" customHeight="1" x14ac:dyDescent="0.25">
      <c r="A138" s="82"/>
      <c r="B138" s="51"/>
      <c r="C138" s="51"/>
      <c r="D138" s="82"/>
      <c r="E138" s="82"/>
      <c r="F138" s="82"/>
      <c r="G138" s="82"/>
      <c r="H138" s="82"/>
      <c r="I138" s="82"/>
      <c r="J138" s="82"/>
      <c r="K138" s="82"/>
      <c r="L138" s="82"/>
      <c r="M138" s="82"/>
      <c r="N138" s="82"/>
      <c r="O138" s="82"/>
      <c r="P138" s="82"/>
      <c r="Q138" s="82"/>
      <c r="R138" s="82"/>
      <c r="S138" s="82"/>
      <c r="T138" s="52"/>
      <c r="U138" s="52"/>
      <c r="V138" s="54"/>
      <c r="W138" s="54"/>
      <c r="X138" s="57"/>
      <c r="Y138" s="56"/>
      <c r="Z138" s="56"/>
      <c r="AA138" s="56"/>
      <c r="AB138" s="56"/>
      <c r="AC138" s="56"/>
      <c r="AD138" s="56"/>
      <c r="AE138" s="56"/>
      <c r="AF138" s="56"/>
      <c r="AG138" s="56"/>
      <c r="AH138" s="56"/>
      <c r="AI138" s="56"/>
      <c r="AJ138" s="56"/>
      <c r="AK138" s="56"/>
      <c r="AL138" s="56"/>
      <c r="AM138" s="56"/>
      <c r="AN138" s="56"/>
      <c r="AO138" s="56"/>
      <c r="AP138" s="56"/>
    </row>
    <row r="139" spans="1:68" ht="14.25" customHeight="1" x14ac:dyDescent="0.3">
      <c r="A139" s="49"/>
      <c r="B139" s="55"/>
      <c r="C139" s="55"/>
      <c r="D139" s="55"/>
      <c r="E139" s="55"/>
      <c r="F139" s="55"/>
      <c r="G139" s="55"/>
      <c r="H139" s="55"/>
      <c r="I139" s="55"/>
      <c r="J139" s="55"/>
      <c r="K139" s="55"/>
      <c r="L139" s="55"/>
      <c r="M139" s="55"/>
      <c r="N139" s="55"/>
      <c r="O139" s="55"/>
      <c r="P139" s="55"/>
      <c r="Q139" s="55"/>
      <c r="R139" s="55"/>
      <c r="S139" s="55"/>
      <c r="T139" s="55"/>
      <c r="U139" s="52"/>
      <c r="V139" s="54"/>
      <c r="W139" s="49"/>
      <c r="X139" s="49"/>
      <c r="Y139" s="49"/>
      <c r="Z139" s="49"/>
      <c r="AA139" s="49"/>
      <c r="AB139" s="49"/>
      <c r="AC139" s="49"/>
      <c r="AD139" s="49"/>
      <c r="AE139" s="49"/>
      <c r="AF139" s="49"/>
      <c r="AG139" s="49"/>
      <c r="AH139" s="56"/>
      <c r="AI139" s="56"/>
      <c r="AJ139" s="62"/>
      <c r="AK139" s="62"/>
      <c r="AL139" s="62"/>
      <c r="AM139" s="62"/>
      <c r="AN139" s="62"/>
      <c r="AO139" s="62"/>
      <c r="AP139" s="62"/>
    </row>
    <row r="140" spans="1:68" ht="14.25" customHeight="1" x14ac:dyDescent="0.25">
      <c r="A140" s="55"/>
      <c r="B140" s="55"/>
      <c r="C140" s="55"/>
      <c r="D140" s="55"/>
      <c r="E140" s="55"/>
      <c r="F140" s="55"/>
      <c r="G140" s="55"/>
      <c r="H140" s="55"/>
      <c r="I140" s="55"/>
      <c r="J140" s="55"/>
      <c r="K140" s="55"/>
      <c r="L140" s="55"/>
      <c r="M140" s="55"/>
      <c r="N140" s="55"/>
      <c r="O140" s="55"/>
      <c r="P140" s="55"/>
      <c r="Q140" s="55"/>
      <c r="R140" s="55"/>
      <c r="S140" s="56"/>
      <c r="T140" s="52"/>
      <c r="U140" s="52"/>
      <c r="V140" s="54"/>
      <c r="W140" s="54"/>
      <c r="X140" s="57"/>
      <c r="Y140" s="56"/>
      <c r="Z140" s="55"/>
      <c r="AA140" s="55"/>
      <c r="AB140" s="55"/>
      <c r="AC140" s="55"/>
      <c r="AD140" s="55"/>
      <c r="AE140" s="55"/>
      <c r="AF140" s="55"/>
      <c r="AG140" s="55"/>
      <c r="AH140" s="56"/>
      <c r="AI140" s="56"/>
      <c r="AJ140" s="55"/>
      <c r="AK140" s="55"/>
      <c r="AL140" s="55"/>
      <c r="AM140" s="55"/>
      <c r="AN140" s="55"/>
      <c r="AO140" s="55"/>
      <c r="AP140" s="55"/>
    </row>
    <row r="141" spans="1:68" ht="14.25" customHeight="1" x14ac:dyDescent="0.25">
      <c r="A141" s="55"/>
      <c r="B141" s="55"/>
      <c r="C141" s="55"/>
      <c r="D141" s="55"/>
      <c r="E141" s="55"/>
      <c r="F141" s="55"/>
      <c r="G141" s="55"/>
      <c r="H141" s="55"/>
      <c r="I141" s="55"/>
      <c r="J141" s="55"/>
      <c r="K141" s="55"/>
      <c r="L141" s="55"/>
      <c r="M141" s="55"/>
      <c r="N141" s="55"/>
      <c r="O141" s="55"/>
      <c r="P141" s="55"/>
      <c r="Q141" s="55"/>
      <c r="R141" s="55"/>
      <c r="S141" s="55"/>
      <c r="T141" s="56"/>
      <c r="U141" s="52"/>
      <c r="V141" s="54"/>
      <c r="W141" s="54"/>
      <c r="X141" s="52"/>
      <c r="Y141" s="55"/>
      <c r="Z141" s="55"/>
      <c r="AA141" s="55"/>
      <c r="AB141" s="55"/>
      <c r="AC141" s="55"/>
      <c r="AD141" s="55"/>
      <c r="AE141" s="55"/>
      <c r="AF141" s="55"/>
      <c r="AG141" s="55"/>
      <c r="AH141" s="55"/>
      <c r="AI141" s="55"/>
      <c r="AJ141" s="55"/>
      <c r="AK141" s="55"/>
      <c r="AL141" s="55"/>
      <c r="AM141" s="55"/>
      <c r="AN141" s="55"/>
      <c r="AO141" s="55"/>
      <c r="AP141" s="55"/>
    </row>
    <row r="142" spans="1:68" ht="14.25" customHeight="1" x14ac:dyDescent="0.3">
      <c r="A142" s="49"/>
      <c r="B142" s="49"/>
      <c r="C142" s="49"/>
      <c r="D142" s="49"/>
      <c r="E142" s="49"/>
      <c r="F142" s="49"/>
      <c r="G142" s="49"/>
      <c r="H142" s="49"/>
      <c r="I142" s="49"/>
      <c r="J142" s="49"/>
      <c r="K142" s="49"/>
      <c r="L142" s="49"/>
      <c r="M142" s="49"/>
      <c r="N142" s="49"/>
      <c r="O142" s="49"/>
      <c r="P142" s="49"/>
      <c r="Q142" s="49"/>
      <c r="R142" s="49"/>
      <c r="S142" s="49"/>
      <c r="T142" s="49"/>
      <c r="U142" s="49"/>
      <c r="V142" s="54"/>
      <c r="W142" s="49"/>
      <c r="X142" s="49"/>
      <c r="Y142" s="49"/>
      <c r="Z142" s="49"/>
      <c r="AA142" s="49"/>
      <c r="AB142" s="49"/>
      <c r="AC142" s="49"/>
      <c r="AD142" s="49"/>
      <c r="AE142" s="49"/>
      <c r="AF142" s="49"/>
      <c r="AG142" s="49"/>
      <c r="AH142" s="50"/>
      <c r="AI142" s="50"/>
      <c r="AJ142" s="62"/>
      <c r="AK142" s="62"/>
      <c r="AL142" s="62"/>
      <c r="AM142" s="62"/>
      <c r="AN142" s="62"/>
      <c r="AO142" s="62"/>
      <c r="AP142" s="62"/>
    </row>
    <row r="143" spans="1:68" ht="14.25" customHeight="1" x14ac:dyDescent="0.25">
      <c r="A143" s="82"/>
      <c r="B143" s="51"/>
      <c r="C143" s="51"/>
      <c r="D143" s="82"/>
      <c r="E143" s="82"/>
      <c r="F143" s="82"/>
      <c r="G143" s="82"/>
      <c r="H143" s="82"/>
      <c r="I143" s="82"/>
      <c r="J143" s="82"/>
      <c r="K143" s="82"/>
      <c r="L143" s="82"/>
      <c r="M143" s="82"/>
      <c r="N143" s="82"/>
      <c r="O143" s="82"/>
      <c r="P143" s="82"/>
      <c r="Q143" s="82"/>
      <c r="R143" s="82"/>
      <c r="S143" s="82"/>
      <c r="T143" s="82"/>
      <c r="U143" s="82"/>
      <c r="V143" s="54"/>
      <c r="W143" s="54"/>
      <c r="X143" s="52"/>
      <c r="Y143" s="50"/>
      <c r="Z143" s="50"/>
      <c r="AA143" s="50"/>
      <c r="AB143" s="77"/>
      <c r="AC143" s="77"/>
      <c r="AD143" s="77"/>
      <c r="AE143" s="77"/>
      <c r="AF143" s="77"/>
      <c r="AG143" s="77"/>
      <c r="AH143" s="77"/>
      <c r="AI143" s="77"/>
      <c r="AJ143" s="50"/>
      <c r="AK143" s="77"/>
      <c r="AL143" s="77"/>
      <c r="AM143" s="77"/>
      <c r="AN143" s="77"/>
      <c r="AO143" s="77"/>
      <c r="AP143" s="77"/>
    </row>
    <row r="144" spans="1:68" ht="14.25" customHeight="1" x14ac:dyDescent="0.3">
      <c r="A144" s="49"/>
      <c r="B144" s="49"/>
      <c r="C144" s="49"/>
      <c r="D144" s="49"/>
      <c r="E144" s="49"/>
      <c r="F144" s="49"/>
      <c r="G144" s="49"/>
      <c r="H144" s="49"/>
      <c r="I144" s="49"/>
      <c r="J144" s="49"/>
      <c r="K144" s="49"/>
      <c r="L144" s="49"/>
      <c r="M144" s="49"/>
      <c r="N144" s="49"/>
      <c r="O144" s="49"/>
      <c r="P144" s="49"/>
      <c r="Q144" s="49"/>
      <c r="R144" s="49"/>
      <c r="S144" s="49"/>
      <c r="T144" s="49"/>
      <c r="U144" s="49"/>
      <c r="V144" s="54"/>
      <c r="W144" s="49"/>
      <c r="X144" s="49"/>
      <c r="Y144" s="49"/>
      <c r="Z144" s="49"/>
      <c r="AA144" s="49"/>
      <c r="AB144" s="49"/>
      <c r="AC144" s="49"/>
      <c r="AD144" s="49"/>
      <c r="AE144" s="49"/>
      <c r="AF144" s="49"/>
      <c r="AG144" s="49"/>
      <c r="AH144" s="50"/>
      <c r="AI144" s="50"/>
      <c r="AJ144" s="62"/>
      <c r="AK144" s="62"/>
      <c r="AL144" s="62"/>
      <c r="AM144" s="62"/>
      <c r="AN144" s="62"/>
      <c r="AO144" s="62"/>
      <c r="AP144" s="62"/>
    </row>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sheetData>
  <mergeCells count="722">
    <mergeCell ref="AY127:BG127"/>
    <mergeCell ref="BH127:BP127"/>
    <mergeCell ref="AJ130:AX131"/>
    <mergeCell ref="AY130:BG130"/>
    <mergeCell ref="BH130:BP130"/>
    <mergeCell ref="A19:Q22"/>
    <mergeCell ref="R19:AY22"/>
    <mergeCell ref="AZ19:BR22"/>
    <mergeCell ref="A23:Q26"/>
    <mergeCell ref="R23:AY26"/>
    <mergeCell ref="AZ23:BR26"/>
    <mergeCell ref="A112:O115"/>
    <mergeCell ref="P112:X115"/>
    <mergeCell ref="Y112:AE115"/>
    <mergeCell ref="AJ112:AX115"/>
    <mergeCell ref="AY112:BG115"/>
    <mergeCell ref="BH112:BR115"/>
    <mergeCell ref="A118:O121"/>
    <mergeCell ref="P118:X121"/>
    <mergeCell ref="Y118:AE121"/>
    <mergeCell ref="AJ118:AX121"/>
    <mergeCell ref="AY118:BG121"/>
    <mergeCell ref="BH118:BR121"/>
    <mergeCell ref="V86:AZ87"/>
    <mergeCell ref="V88:AZ89"/>
    <mergeCell ref="B95:BR95"/>
    <mergeCell ref="B96:BR96"/>
    <mergeCell ref="B97:BR97"/>
    <mergeCell ref="B98:BR98"/>
    <mergeCell ref="B99:BR99"/>
    <mergeCell ref="B100:BR100"/>
    <mergeCell ref="A103:O103"/>
    <mergeCell ref="P103:S103"/>
    <mergeCell ref="T103:X103"/>
    <mergeCell ref="AJ103:BR109"/>
    <mergeCell ref="B92:BR92"/>
    <mergeCell ref="B93:BR93"/>
    <mergeCell ref="B94:BR94"/>
    <mergeCell ref="AZ83:BB83"/>
    <mergeCell ref="BC83:BE83"/>
    <mergeCell ref="BF83:BH83"/>
    <mergeCell ref="BI83:BK83"/>
    <mergeCell ref="BL83:BN83"/>
    <mergeCell ref="BO83:BR83"/>
    <mergeCell ref="AH83:AJ83"/>
    <mergeCell ref="AK83:AM83"/>
    <mergeCell ref="AN83:AP83"/>
    <mergeCell ref="AQ83:AS83"/>
    <mergeCell ref="AT83:AV83"/>
    <mergeCell ref="AW83:AY83"/>
    <mergeCell ref="B81:C81"/>
    <mergeCell ref="D81:O81"/>
    <mergeCell ref="P81:R81"/>
    <mergeCell ref="S81:U81"/>
    <mergeCell ref="V81:X81"/>
    <mergeCell ref="Y81:AA81"/>
    <mergeCell ref="AB81:AD81"/>
    <mergeCell ref="AE81:AG81"/>
    <mergeCell ref="B83:C83"/>
    <mergeCell ref="D83:O83"/>
    <mergeCell ref="P83:R83"/>
    <mergeCell ref="S83:U83"/>
    <mergeCell ref="V83:X83"/>
    <mergeCell ref="Y83:AA83"/>
    <mergeCell ref="AB83:AD83"/>
    <mergeCell ref="AE83:AG83"/>
    <mergeCell ref="AB82:AD82"/>
    <mergeCell ref="AE82:AG82"/>
    <mergeCell ref="B82:C82"/>
    <mergeCell ref="D82:O82"/>
    <mergeCell ref="P82:R82"/>
    <mergeCell ref="S82:U82"/>
    <mergeCell ref="V82:X82"/>
    <mergeCell ref="Y82:AA82"/>
    <mergeCell ref="AW82:AY82"/>
    <mergeCell ref="AZ82:BB82"/>
    <mergeCell ref="BC82:BE82"/>
    <mergeCell ref="BF82:BH82"/>
    <mergeCell ref="BI81:BK81"/>
    <mergeCell ref="BL81:BN81"/>
    <mergeCell ref="BL82:BN82"/>
    <mergeCell ref="BO81:BR81"/>
    <mergeCell ref="AH81:AJ81"/>
    <mergeCell ref="AK81:AM81"/>
    <mergeCell ref="AN81:AP81"/>
    <mergeCell ref="AQ81:AS81"/>
    <mergeCell ref="AT81:AV81"/>
    <mergeCell ref="AW81:AY81"/>
    <mergeCell ref="BO82:BR82"/>
    <mergeCell ref="BI82:BK82"/>
    <mergeCell ref="AZ81:BB81"/>
    <mergeCell ref="BC81:BE81"/>
    <mergeCell ref="BF81:BH81"/>
    <mergeCell ref="AT82:AV82"/>
    <mergeCell ref="AH82:AJ82"/>
    <mergeCell ref="AK82:AM82"/>
    <mergeCell ref="AN82:AP82"/>
    <mergeCell ref="AQ82:AS82"/>
    <mergeCell ref="AT80:AV80"/>
    <mergeCell ref="AB80:AD80"/>
    <mergeCell ref="AE80:AG80"/>
    <mergeCell ref="AH80:AJ80"/>
    <mergeCell ref="AK80:AM80"/>
    <mergeCell ref="AN80:AP80"/>
    <mergeCell ref="AQ80:AS80"/>
    <mergeCell ref="B80:C80"/>
    <mergeCell ref="D80:O80"/>
    <mergeCell ref="P80:R80"/>
    <mergeCell ref="S80:U80"/>
    <mergeCell ref="V80:X80"/>
    <mergeCell ref="Y80:AA80"/>
    <mergeCell ref="AB78:AD78"/>
    <mergeCell ref="AE78:AG78"/>
    <mergeCell ref="BC79:BE79"/>
    <mergeCell ref="BF79:BH79"/>
    <mergeCell ref="BI79:BK79"/>
    <mergeCell ref="BL79:BN79"/>
    <mergeCell ref="BO79:BR79"/>
    <mergeCell ref="AH79:AJ79"/>
    <mergeCell ref="AK79:AM79"/>
    <mergeCell ref="AN79:AP79"/>
    <mergeCell ref="AQ79:AS79"/>
    <mergeCell ref="AT79:AV79"/>
    <mergeCell ref="AW79:AY79"/>
    <mergeCell ref="B78:C78"/>
    <mergeCell ref="D78:O78"/>
    <mergeCell ref="AZ79:BB79"/>
    <mergeCell ref="P78:R78"/>
    <mergeCell ref="S78:U78"/>
    <mergeCell ref="V78:X78"/>
    <mergeCell ref="Y78:AA78"/>
    <mergeCell ref="BL80:BN80"/>
    <mergeCell ref="BO80:BR80"/>
    <mergeCell ref="AW80:AY80"/>
    <mergeCell ref="AZ80:BB80"/>
    <mergeCell ref="BC80:BE80"/>
    <mergeCell ref="BF80:BH80"/>
    <mergeCell ref="BI80:BK80"/>
    <mergeCell ref="BO78:BR78"/>
    <mergeCell ref="B79:C79"/>
    <mergeCell ref="D79:O79"/>
    <mergeCell ref="P79:R79"/>
    <mergeCell ref="S79:U79"/>
    <mergeCell ref="V79:X79"/>
    <mergeCell ref="Y79:AA79"/>
    <mergeCell ref="AB79:AD79"/>
    <mergeCell ref="AE79:AG79"/>
    <mergeCell ref="AT78:AV78"/>
    <mergeCell ref="AZ77:BB77"/>
    <mergeCell ref="BC77:BE77"/>
    <mergeCell ref="BF77:BH77"/>
    <mergeCell ref="BI77:BK77"/>
    <mergeCell ref="BL77:BN77"/>
    <mergeCell ref="BL78:BN78"/>
    <mergeCell ref="BO77:BR77"/>
    <mergeCell ref="AH77:AJ77"/>
    <mergeCell ref="AK77:AM77"/>
    <mergeCell ref="AN77:AP77"/>
    <mergeCell ref="AQ77:AS77"/>
    <mergeCell ref="AT77:AV77"/>
    <mergeCell ref="AW77:AY77"/>
    <mergeCell ref="AH78:AJ78"/>
    <mergeCell ref="AK78:AM78"/>
    <mergeCell ref="AN78:AP78"/>
    <mergeCell ref="AQ78:AS78"/>
    <mergeCell ref="AW78:AY78"/>
    <mergeCell ref="AZ78:BB78"/>
    <mergeCell ref="BC78:BE78"/>
    <mergeCell ref="BF78:BH78"/>
    <mergeCell ref="BI78:BK78"/>
    <mergeCell ref="B77:C77"/>
    <mergeCell ref="D77:O77"/>
    <mergeCell ref="P77:R77"/>
    <mergeCell ref="S77:U77"/>
    <mergeCell ref="V77:X77"/>
    <mergeCell ref="Y77:AA77"/>
    <mergeCell ref="AB77:AD77"/>
    <mergeCell ref="AE77:AG77"/>
    <mergeCell ref="AT76:AV76"/>
    <mergeCell ref="AB76:AD76"/>
    <mergeCell ref="AE76:AG76"/>
    <mergeCell ref="AH76:AJ76"/>
    <mergeCell ref="AK76:AM76"/>
    <mergeCell ref="AN76:AP76"/>
    <mergeCell ref="AQ76:AS76"/>
    <mergeCell ref="B76:C76"/>
    <mergeCell ref="D76:O76"/>
    <mergeCell ref="P76:R76"/>
    <mergeCell ref="S76:U76"/>
    <mergeCell ref="V76:X76"/>
    <mergeCell ref="Y76:AA76"/>
    <mergeCell ref="AB74:AD74"/>
    <mergeCell ref="AE74:AG74"/>
    <mergeCell ref="BC75:BE75"/>
    <mergeCell ref="BF75:BH75"/>
    <mergeCell ref="BI75:BK75"/>
    <mergeCell ref="BL75:BN75"/>
    <mergeCell ref="BO75:BR75"/>
    <mergeCell ref="AH75:AJ75"/>
    <mergeCell ref="AK75:AM75"/>
    <mergeCell ref="AN75:AP75"/>
    <mergeCell ref="AQ75:AS75"/>
    <mergeCell ref="AT75:AV75"/>
    <mergeCell ref="AW75:AY75"/>
    <mergeCell ref="B74:C74"/>
    <mergeCell ref="D74:O74"/>
    <mergeCell ref="AZ75:BB75"/>
    <mergeCell ref="P74:R74"/>
    <mergeCell ref="S74:U74"/>
    <mergeCell ref="V74:X74"/>
    <mergeCell ref="Y74:AA74"/>
    <mergeCell ref="BL76:BN76"/>
    <mergeCell ref="BO76:BR76"/>
    <mergeCell ref="AW76:AY76"/>
    <mergeCell ref="AZ76:BB76"/>
    <mergeCell ref="BC76:BE76"/>
    <mergeCell ref="BF76:BH76"/>
    <mergeCell ref="BI76:BK76"/>
    <mergeCell ref="BO74:BR74"/>
    <mergeCell ref="B75:C75"/>
    <mergeCell ref="D75:O75"/>
    <mergeCell ref="P75:R75"/>
    <mergeCell ref="S75:U75"/>
    <mergeCell ref="V75:X75"/>
    <mergeCell ref="Y75:AA75"/>
    <mergeCell ref="AB75:AD75"/>
    <mergeCell ref="AE75:AG75"/>
    <mergeCell ref="AT74:AV74"/>
    <mergeCell ref="AZ73:BB73"/>
    <mergeCell ref="BC73:BE73"/>
    <mergeCell ref="BF73:BH73"/>
    <mergeCell ref="BI73:BK73"/>
    <mergeCell ref="BL73:BN73"/>
    <mergeCell ref="BL74:BN74"/>
    <mergeCell ref="BO73:BR73"/>
    <mergeCell ref="AH73:AJ73"/>
    <mergeCell ref="AK73:AM73"/>
    <mergeCell ref="AN73:AP73"/>
    <mergeCell ref="AQ73:AS73"/>
    <mergeCell ref="AT73:AV73"/>
    <mergeCell ref="AW73:AY73"/>
    <mergeCell ref="AH74:AJ74"/>
    <mergeCell ref="AK74:AM74"/>
    <mergeCell ref="AN74:AP74"/>
    <mergeCell ref="AQ74:AS74"/>
    <mergeCell ref="AW74:AY74"/>
    <mergeCell ref="AZ74:BB74"/>
    <mergeCell ref="BC74:BE74"/>
    <mergeCell ref="BF74:BH74"/>
    <mergeCell ref="BI74:BK74"/>
    <mergeCell ref="B73:C73"/>
    <mergeCell ref="D73:O73"/>
    <mergeCell ref="P73:R73"/>
    <mergeCell ref="S73:U73"/>
    <mergeCell ref="V73:X73"/>
    <mergeCell ref="Y73:AA73"/>
    <mergeCell ref="AB73:AD73"/>
    <mergeCell ref="AE73:AG73"/>
    <mergeCell ref="AT72:AV72"/>
    <mergeCell ref="AB72:AD72"/>
    <mergeCell ref="AE72:AG72"/>
    <mergeCell ref="AH72:AJ72"/>
    <mergeCell ref="AK72:AM72"/>
    <mergeCell ref="AN72:AP72"/>
    <mergeCell ref="AQ72:AS72"/>
    <mergeCell ref="B72:C72"/>
    <mergeCell ref="D72:O72"/>
    <mergeCell ref="P72:R72"/>
    <mergeCell ref="S72:U72"/>
    <mergeCell ref="V72:X72"/>
    <mergeCell ref="Y72:AA72"/>
    <mergeCell ref="AB70:AD70"/>
    <mergeCell ref="AE70:AG70"/>
    <mergeCell ref="BC71:BE71"/>
    <mergeCell ref="BF71:BH71"/>
    <mergeCell ref="BI71:BK71"/>
    <mergeCell ref="BL71:BN71"/>
    <mergeCell ref="BO71:BR71"/>
    <mergeCell ref="AH71:AJ71"/>
    <mergeCell ref="AK71:AM71"/>
    <mergeCell ref="AN71:AP71"/>
    <mergeCell ref="AQ71:AS71"/>
    <mergeCell ref="AT71:AV71"/>
    <mergeCell ref="AW71:AY71"/>
    <mergeCell ref="B70:C70"/>
    <mergeCell ref="D70:O70"/>
    <mergeCell ref="AZ71:BB71"/>
    <mergeCell ref="P70:R70"/>
    <mergeCell ref="S70:U70"/>
    <mergeCell ref="V70:X70"/>
    <mergeCell ref="Y70:AA70"/>
    <mergeCell ref="BL72:BN72"/>
    <mergeCell ref="BO72:BR72"/>
    <mergeCell ref="AW72:AY72"/>
    <mergeCell ref="AZ72:BB72"/>
    <mergeCell ref="BC72:BE72"/>
    <mergeCell ref="BF72:BH72"/>
    <mergeCell ref="BI72:BK72"/>
    <mergeCell ref="BO70:BR70"/>
    <mergeCell ref="B71:C71"/>
    <mergeCell ref="D71:O71"/>
    <mergeCell ref="P71:R71"/>
    <mergeCell ref="S71:U71"/>
    <mergeCell ref="V71:X71"/>
    <mergeCell ref="Y71:AA71"/>
    <mergeCell ref="AB71:AD71"/>
    <mergeCell ref="AE71:AG71"/>
    <mergeCell ref="AT70:AV70"/>
    <mergeCell ref="AZ69:BB69"/>
    <mergeCell ref="BC69:BE69"/>
    <mergeCell ref="BF69:BH69"/>
    <mergeCell ref="BI69:BK69"/>
    <mergeCell ref="BL69:BN69"/>
    <mergeCell ref="BL70:BN70"/>
    <mergeCell ref="BO69:BR69"/>
    <mergeCell ref="AH69:AJ69"/>
    <mergeCell ref="AK69:AM69"/>
    <mergeCell ref="AN69:AP69"/>
    <mergeCell ref="AQ69:AS69"/>
    <mergeCell ref="AT69:AV69"/>
    <mergeCell ref="AW69:AY69"/>
    <mergeCell ref="AH70:AJ70"/>
    <mergeCell ref="AK70:AM70"/>
    <mergeCell ref="AN70:AP70"/>
    <mergeCell ref="AQ70:AS70"/>
    <mergeCell ref="AW70:AY70"/>
    <mergeCell ref="AZ70:BB70"/>
    <mergeCell ref="BC70:BE70"/>
    <mergeCell ref="BF70:BH70"/>
    <mergeCell ref="BI70:BK70"/>
    <mergeCell ref="B69:C69"/>
    <mergeCell ref="D69:O69"/>
    <mergeCell ref="P69:R69"/>
    <mergeCell ref="S69:U69"/>
    <mergeCell ref="V69:X69"/>
    <mergeCell ref="Y69:AA69"/>
    <mergeCell ref="AB69:AD69"/>
    <mergeCell ref="AE69:AG69"/>
    <mergeCell ref="AT68:AV68"/>
    <mergeCell ref="AB68:AD68"/>
    <mergeCell ref="AE68:AG68"/>
    <mergeCell ref="AH68:AJ68"/>
    <mergeCell ref="AK68:AM68"/>
    <mergeCell ref="AN68:AP68"/>
    <mergeCell ref="AQ68:AS68"/>
    <mergeCell ref="B68:C68"/>
    <mergeCell ref="D68:O68"/>
    <mergeCell ref="P68:R68"/>
    <mergeCell ref="S68:U68"/>
    <mergeCell ref="V68:X68"/>
    <mergeCell ref="Y68:AA68"/>
    <mergeCell ref="AB66:AD66"/>
    <mergeCell ref="AE66:AG66"/>
    <mergeCell ref="BC67:BE67"/>
    <mergeCell ref="BF67:BH67"/>
    <mergeCell ref="BI67:BK67"/>
    <mergeCell ref="BL67:BN67"/>
    <mergeCell ref="BO67:BR67"/>
    <mergeCell ref="AH67:AJ67"/>
    <mergeCell ref="AK67:AM67"/>
    <mergeCell ref="AN67:AP67"/>
    <mergeCell ref="AQ67:AS67"/>
    <mergeCell ref="AT67:AV67"/>
    <mergeCell ref="AW67:AY67"/>
    <mergeCell ref="B66:C66"/>
    <mergeCell ref="D66:O66"/>
    <mergeCell ref="AZ67:BB67"/>
    <mergeCell ref="P66:R66"/>
    <mergeCell ref="S66:U66"/>
    <mergeCell ref="V66:X66"/>
    <mergeCell ref="Y66:AA66"/>
    <mergeCell ref="BL68:BN68"/>
    <mergeCell ref="BO68:BR68"/>
    <mergeCell ref="AW68:AY68"/>
    <mergeCell ref="AZ68:BB68"/>
    <mergeCell ref="BC68:BE68"/>
    <mergeCell ref="BF68:BH68"/>
    <mergeCell ref="BI68:BK68"/>
    <mergeCell ref="BO66:BR66"/>
    <mergeCell ref="B67:C67"/>
    <mergeCell ref="D67:O67"/>
    <mergeCell ref="P67:R67"/>
    <mergeCell ref="S67:U67"/>
    <mergeCell ref="V67:X67"/>
    <mergeCell ref="Y67:AA67"/>
    <mergeCell ref="AB67:AD67"/>
    <mergeCell ref="AE67:AG67"/>
    <mergeCell ref="AT66:AV66"/>
    <mergeCell ref="AZ65:BB65"/>
    <mergeCell ref="BC65:BE65"/>
    <mergeCell ref="BF65:BH65"/>
    <mergeCell ref="BI65:BK65"/>
    <mergeCell ref="BL65:BN65"/>
    <mergeCell ref="BL66:BN66"/>
    <mergeCell ref="BO65:BR65"/>
    <mergeCell ref="AH65:AJ65"/>
    <mergeCell ref="AK65:AM65"/>
    <mergeCell ref="AN65:AP65"/>
    <mergeCell ref="AQ65:AS65"/>
    <mergeCell ref="AT65:AV65"/>
    <mergeCell ref="AW65:AY65"/>
    <mergeCell ref="AH66:AJ66"/>
    <mergeCell ref="AK66:AM66"/>
    <mergeCell ref="AN66:AP66"/>
    <mergeCell ref="AQ66:AS66"/>
    <mergeCell ref="AW66:AY66"/>
    <mergeCell ref="AZ66:BB66"/>
    <mergeCell ref="BC66:BE66"/>
    <mergeCell ref="BF66:BH66"/>
    <mergeCell ref="BI66:BK66"/>
    <mergeCell ref="B65:C65"/>
    <mergeCell ref="D65:O65"/>
    <mergeCell ref="P65:R65"/>
    <mergeCell ref="S65:U65"/>
    <mergeCell ref="V65:X65"/>
    <mergeCell ref="Y65:AA65"/>
    <mergeCell ref="AB65:AD65"/>
    <mergeCell ref="AE65:AG65"/>
    <mergeCell ref="AT64:AV64"/>
    <mergeCell ref="AB64:AD64"/>
    <mergeCell ref="AE64:AG64"/>
    <mergeCell ref="AH64:AJ64"/>
    <mergeCell ref="AK64:AM64"/>
    <mergeCell ref="AN64:AP64"/>
    <mergeCell ref="AQ64:AS64"/>
    <mergeCell ref="B64:C64"/>
    <mergeCell ref="D64:O64"/>
    <mergeCell ref="P64:R64"/>
    <mergeCell ref="S64:U64"/>
    <mergeCell ref="V64:X64"/>
    <mergeCell ref="Y64:AA64"/>
    <mergeCell ref="AB62:AD62"/>
    <mergeCell ref="AE62:AG62"/>
    <mergeCell ref="BC63:BE63"/>
    <mergeCell ref="BF63:BH63"/>
    <mergeCell ref="BI63:BK63"/>
    <mergeCell ref="BL63:BN63"/>
    <mergeCell ref="BO63:BR63"/>
    <mergeCell ref="AH63:AJ63"/>
    <mergeCell ref="AK63:AM63"/>
    <mergeCell ref="AN63:AP63"/>
    <mergeCell ref="AQ63:AS63"/>
    <mergeCell ref="AT63:AV63"/>
    <mergeCell ref="AW63:AY63"/>
    <mergeCell ref="B62:C62"/>
    <mergeCell ref="D62:O62"/>
    <mergeCell ref="AZ63:BB63"/>
    <mergeCell ref="P62:R62"/>
    <mergeCell ref="S62:U62"/>
    <mergeCell ref="V62:X62"/>
    <mergeCell ref="Y62:AA62"/>
    <mergeCell ref="BL64:BN64"/>
    <mergeCell ref="BO64:BR64"/>
    <mergeCell ref="AW64:AY64"/>
    <mergeCell ref="AZ64:BB64"/>
    <mergeCell ref="BC64:BE64"/>
    <mergeCell ref="BF64:BH64"/>
    <mergeCell ref="BI64:BK64"/>
    <mergeCell ref="BO62:BR62"/>
    <mergeCell ref="B63:C63"/>
    <mergeCell ref="D63:O63"/>
    <mergeCell ref="P63:R63"/>
    <mergeCell ref="S63:U63"/>
    <mergeCell ref="V63:X63"/>
    <mergeCell ref="Y63:AA63"/>
    <mergeCell ref="AB63:AD63"/>
    <mergeCell ref="AE63:AG63"/>
    <mergeCell ref="AT62:AV62"/>
    <mergeCell ref="AZ61:BB61"/>
    <mergeCell ref="BC61:BE61"/>
    <mergeCell ref="BF61:BH61"/>
    <mergeCell ref="BI61:BK61"/>
    <mergeCell ref="BL61:BN61"/>
    <mergeCell ref="BL62:BN62"/>
    <mergeCell ref="BO61:BR61"/>
    <mergeCell ref="AH61:AJ61"/>
    <mergeCell ref="AK61:AM61"/>
    <mergeCell ref="AN61:AP61"/>
    <mergeCell ref="AQ61:AS61"/>
    <mergeCell ref="AT61:AV61"/>
    <mergeCell ref="AW61:AY61"/>
    <mergeCell ref="AH62:AJ62"/>
    <mergeCell ref="AK62:AM62"/>
    <mergeCell ref="AN62:AP62"/>
    <mergeCell ref="AQ62:AS62"/>
    <mergeCell ref="AW62:AY62"/>
    <mergeCell ref="AZ62:BB62"/>
    <mergeCell ref="BC62:BE62"/>
    <mergeCell ref="BF62:BH62"/>
    <mergeCell ref="BI62:BK62"/>
    <mergeCell ref="B61:C61"/>
    <mergeCell ref="D61:O61"/>
    <mergeCell ref="P61:R61"/>
    <mergeCell ref="S61:U61"/>
    <mergeCell ref="V61:X61"/>
    <mergeCell ref="Y61:AA61"/>
    <mergeCell ref="AB61:AD61"/>
    <mergeCell ref="AE61:AG61"/>
    <mergeCell ref="AT60:AV60"/>
    <mergeCell ref="AB60:AD60"/>
    <mergeCell ref="AE60:AG60"/>
    <mergeCell ref="AH60:AJ60"/>
    <mergeCell ref="AK60:AM60"/>
    <mergeCell ref="AN60:AP60"/>
    <mergeCell ref="AQ60:AS60"/>
    <mergeCell ref="B60:C60"/>
    <mergeCell ref="D60:O60"/>
    <mergeCell ref="P60:R60"/>
    <mergeCell ref="S60:U60"/>
    <mergeCell ref="V60:X60"/>
    <mergeCell ref="Y60:AA60"/>
    <mergeCell ref="AB58:AD58"/>
    <mergeCell ref="AE58:AG58"/>
    <mergeCell ref="BC59:BE59"/>
    <mergeCell ref="BF59:BH59"/>
    <mergeCell ref="BI59:BK59"/>
    <mergeCell ref="BL59:BN59"/>
    <mergeCell ref="BO59:BR59"/>
    <mergeCell ref="AH59:AJ59"/>
    <mergeCell ref="AK59:AM59"/>
    <mergeCell ref="AN59:AP59"/>
    <mergeCell ref="AQ59:AS59"/>
    <mergeCell ref="AT59:AV59"/>
    <mergeCell ref="AW59:AY59"/>
    <mergeCell ref="B58:C58"/>
    <mergeCell ref="D58:O58"/>
    <mergeCell ref="AZ59:BB59"/>
    <mergeCell ref="P58:R58"/>
    <mergeCell ref="S58:U58"/>
    <mergeCell ref="V58:X58"/>
    <mergeCell ref="Y58:AA58"/>
    <mergeCell ref="BL60:BN60"/>
    <mergeCell ref="BO60:BR60"/>
    <mergeCell ref="AW60:AY60"/>
    <mergeCell ref="AZ60:BB60"/>
    <mergeCell ref="BC60:BE60"/>
    <mergeCell ref="BF60:BH60"/>
    <mergeCell ref="BI60:BK60"/>
    <mergeCell ref="BO58:BR58"/>
    <mergeCell ref="B59:C59"/>
    <mergeCell ref="D59:O59"/>
    <mergeCell ref="P59:R59"/>
    <mergeCell ref="S59:U59"/>
    <mergeCell ref="V59:X59"/>
    <mergeCell ref="Y59:AA59"/>
    <mergeCell ref="AB59:AD59"/>
    <mergeCell ref="AE59:AG59"/>
    <mergeCell ref="AT58:AV58"/>
    <mergeCell ref="BC57:BE57"/>
    <mergeCell ref="BF57:BH57"/>
    <mergeCell ref="BI57:BK57"/>
    <mergeCell ref="BL57:BN57"/>
    <mergeCell ref="BL58:BN58"/>
    <mergeCell ref="BO57:BR57"/>
    <mergeCell ref="AH57:AJ57"/>
    <mergeCell ref="AK57:AM57"/>
    <mergeCell ref="AN57:AP57"/>
    <mergeCell ref="AQ57:AS57"/>
    <mergeCell ref="AT57:AV57"/>
    <mergeCell ref="AW57:AY57"/>
    <mergeCell ref="AH58:AJ58"/>
    <mergeCell ref="AK58:AM58"/>
    <mergeCell ref="AN58:AP58"/>
    <mergeCell ref="AQ58:AS58"/>
    <mergeCell ref="AW58:AY58"/>
    <mergeCell ref="AZ58:BB58"/>
    <mergeCell ref="BC58:BE58"/>
    <mergeCell ref="BF58:BH58"/>
    <mergeCell ref="BI58:BK58"/>
    <mergeCell ref="BO56:BR56"/>
    <mergeCell ref="AW56:AY56"/>
    <mergeCell ref="AZ56:BB56"/>
    <mergeCell ref="BC56:BE56"/>
    <mergeCell ref="BF56:BH56"/>
    <mergeCell ref="BI56:BK56"/>
    <mergeCell ref="B57:C57"/>
    <mergeCell ref="D57:O57"/>
    <mergeCell ref="P57:R57"/>
    <mergeCell ref="S57:U57"/>
    <mergeCell ref="V57:X57"/>
    <mergeCell ref="Y57:AA57"/>
    <mergeCell ref="AB57:AD57"/>
    <mergeCell ref="AE57:AG57"/>
    <mergeCell ref="AT56:AV56"/>
    <mergeCell ref="AB56:AD56"/>
    <mergeCell ref="AE56:AG56"/>
    <mergeCell ref="AH56:AJ56"/>
    <mergeCell ref="AK56:AM56"/>
    <mergeCell ref="AN56:AP56"/>
    <mergeCell ref="AQ56:AS56"/>
    <mergeCell ref="B56:C56"/>
    <mergeCell ref="D56:O56"/>
    <mergeCell ref="AZ57:BB57"/>
    <mergeCell ref="P56:R56"/>
    <mergeCell ref="S56:U56"/>
    <mergeCell ref="V56:X56"/>
    <mergeCell ref="Y56:AA56"/>
    <mergeCell ref="S55:U55"/>
    <mergeCell ref="BC50:BE51"/>
    <mergeCell ref="BF50:BH51"/>
    <mergeCell ref="BI50:BK51"/>
    <mergeCell ref="BL50:BN51"/>
    <mergeCell ref="AQ52:BB53"/>
    <mergeCell ref="BC52:BN53"/>
    <mergeCell ref="AH50:AJ55"/>
    <mergeCell ref="AK50:AM55"/>
    <mergeCell ref="AQ50:AS51"/>
    <mergeCell ref="AT50:AV51"/>
    <mergeCell ref="AW50:AY51"/>
    <mergeCell ref="AZ50:BB51"/>
    <mergeCell ref="AQ54:AS55"/>
    <mergeCell ref="AT54:AV55"/>
    <mergeCell ref="AW54:AY55"/>
    <mergeCell ref="AZ54:BB55"/>
    <mergeCell ref="BL56:BN56"/>
    <mergeCell ref="A44:BR45"/>
    <mergeCell ref="A46:A55"/>
    <mergeCell ref="B46:C55"/>
    <mergeCell ref="D46:O55"/>
    <mergeCell ref="P46:AP47"/>
    <mergeCell ref="AQ46:BB47"/>
    <mergeCell ref="BC46:BN47"/>
    <mergeCell ref="BO46:BR55"/>
    <mergeCell ref="P48:U54"/>
    <mergeCell ref="V48:AM49"/>
    <mergeCell ref="AN48:AP55"/>
    <mergeCell ref="AQ48:AV49"/>
    <mergeCell ref="AW48:BB49"/>
    <mergeCell ref="BC48:BH49"/>
    <mergeCell ref="BI48:BN49"/>
    <mergeCell ref="V50:X55"/>
    <mergeCell ref="Y50:AA55"/>
    <mergeCell ref="AB50:AD55"/>
    <mergeCell ref="AE50:AG55"/>
    <mergeCell ref="BC54:BE55"/>
    <mergeCell ref="BF54:BH55"/>
    <mergeCell ref="BI54:BK55"/>
    <mergeCell ref="BL54:BN55"/>
    <mergeCell ref="P55:R55"/>
    <mergeCell ref="BM37:BN37"/>
    <mergeCell ref="BO37:BP37"/>
    <mergeCell ref="BQ37:BR37"/>
    <mergeCell ref="B39:C41"/>
    <mergeCell ref="D39:J41"/>
    <mergeCell ref="K39:N41"/>
    <mergeCell ref="O39:R41"/>
    <mergeCell ref="S39:U41"/>
    <mergeCell ref="V39:AA41"/>
    <mergeCell ref="AB39:AD41"/>
    <mergeCell ref="A37:BB37"/>
    <mergeCell ref="BC37:BD37"/>
    <mergeCell ref="BE37:BF37"/>
    <mergeCell ref="BG37:BH37"/>
    <mergeCell ref="BI37:BJ37"/>
    <mergeCell ref="BK37:BL37"/>
    <mergeCell ref="BH39:BN41"/>
    <mergeCell ref="AF39:AM41"/>
    <mergeCell ref="AN39:AP41"/>
    <mergeCell ref="AR39:AU41"/>
    <mergeCell ref="AW39:AY41"/>
    <mergeCell ref="AZ39:BC41"/>
    <mergeCell ref="BD39:BG41"/>
    <mergeCell ref="A36:B36"/>
    <mergeCell ref="BC36:BD36"/>
    <mergeCell ref="BE36:BF36"/>
    <mergeCell ref="BG36:BH36"/>
    <mergeCell ref="BI36:BJ36"/>
    <mergeCell ref="BK36:BL36"/>
    <mergeCell ref="BM36:BN36"/>
    <mergeCell ref="BO36:BP36"/>
    <mergeCell ref="BQ36:BR36"/>
    <mergeCell ref="A35:B35"/>
    <mergeCell ref="BC35:BD35"/>
    <mergeCell ref="BW32:BX34"/>
    <mergeCell ref="BY32:CA34"/>
    <mergeCell ref="C33:F33"/>
    <mergeCell ref="G33:J33"/>
    <mergeCell ref="K33:O33"/>
    <mergeCell ref="P33:S33"/>
    <mergeCell ref="T33:X33"/>
    <mergeCell ref="Y33:AB33"/>
    <mergeCell ref="AC33:AF33"/>
    <mergeCell ref="AG33:AJ33"/>
    <mergeCell ref="BQ31:BR34"/>
    <mergeCell ref="BT31:CA31"/>
    <mergeCell ref="BQ35:BR35"/>
    <mergeCell ref="BE35:BF35"/>
    <mergeCell ref="BG35:BH35"/>
    <mergeCell ref="BI35:BJ35"/>
    <mergeCell ref="BK35:BL35"/>
    <mergeCell ref="BM35:BN35"/>
    <mergeCell ref="BO35:BP35"/>
    <mergeCell ref="CB31:CC34"/>
    <mergeCell ref="CD31:CE34"/>
    <mergeCell ref="CF31:CG34"/>
    <mergeCell ref="BE32:BF34"/>
    <mergeCell ref="BG32:BH34"/>
    <mergeCell ref="BI32:BJ34"/>
    <mergeCell ref="BK32:BL34"/>
    <mergeCell ref="BT32:BV34"/>
    <mergeCell ref="A29:BR30"/>
    <mergeCell ref="A31:B34"/>
    <mergeCell ref="C31:BB32"/>
    <mergeCell ref="BC31:BD34"/>
    <mergeCell ref="BE31:BL31"/>
    <mergeCell ref="BM31:BN34"/>
    <mergeCell ref="BO31:BP34"/>
    <mergeCell ref="AK33:AO33"/>
    <mergeCell ref="AP33:AS33"/>
    <mergeCell ref="AT33:AX33"/>
    <mergeCell ref="AY33:BB33"/>
    <mergeCell ref="A15:Q18"/>
    <mergeCell ref="R15:AY18"/>
    <mergeCell ref="A1:BR2"/>
    <mergeCell ref="A3:BR4"/>
    <mergeCell ref="A7:Q10"/>
    <mergeCell ref="R7:AY10"/>
    <mergeCell ref="AZ7:BR10"/>
    <mergeCell ref="A11:Q14"/>
    <mergeCell ref="R11:AY14"/>
    <mergeCell ref="AZ11:BR14"/>
    <mergeCell ref="AZ15:BR18"/>
  </mergeCells>
  <conditionalFormatting sqref="BW58:BW83">
    <cfRule type="expression" dxfId="13" priority="2">
      <formula>BV58=0</formula>
    </cfRule>
  </conditionalFormatting>
  <conditionalFormatting sqref="BZ58:BZ83">
    <cfRule type="expression" dxfId="12" priority="1">
      <formula>BY58=0</formula>
    </cfRule>
  </conditionalFormatting>
  <pageMargins left="0.19685039370078741" right="0.19685039370078741" top="0.19685039370078741" bottom="0.19685039370078741" header="0.31496062992125984" footer="0.31496062992125984"/>
  <pageSetup paperSize="9" scale="5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172"/>
  <sheetViews>
    <sheetView view="pageBreakPreview" topLeftCell="A42" zoomScale="70" zoomScaleNormal="55" zoomScaleSheetLayoutView="70" workbookViewId="0">
      <selection activeCell="D66" sqref="D66:O66"/>
    </sheetView>
  </sheetViews>
  <sheetFormatPr defaultColWidth="9.140625" defaultRowHeight="15.75" x14ac:dyDescent="0.25"/>
  <cols>
    <col min="1" max="1" width="12.28515625" style="2" customWidth="1"/>
    <col min="2" max="2" width="12.28515625" style="58" customWidth="1"/>
    <col min="3" max="3" width="3.85546875" style="58" customWidth="1"/>
    <col min="4" max="70" width="3.85546875" style="2" customWidth="1"/>
    <col min="71" max="74" width="6.5703125" style="1" customWidth="1"/>
    <col min="75" max="75" width="15.42578125" style="1" customWidth="1"/>
    <col min="76" max="77" width="6.5703125" style="1" customWidth="1"/>
    <col min="78" max="78" width="15.42578125" style="1" customWidth="1"/>
    <col min="79" max="16384" width="9.140625" style="2"/>
  </cols>
  <sheetData>
    <row r="1" spans="1:70" ht="14.25" customHeight="1" x14ac:dyDescent="0.25">
      <c r="A1" s="140" t="s">
        <v>252</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c r="BD1" s="140"/>
      <c r="BE1" s="140"/>
      <c r="BF1" s="140"/>
      <c r="BG1" s="140"/>
      <c r="BH1" s="140"/>
      <c r="BI1" s="140"/>
      <c r="BJ1" s="140"/>
      <c r="BK1" s="140"/>
      <c r="BL1" s="140"/>
      <c r="BM1" s="140"/>
      <c r="BN1" s="140"/>
      <c r="BO1" s="140"/>
      <c r="BP1" s="140"/>
      <c r="BQ1" s="140"/>
      <c r="BR1" s="140"/>
    </row>
    <row r="2" spans="1:70" ht="14.25" customHeight="1" x14ac:dyDescent="0.25">
      <c r="A2" s="140"/>
      <c r="B2" s="140"/>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c r="AH2" s="140"/>
      <c r="AI2" s="140"/>
      <c r="AJ2" s="140"/>
      <c r="AK2" s="140"/>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row>
    <row r="3" spans="1:70" ht="14.25" customHeight="1" x14ac:dyDescent="0.25">
      <c r="A3" s="140" t="s">
        <v>56</v>
      </c>
      <c r="B3" s="140"/>
      <c r="C3" s="140"/>
      <c r="D3" s="140"/>
      <c r="E3" s="140"/>
      <c r="F3" s="140"/>
      <c r="G3" s="140"/>
      <c r="H3" s="140"/>
      <c r="I3" s="140"/>
      <c r="J3" s="140"/>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row>
    <row r="4" spans="1:70" ht="14.25" customHeight="1" x14ac:dyDescent="0.25">
      <c r="A4" s="140"/>
      <c r="B4" s="140"/>
      <c r="C4" s="140"/>
      <c r="D4" s="140"/>
      <c r="E4" s="140"/>
      <c r="F4" s="140"/>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row>
    <row r="5" spans="1:70" ht="14.25" customHeight="1" x14ac:dyDescent="0.25">
      <c r="A5" s="67"/>
      <c r="B5" s="67"/>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row>
    <row r="6" spans="1:70" ht="14.25" customHeight="1" x14ac:dyDescent="0.25">
      <c r="A6" s="67"/>
      <c r="B6" s="67"/>
      <c r="C6" s="67"/>
      <c r="D6" s="67"/>
      <c r="E6" s="67"/>
      <c r="F6" s="67"/>
      <c r="G6" s="67"/>
      <c r="H6" s="67"/>
      <c r="I6" s="67"/>
      <c r="J6" s="67"/>
      <c r="K6" s="67"/>
      <c r="L6" s="67"/>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row>
    <row r="7" spans="1:70" ht="14.25" customHeight="1" x14ac:dyDescent="0.25">
      <c r="A7" s="170" t="s">
        <v>57</v>
      </c>
      <c r="B7" s="170"/>
      <c r="C7" s="170"/>
      <c r="D7" s="170"/>
      <c r="E7" s="170"/>
      <c r="F7" s="170"/>
      <c r="G7" s="170"/>
      <c r="H7" s="170"/>
      <c r="I7" s="170"/>
      <c r="J7" s="170"/>
      <c r="K7" s="170"/>
      <c r="L7" s="170"/>
      <c r="M7" s="170"/>
      <c r="N7" s="170"/>
      <c r="O7" s="170"/>
      <c r="P7" s="170"/>
      <c r="Q7" s="170"/>
      <c r="R7" s="170" t="s">
        <v>239</v>
      </c>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t="s">
        <v>64</v>
      </c>
      <c r="BA7" s="170"/>
      <c r="BB7" s="170"/>
      <c r="BC7" s="170"/>
      <c r="BD7" s="170"/>
      <c r="BE7" s="170"/>
      <c r="BF7" s="170"/>
      <c r="BG7" s="170"/>
      <c r="BH7" s="170"/>
      <c r="BI7" s="170"/>
      <c r="BJ7" s="170"/>
      <c r="BK7" s="170"/>
      <c r="BL7" s="170"/>
      <c r="BM7" s="170"/>
      <c r="BN7" s="170"/>
      <c r="BO7" s="170"/>
      <c r="BP7" s="170"/>
      <c r="BQ7" s="170"/>
      <c r="BR7" s="170"/>
    </row>
    <row r="8" spans="1:70" ht="14.25" customHeight="1" x14ac:dyDescent="0.25">
      <c r="A8" s="170"/>
      <c r="B8" s="170"/>
      <c r="C8" s="170"/>
      <c r="D8" s="170"/>
      <c r="E8" s="170"/>
      <c r="F8" s="170"/>
      <c r="G8" s="170"/>
      <c r="H8" s="170"/>
      <c r="I8" s="170"/>
      <c r="J8" s="170"/>
      <c r="K8" s="170"/>
      <c r="L8" s="170"/>
      <c r="M8" s="170"/>
      <c r="N8" s="170"/>
      <c r="O8" s="170"/>
      <c r="P8" s="170"/>
      <c r="Q8" s="170"/>
      <c r="R8" s="170"/>
      <c r="S8" s="170"/>
      <c r="T8" s="170"/>
      <c r="U8" s="170"/>
      <c r="V8" s="170"/>
      <c r="W8" s="170"/>
      <c r="X8" s="170"/>
      <c r="Y8" s="170"/>
      <c r="Z8" s="170"/>
      <c r="AA8" s="170"/>
      <c r="AB8" s="170"/>
      <c r="AC8" s="170"/>
      <c r="AD8" s="170"/>
      <c r="AE8" s="170"/>
      <c r="AF8" s="170"/>
      <c r="AG8" s="170"/>
      <c r="AH8" s="170"/>
      <c r="AI8" s="170"/>
      <c r="AJ8" s="170"/>
      <c r="AK8" s="170"/>
      <c r="AL8" s="170"/>
      <c r="AM8" s="170"/>
      <c r="AN8" s="170"/>
      <c r="AO8" s="170"/>
      <c r="AP8" s="170"/>
      <c r="AQ8" s="170"/>
      <c r="AR8" s="170"/>
      <c r="AS8" s="170"/>
      <c r="AT8" s="170"/>
      <c r="AU8" s="170"/>
      <c r="AV8" s="170"/>
      <c r="AW8" s="170"/>
      <c r="AX8" s="170"/>
      <c r="AY8" s="170"/>
      <c r="AZ8" s="170"/>
      <c r="BA8" s="170"/>
      <c r="BB8" s="170"/>
      <c r="BC8" s="170"/>
      <c r="BD8" s="170"/>
      <c r="BE8" s="170"/>
      <c r="BF8" s="170"/>
      <c r="BG8" s="170"/>
      <c r="BH8" s="170"/>
      <c r="BI8" s="170"/>
      <c r="BJ8" s="170"/>
      <c r="BK8" s="170"/>
      <c r="BL8" s="170"/>
      <c r="BM8" s="170"/>
      <c r="BN8" s="170"/>
      <c r="BO8" s="170"/>
      <c r="BP8" s="170"/>
      <c r="BQ8" s="170"/>
      <c r="BR8" s="170"/>
    </row>
    <row r="9" spans="1:70" ht="14.25" customHeight="1" x14ac:dyDescent="0.25">
      <c r="A9" s="170"/>
      <c r="B9" s="170"/>
      <c r="C9" s="170"/>
      <c r="D9" s="170"/>
      <c r="E9" s="170"/>
      <c r="F9" s="170"/>
      <c r="G9" s="170"/>
      <c r="H9" s="170"/>
      <c r="I9" s="170"/>
      <c r="J9" s="170"/>
      <c r="K9" s="170"/>
      <c r="L9" s="170"/>
      <c r="M9" s="170"/>
      <c r="N9" s="170"/>
      <c r="O9" s="170"/>
      <c r="P9" s="170"/>
      <c r="Q9" s="170"/>
      <c r="R9" s="170"/>
      <c r="S9" s="170"/>
      <c r="T9" s="170"/>
      <c r="U9" s="170"/>
      <c r="V9" s="170"/>
      <c r="W9" s="170"/>
      <c r="X9" s="170"/>
      <c r="Y9" s="170"/>
      <c r="Z9" s="170"/>
      <c r="AA9" s="170"/>
      <c r="AB9" s="170"/>
      <c r="AC9" s="170"/>
      <c r="AD9" s="170"/>
      <c r="AE9" s="170"/>
      <c r="AF9" s="170"/>
      <c r="AG9" s="170"/>
      <c r="AH9" s="170"/>
      <c r="AI9" s="170"/>
      <c r="AJ9" s="170"/>
      <c r="AK9" s="170"/>
      <c r="AL9" s="170"/>
      <c r="AM9" s="170"/>
      <c r="AN9" s="170"/>
      <c r="AO9" s="170"/>
      <c r="AP9" s="170"/>
      <c r="AQ9" s="170"/>
      <c r="AR9" s="170"/>
      <c r="AS9" s="170"/>
      <c r="AT9" s="170"/>
      <c r="AU9" s="170"/>
      <c r="AV9" s="170"/>
      <c r="AW9" s="170"/>
      <c r="AX9" s="170"/>
      <c r="AY9" s="170"/>
      <c r="AZ9" s="170"/>
      <c r="BA9" s="170"/>
      <c r="BB9" s="170"/>
      <c r="BC9" s="170"/>
      <c r="BD9" s="170"/>
      <c r="BE9" s="170"/>
      <c r="BF9" s="170"/>
      <c r="BG9" s="170"/>
      <c r="BH9" s="170"/>
      <c r="BI9" s="170"/>
      <c r="BJ9" s="170"/>
      <c r="BK9" s="170"/>
      <c r="BL9" s="170"/>
      <c r="BM9" s="170"/>
      <c r="BN9" s="170"/>
      <c r="BO9" s="170"/>
      <c r="BP9" s="170"/>
      <c r="BQ9" s="170"/>
      <c r="BR9" s="170"/>
    </row>
    <row r="10" spans="1:70" ht="14.25" customHeight="1" x14ac:dyDescent="0.25">
      <c r="A10" s="170"/>
      <c r="B10" s="170"/>
      <c r="C10" s="170"/>
      <c r="D10" s="170"/>
      <c r="E10" s="170"/>
      <c r="F10" s="170"/>
      <c r="G10" s="170"/>
      <c r="H10" s="170"/>
      <c r="I10" s="170"/>
      <c r="J10" s="170"/>
      <c r="K10" s="170"/>
      <c r="L10" s="170"/>
      <c r="M10" s="170"/>
      <c r="N10" s="170"/>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0"/>
      <c r="AM10" s="170"/>
      <c r="AN10" s="170"/>
      <c r="AO10" s="170"/>
      <c r="AP10" s="170"/>
      <c r="AQ10" s="170"/>
      <c r="AR10" s="170"/>
      <c r="AS10" s="170"/>
      <c r="AT10" s="170"/>
      <c r="AU10" s="170"/>
      <c r="AV10" s="170"/>
      <c r="AW10" s="170"/>
      <c r="AX10" s="170"/>
      <c r="AY10" s="170"/>
      <c r="AZ10" s="170"/>
      <c r="BA10" s="170"/>
      <c r="BB10" s="170"/>
      <c r="BC10" s="170"/>
      <c r="BD10" s="170"/>
      <c r="BE10" s="170"/>
      <c r="BF10" s="170"/>
      <c r="BG10" s="170"/>
      <c r="BH10" s="170"/>
      <c r="BI10" s="170"/>
      <c r="BJ10" s="170"/>
      <c r="BK10" s="170"/>
      <c r="BL10" s="170"/>
      <c r="BM10" s="170"/>
      <c r="BN10" s="170"/>
      <c r="BO10" s="170"/>
      <c r="BP10" s="170"/>
      <c r="BQ10" s="170"/>
      <c r="BR10" s="170"/>
    </row>
    <row r="11" spans="1:70" ht="14.25" customHeight="1" x14ac:dyDescent="0.25">
      <c r="A11" s="171" t="s">
        <v>58</v>
      </c>
      <c r="B11" s="171"/>
      <c r="C11" s="171"/>
      <c r="D11" s="171"/>
      <c r="E11" s="171"/>
      <c r="F11" s="171"/>
      <c r="G11" s="171"/>
      <c r="H11" s="171"/>
      <c r="I11" s="171"/>
      <c r="J11" s="171"/>
      <c r="K11" s="171"/>
      <c r="L11" s="171"/>
      <c r="M11" s="171"/>
      <c r="N11" s="171"/>
      <c r="O11" s="171"/>
      <c r="P11" s="171"/>
      <c r="Q11" s="171"/>
      <c r="R11" s="174" t="s">
        <v>72</v>
      </c>
      <c r="S11" s="174"/>
      <c r="T11" s="174"/>
      <c r="U11" s="174"/>
      <c r="V11" s="174"/>
      <c r="W11" s="174"/>
      <c r="X11" s="174"/>
      <c r="Y11" s="174"/>
      <c r="Z11" s="174"/>
      <c r="AA11" s="174"/>
      <c r="AB11" s="174"/>
      <c r="AC11" s="174"/>
      <c r="AD11" s="174"/>
      <c r="AE11" s="174"/>
      <c r="AF11" s="174"/>
      <c r="AG11" s="174"/>
      <c r="AH11" s="174"/>
      <c r="AI11" s="174"/>
      <c r="AJ11" s="174"/>
      <c r="AK11" s="174"/>
      <c r="AL11" s="174"/>
      <c r="AM11" s="174"/>
      <c r="AN11" s="174"/>
      <c r="AO11" s="174"/>
      <c r="AP11" s="174"/>
      <c r="AQ11" s="174"/>
      <c r="AR11" s="174"/>
      <c r="AS11" s="174"/>
      <c r="AT11" s="174"/>
      <c r="AU11" s="174"/>
      <c r="AV11" s="174"/>
      <c r="AW11" s="174"/>
      <c r="AX11" s="174"/>
      <c r="AY11" s="174"/>
      <c r="AZ11" s="171" t="s">
        <v>63</v>
      </c>
      <c r="BA11" s="170"/>
      <c r="BB11" s="170"/>
      <c r="BC11" s="170"/>
      <c r="BD11" s="170"/>
      <c r="BE11" s="170"/>
      <c r="BF11" s="170"/>
      <c r="BG11" s="170"/>
      <c r="BH11" s="170"/>
      <c r="BI11" s="170"/>
      <c r="BJ11" s="170"/>
      <c r="BK11" s="170"/>
      <c r="BL11" s="170"/>
      <c r="BM11" s="170"/>
      <c r="BN11" s="170"/>
      <c r="BO11" s="170"/>
      <c r="BP11" s="170"/>
      <c r="BQ11" s="170"/>
      <c r="BR11" s="170"/>
    </row>
    <row r="12" spans="1:70" ht="14.25" customHeight="1" x14ac:dyDescent="0.25">
      <c r="A12" s="171"/>
      <c r="B12" s="171"/>
      <c r="C12" s="171"/>
      <c r="D12" s="171"/>
      <c r="E12" s="171"/>
      <c r="F12" s="171"/>
      <c r="G12" s="171"/>
      <c r="H12" s="171"/>
      <c r="I12" s="171"/>
      <c r="J12" s="171"/>
      <c r="K12" s="171"/>
      <c r="L12" s="171"/>
      <c r="M12" s="171"/>
      <c r="N12" s="171"/>
      <c r="O12" s="171"/>
      <c r="P12" s="171"/>
      <c r="Q12" s="171"/>
      <c r="R12" s="174"/>
      <c r="S12" s="174"/>
      <c r="T12" s="174"/>
      <c r="U12" s="174"/>
      <c r="V12" s="174"/>
      <c r="W12" s="174"/>
      <c r="X12" s="174"/>
      <c r="Y12" s="174"/>
      <c r="Z12" s="174"/>
      <c r="AA12" s="174"/>
      <c r="AB12" s="174"/>
      <c r="AC12" s="174"/>
      <c r="AD12" s="174"/>
      <c r="AE12" s="174"/>
      <c r="AF12" s="174"/>
      <c r="AG12" s="174"/>
      <c r="AH12" s="174"/>
      <c r="AI12" s="174"/>
      <c r="AJ12" s="174"/>
      <c r="AK12" s="174"/>
      <c r="AL12" s="174"/>
      <c r="AM12" s="174"/>
      <c r="AN12" s="174"/>
      <c r="AO12" s="174"/>
      <c r="AP12" s="174"/>
      <c r="AQ12" s="174"/>
      <c r="AR12" s="174"/>
      <c r="AS12" s="174"/>
      <c r="AT12" s="174"/>
      <c r="AU12" s="174"/>
      <c r="AV12" s="174"/>
      <c r="AW12" s="174"/>
      <c r="AX12" s="174"/>
      <c r="AY12" s="174"/>
      <c r="AZ12" s="171"/>
      <c r="BA12" s="170"/>
      <c r="BB12" s="170"/>
      <c r="BC12" s="170"/>
      <c r="BD12" s="170"/>
      <c r="BE12" s="170"/>
      <c r="BF12" s="170"/>
      <c r="BG12" s="170"/>
      <c r="BH12" s="170"/>
      <c r="BI12" s="170"/>
      <c r="BJ12" s="170"/>
      <c r="BK12" s="170"/>
      <c r="BL12" s="170"/>
      <c r="BM12" s="170"/>
      <c r="BN12" s="170"/>
      <c r="BO12" s="170"/>
      <c r="BP12" s="170"/>
      <c r="BQ12" s="170"/>
      <c r="BR12" s="170"/>
    </row>
    <row r="13" spans="1:70" ht="14.25" customHeight="1" x14ac:dyDescent="0.25">
      <c r="A13" s="171"/>
      <c r="B13" s="171"/>
      <c r="C13" s="171"/>
      <c r="D13" s="171"/>
      <c r="E13" s="171"/>
      <c r="F13" s="171"/>
      <c r="G13" s="171"/>
      <c r="H13" s="171"/>
      <c r="I13" s="171"/>
      <c r="J13" s="171"/>
      <c r="K13" s="171"/>
      <c r="L13" s="171"/>
      <c r="M13" s="171"/>
      <c r="N13" s="171"/>
      <c r="O13" s="171"/>
      <c r="P13" s="171"/>
      <c r="Q13" s="171"/>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1"/>
      <c r="BA13" s="170"/>
      <c r="BB13" s="170"/>
      <c r="BC13" s="170"/>
      <c r="BD13" s="170"/>
      <c r="BE13" s="170"/>
      <c r="BF13" s="170"/>
      <c r="BG13" s="170"/>
      <c r="BH13" s="170"/>
      <c r="BI13" s="170"/>
      <c r="BJ13" s="170"/>
      <c r="BK13" s="170"/>
      <c r="BL13" s="170"/>
      <c r="BM13" s="170"/>
      <c r="BN13" s="170"/>
      <c r="BO13" s="170"/>
      <c r="BP13" s="170"/>
      <c r="BQ13" s="170"/>
      <c r="BR13" s="170"/>
    </row>
    <row r="14" spans="1:70" ht="14.25" customHeight="1" x14ac:dyDescent="0.25">
      <c r="A14" s="171"/>
      <c r="B14" s="171"/>
      <c r="C14" s="171"/>
      <c r="D14" s="171"/>
      <c r="E14" s="171"/>
      <c r="F14" s="171"/>
      <c r="G14" s="171"/>
      <c r="H14" s="171"/>
      <c r="I14" s="171"/>
      <c r="J14" s="171"/>
      <c r="K14" s="171"/>
      <c r="L14" s="171"/>
      <c r="M14" s="171"/>
      <c r="N14" s="171"/>
      <c r="O14" s="171"/>
      <c r="P14" s="171"/>
      <c r="Q14" s="171"/>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0"/>
      <c r="BA14" s="170"/>
      <c r="BB14" s="170"/>
      <c r="BC14" s="170"/>
      <c r="BD14" s="170"/>
      <c r="BE14" s="170"/>
      <c r="BF14" s="170"/>
      <c r="BG14" s="170"/>
      <c r="BH14" s="170"/>
      <c r="BI14" s="170"/>
      <c r="BJ14" s="170"/>
      <c r="BK14" s="170"/>
      <c r="BL14" s="170"/>
      <c r="BM14" s="170"/>
      <c r="BN14" s="170"/>
      <c r="BO14" s="170"/>
      <c r="BP14" s="170"/>
      <c r="BQ14" s="170"/>
      <c r="BR14" s="170"/>
    </row>
    <row r="15" spans="1:70" ht="14.25" customHeight="1" x14ac:dyDescent="0.25">
      <c r="A15" s="170" t="s">
        <v>59</v>
      </c>
      <c r="B15" s="170"/>
      <c r="C15" s="170"/>
      <c r="D15" s="170"/>
      <c r="E15" s="170"/>
      <c r="F15" s="170"/>
      <c r="G15" s="170"/>
      <c r="H15" s="170"/>
      <c r="I15" s="170"/>
      <c r="J15" s="170"/>
      <c r="K15" s="170"/>
      <c r="L15" s="170"/>
      <c r="M15" s="170"/>
      <c r="N15" s="170"/>
      <c r="O15" s="170"/>
      <c r="P15" s="170"/>
      <c r="Q15" s="170"/>
      <c r="R15" s="175" t="s">
        <v>228</v>
      </c>
      <c r="S15" s="175"/>
      <c r="T15" s="175"/>
      <c r="U15" s="175"/>
      <c r="V15" s="175"/>
      <c r="W15" s="175"/>
      <c r="X15" s="175"/>
      <c r="Y15" s="175"/>
      <c r="Z15" s="175"/>
      <c r="AA15" s="175"/>
      <c r="AB15" s="175"/>
      <c r="AC15" s="175"/>
      <c r="AD15" s="175"/>
      <c r="AE15" s="175"/>
      <c r="AF15" s="175"/>
      <c r="AG15" s="175"/>
      <c r="AH15" s="175"/>
      <c r="AI15" s="175"/>
      <c r="AJ15" s="175"/>
      <c r="AK15" s="175"/>
      <c r="AL15" s="175"/>
      <c r="AM15" s="175"/>
      <c r="AN15" s="175"/>
      <c r="AO15" s="175"/>
      <c r="AP15" s="175"/>
      <c r="AQ15" s="175"/>
      <c r="AR15" s="175"/>
      <c r="AS15" s="175"/>
      <c r="AT15" s="175"/>
      <c r="AU15" s="175"/>
      <c r="AV15" s="175"/>
      <c r="AW15" s="175"/>
      <c r="AX15" s="175"/>
      <c r="AY15" s="175"/>
      <c r="AZ15" s="170" t="s">
        <v>62</v>
      </c>
      <c r="BA15" s="170"/>
      <c r="BB15" s="170"/>
      <c r="BC15" s="170"/>
      <c r="BD15" s="170"/>
      <c r="BE15" s="170"/>
      <c r="BF15" s="170"/>
      <c r="BG15" s="170"/>
      <c r="BH15" s="170"/>
      <c r="BI15" s="170"/>
      <c r="BJ15" s="170"/>
      <c r="BK15" s="170"/>
      <c r="BL15" s="170"/>
      <c r="BM15" s="170"/>
      <c r="BN15" s="170"/>
      <c r="BO15" s="170"/>
      <c r="BP15" s="170"/>
      <c r="BQ15" s="170"/>
      <c r="BR15" s="170"/>
    </row>
    <row r="16" spans="1:70" ht="14.25" customHeight="1" x14ac:dyDescent="0.25">
      <c r="A16" s="170"/>
      <c r="B16" s="170"/>
      <c r="C16" s="170"/>
      <c r="D16" s="170"/>
      <c r="E16" s="170"/>
      <c r="F16" s="170"/>
      <c r="G16" s="170"/>
      <c r="H16" s="170"/>
      <c r="I16" s="170"/>
      <c r="J16" s="170"/>
      <c r="K16" s="170"/>
      <c r="L16" s="170"/>
      <c r="M16" s="170"/>
      <c r="N16" s="170"/>
      <c r="O16" s="170"/>
      <c r="P16" s="170"/>
      <c r="Q16" s="170"/>
      <c r="R16" s="175"/>
      <c r="S16" s="175"/>
      <c r="T16" s="175"/>
      <c r="U16" s="175"/>
      <c r="V16" s="175"/>
      <c r="W16" s="175"/>
      <c r="X16" s="175"/>
      <c r="Y16" s="175"/>
      <c r="Z16" s="175"/>
      <c r="AA16" s="175"/>
      <c r="AB16" s="175"/>
      <c r="AC16" s="175"/>
      <c r="AD16" s="175"/>
      <c r="AE16" s="175"/>
      <c r="AF16" s="175"/>
      <c r="AG16" s="175"/>
      <c r="AH16" s="175"/>
      <c r="AI16" s="175"/>
      <c r="AJ16" s="175"/>
      <c r="AK16" s="175"/>
      <c r="AL16" s="175"/>
      <c r="AM16" s="175"/>
      <c r="AN16" s="175"/>
      <c r="AO16" s="175"/>
      <c r="AP16" s="175"/>
      <c r="AQ16" s="175"/>
      <c r="AR16" s="175"/>
      <c r="AS16" s="175"/>
      <c r="AT16" s="175"/>
      <c r="AU16" s="175"/>
      <c r="AV16" s="175"/>
      <c r="AW16" s="175"/>
      <c r="AX16" s="175"/>
      <c r="AY16" s="175"/>
      <c r="AZ16" s="170"/>
      <c r="BA16" s="170"/>
      <c r="BB16" s="170"/>
      <c r="BC16" s="170"/>
      <c r="BD16" s="170"/>
      <c r="BE16" s="170"/>
      <c r="BF16" s="170"/>
      <c r="BG16" s="170"/>
      <c r="BH16" s="170"/>
      <c r="BI16" s="170"/>
      <c r="BJ16" s="170"/>
      <c r="BK16" s="170"/>
      <c r="BL16" s="170"/>
      <c r="BM16" s="170"/>
      <c r="BN16" s="170"/>
      <c r="BO16" s="170"/>
      <c r="BP16" s="170"/>
      <c r="BQ16" s="170"/>
      <c r="BR16" s="170"/>
    </row>
    <row r="17" spans="1:85" ht="14.25" customHeight="1" x14ac:dyDescent="0.25">
      <c r="A17" s="170"/>
      <c r="B17" s="170"/>
      <c r="C17" s="170"/>
      <c r="D17" s="170"/>
      <c r="E17" s="170"/>
      <c r="F17" s="170"/>
      <c r="G17" s="170"/>
      <c r="H17" s="170"/>
      <c r="I17" s="170"/>
      <c r="J17" s="170"/>
      <c r="K17" s="170"/>
      <c r="L17" s="170"/>
      <c r="M17" s="170"/>
      <c r="N17" s="170"/>
      <c r="O17" s="170"/>
      <c r="P17" s="170"/>
      <c r="Q17" s="170"/>
      <c r="R17" s="175"/>
      <c r="S17" s="175"/>
      <c r="T17" s="175"/>
      <c r="U17" s="175"/>
      <c r="V17" s="175"/>
      <c r="W17" s="175"/>
      <c r="X17" s="175"/>
      <c r="Y17" s="175"/>
      <c r="Z17" s="175"/>
      <c r="AA17" s="175"/>
      <c r="AB17" s="175"/>
      <c r="AC17" s="175"/>
      <c r="AD17" s="175"/>
      <c r="AE17" s="175"/>
      <c r="AF17" s="175"/>
      <c r="AG17" s="175"/>
      <c r="AH17" s="175"/>
      <c r="AI17" s="175"/>
      <c r="AJ17" s="175"/>
      <c r="AK17" s="175"/>
      <c r="AL17" s="175"/>
      <c r="AM17" s="175"/>
      <c r="AN17" s="175"/>
      <c r="AO17" s="175"/>
      <c r="AP17" s="175"/>
      <c r="AQ17" s="175"/>
      <c r="AR17" s="175"/>
      <c r="AS17" s="175"/>
      <c r="AT17" s="175"/>
      <c r="AU17" s="175"/>
      <c r="AV17" s="175"/>
      <c r="AW17" s="175"/>
      <c r="AX17" s="175"/>
      <c r="AY17" s="175"/>
      <c r="AZ17" s="170"/>
      <c r="BA17" s="170"/>
      <c r="BB17" s="170"/>
      <c r="BC17" s="170"/>
      <c r="BD17" s="170"/>
      <c r="BE17" s="170"/>
      <c r="BF17" s="170"/>
      <c r="BG17" s="170"/>
      <c r="BH17" s="170"/>
      <c r="BI17" s="170"/>
      <c r="BJ17" s="170"/>
      <c r="BK17" s="170"/>
      <c r="BL17" s="170"/>
      <c r="BM17" s="170"/>
      <c r="BN17" s="170"/>
      <c r="BO17" s="170"/>
      <c r="BP17" s="170"/>
      <c r="BQ17" s="170"/>
      <c r="BR17" s="170"/>
    </row>
    <row r="18" spans="1:85" ht="14.25" customHeight="1" x14ac:dyDescent="0.25">
      <c r="A18" s="170"/>
      <c r="B18" s="170"/>
      <c r="C18" s="170"/>
      <c r="D18" s="170"/>
      <c r="E18" s="170"/>
      <c r="F18" s="170"/>
      <c r="G18" s="170"/>
      <c r="H18" s="170"/>
      <c r="I18" s="170"/>
      <c r="J18" s="170"/>
      <c r="K18" s="170"/>
      <c r="L18" s="170"/>
      <c r="M18" s="170"/>
      <c r="N18" s="170"/>
      <c r="O18" s="170"/>
      <c r="P18" s="170"/>
      <c r="Q18" s="170"/>
      <c r="R18" s="175"/>
      <c r="S18" s="175"/>
      <c r="T18" s="175"/>
      <c r="U18" s="175"/>
      <c r="V18" s="175"/>
      <c r="W18" s="175"/>
      <c r="X18" s="175"/>
      <c r="Y18" s="175"/>
      <c r="Z18" s="175"/>
      <c r="AA18" s="175"/>
      <c r="AB18" s="175"/>
      <c r="AC18" s="175"/>
      <c r="AD18" s="175"/>
      <c r="AE18" s="175"/>
      <c r="AF18" s="175"/>
      <c r="AG18" s="175"/>
      <c r="AH18" s="175"/>
      <c r="AI18" s="175"/>
      <c r="AJ18" s="175"/>
      <c r="AK18" s="175"/>
      <c r="AL18" s="175"/>
      <c r="AM18" s="175"/>
      <c r="AN18" s="175"/>
      <c r="AO18" s="175"/>
      <c r="AP18" s="175"/>
      <c r="AQ18" s="175"/>
      <c r="AR18" s="175"/>
      <c r="AS18" s="175"/>
      <c r="AT18" s="175"/>
      <c r="AU18" s="175"/>
      <c r="AV18" s="175"/>
      <c r="AW18" s="175"/>
      <c r="AX18" s="175"/>
      <c r="AY18" s="175"/>
      <c r="AZ18" s="170"/>
      <c r="BA18" s="170"/>
      <c r="BB18" s="170"/>
      <c r="BC18" s="170"/>
      <c r="BD18" s="170"/>
      <c r="BE18" s="170"/>
      <c r="BF18" s="170"/>
      <c r="BG18" s="170"/>
      <c r="BH18" s="170"/>
      <c r="BI18" s="170"/>
      <c r="BJ18" s="170"/>
      <c r="BK18" s="170"/>
      <c r="BL18" s="170"/>
      <c r="BM18" s="170"/>
      <c r="BN18" s="170"/>
      <c r="BO18" s="170"/>
      <c r="BP18" s="170"/>
      <c r="BQ18" s="170"/>
      <c r="BR18" s="170"/>
    </row>
    <row r="19" spans="1:85" ht="14.25" customHeight="1" x14ac:dyDescent="0.25">
      <c r="A19" s="170" t="s">
        <v>60</v>
      </c>
      <c r="B19" s="170"/>
      <c r="C19" s="170"/>
      <c r="D19" s="170"/>
      <c r="E19" s="170"/>
      <c r="F19" s="170"/>
      <c r="G19" s="170"/>
      <c r="H19" s="170"/>
      <c r="I19" s="170"/>
      <c r="J19" s="170"/>
      <c r="K19" s="170"/>
      <c r="L19" s="170"/>
      <c r="M19" s="170"/>
      <c r="N19" s="170"/>
      <c r="O19" s="170"/>
      <c r="P19" s="170"/>
      <c r="Q19" s="170"/>
      <c r="R19" s="170" t="s">
        <v>253</v>
      </c>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t="s">
        <v>236</v>
      </c>
      <c r="BA19" s="170"/>
      <c r="BB19" s="170"/>
      <c r="BC19" s="170"/>
      <c r="BD19" s="170"/>
      <c r="BE19" s="170"/>
      <c r="BF19" s="170"/>
      <c r="BG19" s="170"/>
      <c r="BH19" s="170"/>
      <c r="BI19" s="170"/>
      <c r="BJ19" s="170"/>
      <c r="BK19" s="170"/>
      <c r="BL19" s="170"/>
      <c r="BM19" s="170"/>
      <c r="BN19" s="170"/>
      <c r="BO19" s="170"/>
      <c r="BP19" s="170"/>
      <c r="BQ19" s="170"/>
      <c r="BR19" s="170"/>
    </row>
    <row r="20" spans="1:85" ht="14.25" customHeight="1" x14ac:dyDescent="0.25">
      <c r="A20" s="170"/>
      <c r="B20" s="170"/>
      <c r="C20" s="170"/>
      <c r="D20" s="170"/>
      <c r="E20" s="170"/>
      <c r="F20" s="170"/>
      <c r="G20" s="170"/>
      <c r="H20" s="170"/>
      <c r="I20" s="170"/>
      <c r="J20" s="170"/>
      <c r="K20" s="170"/>
      <c r="L20" s="170"/>
      <c r="M20" s="170"/>
      <c r="N20" s="170"/>
      <c r="O20" s="170"/>
      <c r="P20" s="170"/>
      <c r="Q20" s="170"/>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0"/>
      <c r="BD20" s="170"/>
      <c r="BE20" s="170"/>
      <c r="BF20" s="170"/>
      <c r="BG20" s="170"/>
      <c r="BH20" s="170"/>
      <c r="BI20" s="170"/>
      <c r="BJ20" s="170"/>
      <c r="BK20" s="170"/>
      <c r="BL20" s="170"/>
      <c r="BM20" s="170"/>
      <c r="BN20" s="170"/>
      <c r="BO20" s="170"/>
      <c r="BP20" s="170"/>
      <c r="BQ20" s="170"/>
      <c r="BR20" s="170"/>
    </row>
    <row r="21" spans="1:85" ht="14.25" customHeight="1" x14ac:dyDescent="0.25">
      <c r="A21" s="170"/>
      <c r="B21" s="170"/>
      <c r="C21" s="170"/>
      <c r="D21" s="170"/>
      <c r="E21" s="170"/>
      <c r="F21" s="170"/>
      <c r="G21" s="170"/>
      <c r="H21" s="170"/>
      <c r="I21" s="170"/>
      <c r="J21" s="170"/>
      <c r="K21" s="170"/>
      <c r="L21" s="170"/>
      <c r="M21" s="170"/>
      <c r="N21" s="170"/>
      <c r="O21" s="170"/>
      <c r="P21" s="170"/>
      <c r="Q21" s="170"/>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0"/>
      <c r="BD21" s="170"/>
      <c r="BE21" s="170"/>
      <c r="BF21" s="170"/>
      <c r="BG21" s="170"/>
      <c r="BH21" s="170"/>
      <c r="BI21" s="170"/>
      <c r="BJ21" s="170"/>
      <c r="BK21" s="170"/>
      <c r="BL21" s="170"/>
      <c r="BM21" s="170"/>
      <c r="BN21" s="170"/>
      <c r="BO21" s="170"/>
      <c r="BP21" s="170"/>
      <c r="BQ21" s="170"/>
      <c r="BR21" s="170"/>
    </row>
    <row r="22" spans="1:85" ht="14.25" customHeight="1" x14ac:dyDescent="0.25">
      <c r="A22" s="170"/>
      <c r="B22" s="170"/>
      <c r="C22" s="170"/>
      <c r="D22" s="170"/>
      <c r="E22" s="170"/>
      <c r="F22" s="170"/>
      <c r="G22" s="170"/>
      <c r="H22" s="170"/>
      <c r="I22" s="170"/>
      <c r="J22" s="170"/>
      <c r="K22" s="170"/>
      <c r="L22" s="170"/>
      <c r="M22" s="170"/>
      <c r="N22" s="170"/>
      <c r="O22" s="170"/>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0"/>
      <c r="BD22" s="170"/>
      <c r="BE22" s="170"/>
      <c r="BF22" s="170"/>
      <c r="BG22" s="170"/>
      <c r="BH22" s="170"/>
      <c r="BI22" s="170"/>
      <c r="BJ22" s="170"/>
      <c r="BK22" s="170"/>
      <c r="BL22" s="170"/>
      <c r="BM22" s="170"/>
      <c r="BN22" s="170"/>
      <c r="BO22" s="170"/>
      <c r="BP22" s="170"/>
      <c r="BQ22" s="170"/>
      <c r="BR22" s="170"/>
    </row>
    <row r="23" spans="1:85" ht="14.25" customHeight="1" x14ac:dyDescent="0.25">
      <c r="A23" s="173" t="s">
        <v>61</v>
      </c>
      <c r="B23" s="173"/>
      <c r="C23" s="173"/>
      <c r="D23" s="173"/>
      <c r="E23" s="173"/>
      <c r="F23" s="173"/>
      <c r="G23" s="173"/>
      <c r="H23" s="173"/>
      <c r="I23" s="173"/>
      <c r="J23" s="173"/>
      <c r="K23" s="173"/>
      <c r="L23" s="173"/>
      <c r="M23" s="173"/>
      <c r="N23" s="173"/>
      <c r="O23" s="173"/>
      <c r="P23" s="173"/>
      <c r="Q23" s="173"/>
      <c r="R23" s="170" t="s">
        <v>124</v>
      </c>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2"/>
      <c r="BA23" s="172"/>
      <c r="BB23" s="172"/>
      <c r="BC23" s="172"/>
      <c r="BD23" s="172"/>
      <c r="BE23" s="172"/>
      <c r="BF23" s="172"/>
      <c r="BG23" s="172"/>
      <c r="BH23" s="172"/>
      <c r="BI23" s="172"/>
      <c r="BJ23" s="172"/>
      <c r="BK23" s="172"/>
      <c r="BL23" s="172"/>
      <c r="BM23" s="172"/>
      <c r="BN23" s="172"/>
      <c r="BO23" s="172"/>
      <c r="BP23" s="172"/>
      <c r="BQ23" s="172"/>
      <c r="BR23" s="172"/>
    </row>
    <row r="24" spans="1:85" ht="14.25" customHeight="1" x14ac:dyDescent="0.25">
      <c r="A24" s="173"/>
      <c r="B24" s="173"/>
      <c r="C24" s="173"/>
      <c r="D24" s="173"/>
      <c r="E24" s="173"/>
      <c r="F24" s="173"/>
      <c r="G24" s="173"/>
      <c r="H24" s="173"/>
      <c r="I24" s="173"/>
      <c r="J24" s="173"/>
      <c r="K24" s="173"/>
      <c r="L24" s="173"/>
      <c r="M24" s="173"/>
      <c r="N24" s="173"/>
      <c r="O24" s="173"/>
      <c r="P24" s="173"/>
      <c r="Q24" s="173"/>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2"/>
      <c r="BA24" s="172"/>
      <c r="BB24" s="172"/>
      <c r="BC24" s="172"/>
      <c r="BD24" s="172"/>
      <c r="BE24" s="172"/>
      <c r="BF24" s="172"/>
      <c r="BG24" s="172"/>
      <c r="BH24" s="172"/>
      <c r="BI24" s="172"/>
      <c r="BJ24" s="172"/>
      <c r="BK24" s="172"/>
      <c r="BL24" s="172"/>
      <c r="BM24" s="172"/>
      <c r="BN24" s="172"/>
      <c r="BO24" s="172"/>
      <c r="BP24" s="172"/>
      <c r="BQ24" s="172"/>
      <c r="BR24" s="172"/>
    </row>
    <row r="25" spans="1:85" ht="14.25" customHeight="1" x14ac:dyDescent="0.25">
      <c r="A25" s="173"/>
      <c r="B25" s="173"/>
      <c r="C25" s="173"/>
      <c r="D25" s="173"/>
      <c r="E25" s="173"/>
      <c r="F25" s="173"/>
      <c r="G25" s="173"/>
      <c r="H25" s="173"/>
      <c r="I25" s="173"/>
      <c r="J25" s="173"/>
      <c r="K25" s="173"/>
      <c r="L25" s="173"/>
      <c r="M25" s="173"/>
      <c r="N25" s="173"/>
      <c r="O25" s="173"/>
      <c r="P25" s="173"/>
      <c r="Q25" s="173"/>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2"/>
      <c r="BA25" s="172"/>
      <c r="BB25" s="172"/>
      <c r="BC25" s="172"/>
      <c r="BD25" s="172"/>
      <c r="BE25" s="172"/>
      <c r="BF25" s="172"/>
      <c r="BG25" s="172"/>
      <c r="BH25" s="172"/>
      <c r="BI25" s="172"/>
      <c r="BJ25" s="172"/>
      <c r="BK25" s="172"/>
      <c r="BL25" s="172"/>
      <c r="BM25" s="172"/>
      <c r="BN25" s="172"/>
      <c r="BO25" s="172"/>
      <c r="BP25" s="172"/>
      <c r="BQ25" s="172"/>
      <c r="BR25" s="172"/>
    </row>
    <row r="26" spans="1:85" ht="14.25" customHeight="1" x14ac:dyDescent="0.25">
      <c r="A26" s="173"/>
      <c r="B26" s="173"/>
      <c r="C26" s="173"/>
      <c r="D26" s="173"/>
      <c r="E26" s="173"/>
      <c r="F26" s="173"/>
      <c r="G26" s="173"/>
      <c r="H26" s="173"/>
      <c r="I26" s="173"/>
      <c r="J26" s="173"/>
      <c r="K26" s="173"/>
      <c r="L26" s="173"/>
      <c r="M26" s="173"/>
      <c r="N26" s="173"/>
      <c r="O26" s="173"/>
      <c r="P26" s="173"/>
      <c r="Q26" s="173"/>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2"/>
      <c r="BA26" s="172"/>
      <c r="BB26" s="172"/>
      <c r="BC26" s="172"/>
      <c r="BD26" s="172"/>
      <c r="BE26" s="172"/>
      <c r="BF26" s="172"/>
      <c r="BG26" s="172"/>
      <c r="BH26" s="172"/>
      <c r="BI26" s="172"/>
      <c r="BJ26" s="172"/>
      <c r="BK26" s="172"/>
      <c r="BL26" s="172"/>
      <c r="BM26" s="172"/>
      <c r="BN26" s="172"/>
      <c r="BO26" s="172"/>
      <c r="BP26" s="172"/>
      <c r="BQ26" s="172"/>
      <c r="BR26" s="172"/>
    </row>
    <row r="27" spans="1:85" ht="14.25" customHeight="1" x14ac:dyDescent="0.25">
      <c r="A27" s="76"/>
      <c r="B27" s="76"/>
      <c r="C27" s="76"/>
      <c r="D27" s="76"/>
      <c r="E27" s="76"/>
      <c r="F27" s="76"/>
      <c r="G27" s="76"/>
      <c r="H27" s="76"/>
      <c r="I27" s="76"/>
      <c r="J27" s="76"/>
      <c r="K27" s="76"/>
      <c r="L27" s="76"/>
      <c r="M27" s="76"/>
      <c r="N27" s="76"/>
      <c r="O27" s="76"/>
      <c r="P27" s="76"/>
      <c r="Q27" s="76"/>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5"/>
      <c r="BA27" s="75"/>
      <c r="BB27" s="75"/>
      <c r="BC27" s="75"/>
      <c r="BD27" s="75"/>
      <c r="BE27" s="75"/>
      <c r="BF27" s="75"/>
      <c r="BG27" s="75"/>
      <c r="BH27" s="75"/>
      <c r="BI27" s="75"/>
      <c r="BJ27" s="75"/>
      <c r="BK27" s="75"/>
      <c r="BL27" s="75"/>
      <c r="BM27" s="75"/>
      <c r="BN27" s="75"/>
      <c r="BO27" s="75"/>
      <c r="BP27" s="75"/>
      <c r="BQ27" s="75"/>
      <c r="BR27" s="75"/>
    </row>
    <row r="28" spans="1:85" ht="14.25" customHeight="1" x14ac:dyDescent="0.25">
      <c r="A28" s="75"/>
      <c r="B28" s="3"/>
      <c r="C28" s="3"/>
      <c r="D28" s="75"/>
      <c r="E28" s="75"/>
      <c r="F28" s="75"/>
      <c r="G28" s="75"/>
      <c r="H28" s="75"/>
      <c r="I28" s="75"/>
      <c r="J28" s="75"/>
      <c r="K28" s="75"/>
      <c r="L28" s="75"/>
      <c r="M28" s="75"/>
      <c r="N28" s="75"/>
      <c r="O28" s="75"/>
      <c r="P28" s="75"/>
      <c r="Q28" s="75"/>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5"/>
      <c r="BA28" s="75"/>
      <c r="BB28" s="75"/>
      <c r="BC28" s="75"/>
      <c r="BD28" s="75"/>
      <c r="BE28" s="75"/>
      <c r="BF28" s="75"/>
      <c r="BG28" s="75"/>
      <c r="BH28" s="75"/>
      <c r="BI28" s="75"/>
      <c r="BJ28" s="75"/>
      <c r="BK28" s="75"/>
      <c r="BL28" s="75"/>
      <c r="BM28" s="75"/>
      <c r="BN28" s="75"/>
      <c r="BO28" s="75"/>
      <c r="BP28" s="75"/>
      <c r="BQ28" s="75"/>
      <c r="BR28" s="75"/>
    </row>
    <row r="29" spans="1:85" ht="14.25" customHeight="1" x14ac:dyDescent="0.25">
      <c r="A29" s="153" t="s">
        <v>65</v>
      </c>
      <c r="B29" s="153"/>
      <c r="C29" s="153"/>
      <c r="D29" s="153"/>
      <c r="E29" s="153"/>
      <c r="F29" s="153"/>
      <c r="G29" s="153"/>
      <c r="H29" s="153"/>
      <c r="I29" s="153"/>
      <c r="J29" s="153"/>
      <c r="K29" s="153"/>
      <c r="L29" s="153"/>
      <c r="M29" s="153"/>
      <c r="N29" s="153"/>
      <c r="O29" s="153"/>
      <c r="P29" s="153"/>
      <c r="Q29" s="153"/>
      <c r="R29" s="153"/>
      <c r="S29" s="153"/>
      <c r="T29" s="153"/>
      <c r="U29" s="153"/>
      <c r="V29" s="153"/>
      <c r="W29" s="153"/>
      <c r="X29" s="153"/>
      <c r="Y29" s="153"/>
      <c r="Z29" s="153"/>
      <c r="AA29" s="153"/>
      <c r="AB29" s="153"/>
      <c r="AC29" s="153"/>
      <c r="AD29" s="153"/>
      <c r="AE29" s="153"/>
      <c r="AF29" s="153"/>
      <c r="AG29" s="153"/>
      <c r="AH29" s="153"/>
      <c r="AI29" s="153"/>
      <c r="AJ29" s="153"/>
      <c r="AK29" s="153"/>
      <c r="AL29" s="153"/>
      <c r="AM29" s="153"/>
      <c r="AN29" s="153"/>
      <c r="AO29" s="153"/>
      <c r="AP29" s="153"/>
      <c r="AQ29" s="153"/>
      <c r="AR29" s="153"/>
      <c r="AS29" s="153"/>
      <c r="AT29" s="153"/>
      <c r="AU29" s="153"/>
      <c r="AV29" s="153"/>
      <c r="AW29" s="153"/>
      <c r="AX29" s="153"/>
      <c r="AY29" s="153"/>
      <c r="AZ29" s="153"/>
      <c r="BA29" s="153"/>
      <c r="BB29" s="153"/>
      <c r="BC29" s="153"/>
      <c r="BD29" s="153"/>
      <c r="BE29" s="153"/>
      <c r="BF29" s="153"/>
      <c r="BG29" s="153"/>
      <c r="BH29" s="153"/>
      <c r="BI29" s="153"/>
      <c r="BJ29" s="153"/>
      <c r="BK29" s="153"/>
      <c r="BL29" s="153"/>
      <c r="BM29" s="153"/>
      <c r="BN29" s="153"/>
      <c r="BO29" s="153"/>
      <c r="BP29" s="153"/>
      <c r="BQ29" s="153"/>
      <c r="BR29" s="153"/>
    </row>
    <row r="30" spans="1:85" ht="14.25" customHeight="1" x14ac:dyDescent="0.25">
      <c r="A30" s="154"/>
      <c r="B30" s="154"/>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c r="AA30" s="154"/>
      <c r="AB30" s="154"/>
      <c r="AC30" s="154"/>
      <c r="AD30" s="154"/>
      <c r="AE30" s="154"/>
      <c r="AF30" s="154"/>
      <c r="AG30" s="154"/>
      <c r="AH30" s="154"/>
      <c r="AI30" s="154"/>
      <c r="AJ30" s="154"/>
      <c r="AK30" s="154"/>
      <c r="AL30" s="154"/>
      <c r="AM30" s="154"/>
      <c r="AN30" s="154"/>
      <c r="AO30" s="154"/>
      <c r="AP30" s="154"/>
      <c r="AQ30" s="154"/>
      <c r="AR30" s="154"/>
      <c r="AS30" s="154"/>
      <c r="AT30" s="154"/>
      <c r="AU30" s="154"/>
      <c r="AV30" s="154"/>
      <c r="AW30" s="154"/>
      <c r="AX30" s="154"/>
      <c r="AY30" s="154"/>
      <c r="AZ30" s="154"/>
      <c r="BA30" s="154"/>
      <c r="BB30" s="154"/>
      <c r="BC30" s="154"/>
      <c r="BD30" s="154"/>
      <c r="BE30" s="154"/>
      <c r="BF30" s="154"/>
      <c r="BG30" s="154"/>
      <c r="BH30" s="154"/>
      <c r="BI30" s="154"/>
      <c r="BJ30" s="154"/>
      <c r="BK30" s="154"/>
      <c r="BL30" s="154"/>
      <c r="BM30" s="154"/>
      <c r="BN30" s="154"/>
      <c r="BO30" s="154"/>
      <c r="BP30" s="154"/>
      <c r="BQ30" s="154"/>
      <c r="BR30" s="154"/>
    </row>
    <row r="31" spans="1:85" ht="14.25" customHeight="1" x14ac:dyDescent="0.25">
      <c r="A31" s="134" t="s">
        <v>86</v>
      </c>
      <c r="B31" s="134"/>
      <c r="C31" s="106" t="s">
        <v>85</v>
      </c>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6"/>
      <c r="BA31" s="106"/>
      <c r="BB31" s="106"/>
      <c r="BC31" s="236" t="s">
        <v>87</v>
      </c>
      <c r="BD31" s="210"/>
      <c r="BE31" s="233" t="s">
        <v>95</v>
      </c>
      <c r="BF31" s="234"/>
      <c r="BG31" s="234"/>
      <c r="BH31" s="234"/>
      <c r="BI31" s="234"/>
      <c r="BJ31" s="234"/>
      <c r="BK31" s="234"/>
      <c r="BL31" s="235"/>
      <c r="BM31" s="236" t="s">
        <v>92</v>
      </c>
      <c r="BN31" s="210"/>
      <c r="BO31" s="133" t="s">
        <v>93</v>
      </c>
      <c r="BP31" s="133"/>
      <c r="BQ31" s="209" t="s">
        <v>94</v>
      </c>
      <c r="BR31" s="210"/>
      <c r="BT31" s="233"/>
      <c r="BU31" s="234"/>
      <c r="BV31" s="234"/>
      <c r="BW31" s="234"/>
      <c r="BX31" s="234"/>
      <c r="BY31" s="234"/>
      <c r="BZ31" s="234"/>
      <c r="CA31" s="235"/>
      <c r="CB31" s="236"/>
      <c r="CC31" s="210"/>
      <c r="CD31" s="133"/>
      <c r="CE31" s="133"/>
      <c r="CF31" s="209"/>
      <c r="CG31" s="210"/>
    </row>
    <row r="32" spans="1:85" ht="177.75" customHeight="1" x14ac:dyDescent="0.25">
      <c r="A32" s="134"/>
      <c r="B32" s="134"/>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c r="AZ32" s="106"/>
      <c r="BA32" s="106"/>
      <c r="BB32" s="106"/>
      <c r="BC32" s="237"/>
      <c r="BD32" s="212"/>
      <c r="BE32" s="135" t="s">
        <v>88</v>
      </c>
      <c r="BF32" s="135"/>
      <c r="BG32" s="215" t="s">
        <v>89</v>
      </c>
      <c r="BH32" s="217"/>
      <c r="BI32" s="215" t="s">
        <v>90</v>
      </c>
      <c r="BJ32" s="217"/>
      <c r="BK32" s="134" t="s">
        <v>91</v>
      </c>
      <c r="BL32" s="134"/>
      <c r="BM32" s="237"/>
      <c r="BN32" s="212"/>
      <c r="BO32" s="133"/>
      <c r="BP32" s="133"/>
      <c r="BQ32" s="211"/>
      <c r="BR32" s="212"/>
      <c r="BT32" s="215"/>
      <c r="BU32" s="216"/>
      <c r="BV32" s="217"/>
      <c r="BW32" s="215"/>
      <c r="BX32" s="217"/>
      <c r="BY32" s="224"/>
      <c r="BZ32" s="225"/>
      <c r="CA32" s="226"/>
      <c r="CB32" s="237"/>
      <c r="CC32" s="212"/>
      <c r="CD32" s="133"/>
      <c r="CE32" s="133"/>
      <c r="CF32" s="211"/>
      <c r="CG32" s="212"/>
    </row>
    <row r="33" spans="1:85" ht="14.25" customHeight="1" x14ac:dyDescent="0.25">
      <c r="A33" s="134"/>
      <c r="B33" s="134"/>
      <c r="C33" s="167" t="s">
        <v>73</v>
      </c>
      <c r="D33" s="168"/>
      <c r="E33" s="168"/>
      <c r="F33" s="152"/>
      <c r="G33" s="106" t="s">
        <v>74</v>
      </c>
      <c r="H33" s="106"/>
      <c r="I33" s="106"/>
      <c r="J33" s="106"/>
      <c r="K33" s="106" t="s">
        <v>75</v>
      </c>
      <c r="L33" s="106"/>
      <c r="M33" s="106"/>
      <c r="N33" s="106"/>
      <c r="O33" s="106"/>
      <c r="P33" s="167" t="s">
        <v>76</v>
      </c>
      <c r="Q33" s="168"/>
      <c r="R33" s="168"/>
      <c r="S33" s="152"/>
      <c r="T33" s="167" t="s">
        <v>77</v>
      </c>
      <c r="U33" s="168"/>
      <c r="V33" s="168"/>
      <c r="W33" s="168"/>
      <c r="X33" s="152"/>
      <c r="Y33" s="167" t="s">
        <v>78</v>
      </c>
      <c r="Z33" s="168"/>
      <c r="AA33" s="168"/>
      <c r="AB33" s="152"/>
      <c r="AC33" s="167" t="s">
        <v>79</v>
      </c>
      <c r="AD33" s="168"/>
      <c r="AE33" s="168"/>
      <c r="AF33" s="152"/>
      <c r="AG33" s="167" t="s">
        <v>80</v>
      </c>
      <c r="AH33" s="168"/>
      <c r="AI33" s="168"/>
      <c r="AJ33" s="152"/>
      <c r="AK33" s="167" t="s">
        <v>81</v>
      </c>
      <c r="AL33" s="168"/>
      <c r="AM33" s="168"/>
      <c r="AN33" s="168"/>
      <c r="AO33" s="152"/>
      <c r="AP33" s="167" t="s">
        <v>82</v>
      </c>
      <c r="AQ33" s="168"/>
      <c r="AR33" s="168"/>
      <c r="AS33" s="152"/>
      <c r="AT33" s="167" t="s">
        <v>83</v>
      </c>
      <c r="AU33" s="168"/>
      <c r="AV33" s="168"/>
      <c r="AW33" s="168"/>
      <c r="AX33" s="152"/>
      <c r="AY33" s="167" t="s">
        <v>84</v>
      </c>
      <c r="AZ33" s="168"/>
      <c r="BA33" s="168"/>
      <c r="BB33" s="152"/>
      <c r="BC33" s="237"/>
      <c r="BD33" s="212"/>
      <c r="BE33" s="135"/>
      <c r="BF33" s="135"/>
      <c r="BG33" s="218"/>
      <c r="BH33" s="220"/>
      <c r="BI33" s="218"/>
      <c r="BJ33" s="220"/>
      <c r="BK33" s="134"/>
      <c r="BL33" s="134"/>
      <c r="BM33" s="237"/>
      <c r="BN33" s="212"/>
      <c r="BO33" s="133"/>
      <c r="BP33" s="133"/>
      <c r="BQ33" s="211"/>
      <c r="BR33" s="212"/>
      <c r="BT33" s="218"/>
      <c r="BU33" s="219"/>
      <c r="BV33" s="220"/>
      <c r="BW33" s="218"/>
      <c r="BX33" s="220"/>
      <c r="BY33" s="227"/>
      <c r="BZ33" s="228"/>
      <c r="CA33" s="229"/>
      <c r="CB33" s="237"/>
      <c r="CC33" s="212"/>
      <c r="CD33" s="133"/>
      <c r="CE33" s="133"/>
      <c r="CF33" s="211"/>
      <c r="CG33" s="212"/>
    </row>
    <row r="34" spans="1:85" ht="14.25" customHeight="1" x14ac:dyDescent="0.25">
      <c r="A34" s="134"/>
      <c r="B34" s="134"/>
      <c r="C34" s="72">
        <v>1</v>
      </c>
      <c r="D34" s="72">
        <v>2</v>
      </c>
      <c r="E34" s="72">
        <v>3</v>
      </c>
      <c r="F34" s="72">
        <v>4</v>
      </c>
      <c r="G34" s="72">
        <v>5</v>
      </c>
      <c r="H34" s="72">
        <v>6</v>
      </c>
      <c r="I34" s="72">
        <v>7</v>
      </c>
      <c r="J34" s="72">
        <v>8</v>
      </c>
      <c r="K34" s="72">
        <v>9</v>
      </c>
      <c r="L34" s="72">
        <v>10</v>
      </c>
      <c r="M34" s="72">
        <v>11</v>
      </c>
      <c r="N34" s="72">
        <v>12</v>
      </c>
      <c r="O34" s="72">
        <v>13</v>
      </c>
      <c r="P34" s="72">
        <v>14</v>
      </c>
      <c r="Q34" s="72">
        <v>15</v>
      </c>
      <c r="R34" s="72">
        <v>16</v>
      </c>
      <c r="S34" s="72">
        <v>17</v>
      </c>
      <c r="T34" s="72">
        <v>18</v>
      </c>
      <c r="U34" s="72">
        <v>19</v>
      </c>
      <c r="V34" s="72">
        <v>20</v>
      </c>
      <c r="W34" s="72">
        <v>21</v>
      </c>
      <c r="X34" s="72">
        <v>22</v>
      </c>
      <c r="Y34" s="72">
        <v>23</v>
      </c>
      <c r="Z34" s="72">
        <v>24</v>
      </c>
      <c r="AA34" s="72">
        <v>25</v>
      </c>
      <c r="AB34" s="72">
        <v>26</v>
      </c>
      <c r="AC34" s="72">
        <v>27</v>
      </c>
      <c r="AD34" s="72">
        <v>28</v>
      </c>
      <c r="AE34" s="72">
        <v>29</v>
      </c>
      <c r="AF34" s="72">
        <v>30</v>
      </c>
      <c r="AG34" s="72">
        <v>31</v>
      </c>
      <c r="AH34" s="72">
        <v>32</v>
      </c>
      <c r="AI34" s="72">
        <v>33</v>
      </c>
      <c r="AJ34" s="72">
        <v>34</v>
      </c>
      <c r="AK34" s="72">
        <v>35</v>
      </c>
      <c r="AL34" s="72">
        <v>36</v>
      </c>
      <c r="AM34" s="72">
        <v>37</v>
      </c>
      <c r="AN34" s="72">
        <v>38</v>
      </c>
      <c r="AO34" s="72">
        <v>39</v>
      </c>
      <c r="AP34" s="72">
        <v>40</v>
      </c>
      <c r="AQ34" s="72">
        <v>41</v>
      </c>
      <c r="AR34" s="72">
        <v>42</v>
      </c>
      <c r="AS34" s="72">
        <v>43</v>
      </c>
      <c r="AT34" s="72">
        <v>44</v>
      </c>
      <c r="AU34" s="72">
        <v>45</v>
      </c>
      <c r="AV34" s="72">
        <v>46</v>
      </c>
      <c r="AW34" s="72">
        <v>47</v>
      </c>
      <c r="AX34" s="72">
        <v>48</v>
      </c>
      <c r="AY34" s="72">
        <v>49</v>
      </c>
      <c r="AZ34" s="72">
        <v>50</v>
      </c>
      <c r="BA34" s="72">
        <v>51</v>
      </c>
      <c r="BB34" s="72">
        <v>52</v>
      </c>
      <c r="BC34" s="238"/>
      <c r="BD34" s="214"/>
      <c r="BE34" s="135"/>
      <c r="BF34" s="135"/>
      <c r="BG34" s="221"/>
      <c r="BH34" s="223"/>
      <c r="BI34" s="221"/>
      <c r="BJ34" s="223"/>
      <c r="BK34" s="134"/>
      <c r="BL34" s="134"/>
      <c r="BM34" s="238"/>
      <c r="BN34" s="214"/>
      <c r="BO34" s="133"/>
      <c r="BP34" s="133"/>
      <c r="BQ34" s="213"/>
      <c r="BR34" s="214"/>
      <c r="BT34" s="221"/>
      <c r="BU34" s="222"/>
      <c r="BV34" s="223"/>
      <c r="BW34" s="221"/>
      <c r="BX34" s="223"/>
      <c r="BY34" s="230"/>
      <c r="BZ34" s="231"/>
      <c r="CA34" s="232"/>
      <c r="CB34" s="238"/>
      <c r="CC34" s="214"/>
      <c r="CD34" s="133"/>
      <c r="CE34" s="133"/>
      <c r="CF34" s="213"/>
      <c r="CG34" s="214"/>
    </row>
    <row r="35" spans="1:85" ht="14.25" customHeight="1" x14ac:dyDescent="0.25">
      <c r="A35" s="106" t="s">
        <v>0</v>
      </c>
      <c r="B35" s="106"/>
      <c r="C35" s="72" t="s">
        <v>106</v>
      </c>
      <c r="D35" s="72"/>
      <c r="E35" s="72"/>
      <c r="F35" s="72"/>
      <c r="G35" s="72"/>
      <c r="H35" s="72"/>
      <c r="I35" s="72"/>
      <c r="J35" s="72"/>
      <c r="K35" s="72"/>
      <c r="L35" s="72"/>
      <c r="M35" s="72"/>
      <c r="N35" s="72"/>
      <c r="O35" s="72"/>
      <c r="P35" s="72"/>
      <c r="Q35" s="72"/>
      <c r="R35" s="72"/>
      <c r="S35" s="72" t="s">
        <v>2</v>
      </c>
      <c r="T35" s="72" t="s">
        <v>2</v>
      </c>
      <c r="U35" s="72" t="s">
        <v>1</v>
      </c>
      <c r="V35" s="72" t="s">
        <v>1</v>
      </c>
      <c r="W35" s="72" t="s">
        <v>106</v>
      </c>
      <c r="X35" s="72" t="s">
        <v>0</v>
      </c>
      <c r="Y35" s="72" t="s">
        <v>0</v>
      </c>
      <c r="Z35" s="72" t="s">
        <v>0</v>
      </c>
      <c r="AA35" s="72" t="s">
        <v>0</v>
      </c>
      <c r="AB35" s="72" t="s">
        <v>0</v>
      </c>
      <c r="AC35" s="72"/>
      <c r="AD35" s="72"/>
      <c r="AE35" s="72"/>
      <c r="AF35" s="72"/>
      <c r="AG35" s="72"/>
      <c r="AH35" s="72"/>
      <c r="AI35" s="72"/>
      <c r="AJ35" s="72"/>
      <c r="AK35" s="72"/>
      <c r="AL35" s="72"/>
      <c r="AM35" s="72"/>
      <c r="AN35" s="72"/>
      <c r="AO35" s="72"/>
      <c r="AP35" s="72"/>
      <c r="AQ35" s="72"/>
      <c r="AR35" s="72" t="s">
        <v>1</v>
      </c>
      <c r="AS35" s="72" t="s">
        <v>1</v>
      </c>
      <c r="AT35" s="72" t="s">
        <v>2</v>
      </c>
      <c r="AU35" s="72" t="s">
        <v>2</v>
      </c>
      <c r="AV35" s="72" t="s">
        <v>2</v>
      </c>
      <c r="AW35" s="72" t="s">
        <v>2</v>
      </c>
      <c r="AX35" s="72" t="s">
        <v>2</v>
      </c>
      <c r="AY35" s="72" t="s">
        <v>2</v>
      </c>
      <c r="AZ35" s="72" t="s">
        <v>2</v>
      </c>
      <c r="BA35" s="72" t="s">
        <v>2</v>
      </c>
      <c r="BB35" s="72" t="s">
        <v>2</v>
      </c>
      <c r="BC35" s="167">
        <f>SUM(BE35:BN35)</f>
        <v>41</v>
      </c>
      <c r="BD35" s="152"/>
      <c r="BE35" s="106">
        <v>30</v>
      </c>
      <c r="BF35" s="106"/>
      <c r="BG35" s="167">
        <v>5</v>
      </c>
      <c r="BH35" s="152"/>
      <c r="BI35" s="167"/>
      <c r="BJ35" s="152"/>
      <c r="BK35" s="168">
        <v>4</v>
      </c>
      <c r="BL35" s="152"/>
      <c r="BM35" s="167">
        <v>2</v>
      </c>
      <c r="BN35" s="152"/>
      <c r="BO35" s="167">
        <v>11</v>
      </c>
      <c r="BP35" s="152"/>
      <c r="BQ35" s="106">
        <f>BO35+BC35</f>
        <v>52</v>
      </c>
      <c r="BR35" s="106"/>
    </row>
    <row r="36" spans="1:85" ht="14.25" customHeight="1" x14ac:dyDescent="0.25">
      <c r="A36" s="106" t="s">
        <v>3</v>
      </c>
      <c r="B36" s="106"/>
      <c r="C36" s="72" t="s">
        <v>106</v>
      </c>
      <c r="D36" s="72"/>
      <c r="E36" s="72"/>
      <c r="F36" s="72"/>
      <c r="G36" s="72"/>
      <c r="H36" s="72"/>
      <c r="I36" s="72"/>
      <c r="J36" s="72"/>
      <c r="K36" s="72"/>
      <c r="L36" s="72"/>
      <c r="M36" s="72"/>
      <c r="N36" s="72"/>
      <c r="O36" s="72"/>
      <c r="P36" s="72"/>
      <c r="Q36" s="72"/>
      <c r="R36" s="72"/>
      <c r="S36" s="72" t="s">
        <v>2</v>
      </c>
      <c r="T36" s="72" t="s">
        <v>2</v>
      </c>
      <c r="U36" s="72" t="s">
        <v>1</v>
      </c>
      <c r="V36" s="72" t="s">
        <v>1</v>
      </c>
      <c r="W36" s="72" t="s">
        <v>106</v>
      </c>
      <c r="X36" s="72" t="s">
        <v>22</v>
      </c>
      <c r="Y36" s="72" t="s">
        <v>22</v>
      </c>
      <c r="Z36" s="72" t="s">
        <v>22</v>
      </c>
      <c r="AA36" s="72" t="s">
        <v>22</v>
      </c>
      <c r="AB36" s="72" t="s">
        <v>22</v>
      </c>
      <c r="AC36" s="72"/>
      <c r="AD36" s="72"/>
      <c r="AE36" s="72"/>
      <c r="AF36" s="72"/>
      <c r="AG36" s="72"/>
      <c r="AH36" s="72"/>
      <c r="AI36" s="72"/>
      <c r="AJ36" s="72"/>
      <c r="AK36" s="72"/>
      <c r="AL36" s="72"/>
      <c r="AM36" s="72"/>
      <c r="AN36" s="72"/>
      <c r="AO36" s="72"/>
      <c r="AP36" s="72"/>
      <c r="AQ36" s="72"/>
      <c r="AR36" s="72" t="s">
        <v>1</v>
      </c>
      <c r="AS36" s="72" t="s">
        <v>102</v>
      </c>
      <c r="AT36" s="72" t="s">
        <v>2</v>
      </c>
      <c r="AU36" s="72" t="s">
        <v>2</v>
      </c>
      <c r="AV36" s="72" t="s">
        <v>2</v>
      </c>
      <c r="AW36" s="72" t="s">
        <v>2</v>
      </c>
      <c r="AX36" s="72" t="s">
        <v>2</v>
      </c>
      <c r="AY36" s="72"/>
      <c r="AZ36" s="72"/>
      <c r="BA36" s="72"/>
      <c r="BB36" s="72"/>
      <c r="BC36" s="167">
        <f>SUM(BE36:BN36)</f>
        <v>41</v>
      </c>
      <c r="BD36" s="152"/>
      <c r="BE36" s="106">
        <v>30</v>
      </c>
      <c r="BF36" s="106"/>
      <c r="BG36" s="167"/>
      <c r="BH36" s="152"/>
      <c r="BI36" s="167">
        <v>5</v>
      </c>
      <c r="BJ36" s="152"/>
      <c r="BK36" s="168">
        <v>4</v>
      </c>
      <c r="BL36" s="152"/>
      <c r="BM36" s="167">
        <v>2</v>
      </c>
      <c r="BN36" s="152"/>
      <c r="BO36" s="167">
        <v>7</v>
      </c>
      <c r="BP36" s="152"/>
      <c r="BQ36" s="106">
        <f>BO36+BC36</f>
        <v>48</v>
      </c>
      <c r="BR36" s="106"/>
    </row>
    <row r="37" spans="1:85" ht="14.25" customHeight="1" x14ac:dyDescent="0.25">
      <c r="A37" s="169" t="s">
        <v>4</v>
      </c>
      <c r="B37" s="169"/>
      <c r="C37" s="169"/>
      <c r="D37" s="169"/>
      <c r="E37" s="169"/>
      <c r="F37" s="169"/>
      <c r="G37" s="169"/>
      <c r="H37" s="169"/>
      <c r="I37" s="169"/>
      <c r="J37" s="169"/>
      <c r="K37" s="169"/>
      <c r="L37" s="169"/>
      <c r="M37" s="169"/>
      <c r="N37" s="169"/>
      <c r="O37" s="169"/>
      <c r="P37" s="169"/>
      <c r="Q37" s="169"/>
      <c r="R37" s="169"/>
      <c r="S37" s="169"/>
      <c r="T37" s="169"/>
      <c r="U37" s="169"/>
      <c r="V37" s="169"/>
      <c r="W37" s="169"/>
      <c r="X37" s="169"/>
      <c r="Y37" s="169"/>
      <c r="Z37" s="169"/>
      <c r="AA37" s="169"/>
      <c r="AB37" s="169"/>
      <c r="AC37" s="169"/>
      <c r="AD37" s="169"/>
      <c r="AE37" s="169"/>
      <c r="AF37" s="169"/>
      <c r="AG37" s="169"/>
      <c r="AH37" s="169"/>
      <c r="AI37" s="169"/>
      <c r="AJ37" s="169"/>
      <c r="AK37" s="169"/>
      <c r="AL37" s="169"/>
      <c r="AM37" s="169"/>
      <c r="AN37" s="169"/>
      <c r="AO37" s="169"/>
      <c r="AP37" s="169"/>
      <c r="AQ37" s="169"/>
      <c r="AR37" s="169"/>
      <c r="AS37" s="169"/>
      <c r="AT37" s="169"/>
      <c r="AU37" s="169"/>
      <c r="AV37" s="169"/>
      <c r="AW37" s="169"/>
      <c r="AX37" s="169"/>
      <c r="AY37" s="169"/>
      <c r="AZ37" s="169"/>
      <c r="BA37" s="169"/>
      <c r="BB37" s="169"/>
      <c r="BC37" s="167">
        <f>SUM(BC35:BD36)</f>
        <v>82</v>
      </c>
      <c r="BD37" s="152"/>
      <c r="BE37" s="106">
        <f>SUM(BE35:BF36)</f>
        <v>60</v>
      </c>
      <c r="BF37" s="106"/>
      <c r="BG37" s="106">
        <f t="shared" ref="BG37" si="0">SUM(BG35:BH36)</f>
        <v>5</v>
      </c>
      <c r="BH37" s="106"/>
      <c r="BI37" s="106">
        <f t="shared" ref="BI37" si="1">SUM(BI35:BJ36)</f>
        <v>5</v>
      </c>
      <c r="BJ37" s="106"/>
      <c r="BK37" s="106">
        <f t="shared" ref="BK37" si="2">SUM(BK35:BL36)</f>
        <v>8</v>
      </c>
      <c r="BL37" s="106"/>
      <c r="BM37" s="106">
        <f t="shared" ref="BM37" si="3">SUM(BM35:BN36)</f>
        <v>4</v>
      </c>
      <c r="BN37" s="106"/>
      <c r="BO37" s="106">
        <f t="shared" ref="BO37" si="4">SUM(BO35:BP36)</f>
        <v>18</v>
      </c>
      <c r="BP37" s="106"/>
      <c r="BQ37" s="106">
        <f>SUM(BQ35:BR36)</f>
        <v>100</v>
      </c>
      <c r="BR37" s="106"/>
    </row>
    <row r="38" spans="1:85" ht="14.25" customHeight="1" x14ac:dyDescent="0.25">
      <c r="A38" s="4"/>
      <c r="B38" s="5"/>
      <c r="C38" s="5"/>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7"/>
      <c r="AF38" s="6"/>
      <c r="AG38" s="6"/>
      <c r="AH38" s="6"/>
      <c r="AI38" s="6"/>
      <c r="AJ38" s="6"/>
      <c r="AK38" s="6"/>
      <c r="AL38" s="6"/>
      <c r="AM38" s="6"/>
      <c r="AN38" s="6"/>
      <c r="AO38" s="6"/>
      <c r="AP38" s="6"/>
      <c r="AQ38" s="8"/>
      <c r="AR38" s="6"/>
      <c r="AS38" s="6"/>
      <c r="AT38" s="6"/>
      <c r="AU38" s="6"/>
      <c r="AV38" s="8"/>
      <c r="AW38" s="6"/>
      <c r="AX38" s="6"/>
      <c r="AY38" s="6"/>
      <c r="AZ38" s="6"/>
      <c r="BA38" s="6"/>
      <c r="BB38" s="6"/>
      <c r="BC38" s="77"/>
      <c r="BD38" s="77"/>
      <c r="BE38" s="77"/>
      <c r="BF38" s="77"/>
      <c r="BG38" s="77"/>
      <c r="BH38" s="77"/>
      <c r="BI38" s="77"/>
      <c r="BJ38" s="77"/>
      <c r="BK38" s="77"/>
      <c r="BL38" s="77"/>
      <c r="BM38" s="77"/>
      <c r="BN38" s="77"/>
      <c r="BO38" s="9"/>
      <c r="BP38" s="9"/>
      <c r="BQ38" s="9"/>
      <c r="BR38" s="8"/>
    </row>
    <row r="39" spans="1:85" ht="14.25" customHeight="1" x14ac:dyDescent="0.25">
      <c r="A39" s="4"/>
      <c r="B39" s="160"/>
      <c r="C39" s="160"/>
      <c r="D39" s="161" t="s">
        <v>96</v>
      </c>
      <c r="E39" s="143"/>
      <c r="F39" s="143"/>
      <c r="G39" s="143"/>
      <c r="H39" s="143"/>
      <c r="I39" s="143"/>
      <c r="J39" s="143"/>
      <c r="K39" s="162" t="s">
        <v>102</v>
      </c>
      <c r="L39" s="162"/>
      <c r="M39" s="162"/>
      <c r="N39" s="162"/>
      <c r="O39" s="163" t="s">
        <v>97</v>
      </c>
      <c r="P39" s="163"/>
      <c r="Q39" s="163"/>
      <c r="R39" s="164"/>
      <c r="S39" s="162" t="s">
        <v>0</v>
      </c>
      <c r="T39" s="162"/>
      <c r="U39" s="162"/>
      <c r="V39" s="165" t="s">
        <v>98</v>
      </c>
      <c r="W39" s="165"/>
      <c r="X39" s="165"/>
      <c r="Y39" s="165"/>
      <c r="Z39" s="165"/>
      <c r="AA39" s="166"/>
      <c r="AB39" s="162" t="s">
        <v>103</v>
      </c>
      <c r="AC39" s="162"/>
      <c r="AD39" s="162"/>
      <c r="AE39" s="7"/>
      <c r="AF39" s="163" t="s">
        <v>99</v>
      </c>
      <c r="AG39" s="163"/>
      <c r="AH39" s="163"/>
      <c r="AI39" s="163"/>
      <c r="AJ39" s="163"/>
      <c r="AK39" s="163"/>
      <c r="AL39" s="163"/>
      <c r="AM39" s="164"/>
      <c r="AN39" s="162" t="s">
        <v>104</v>
      </c>
      <c r="AO39" s="162"/>
      <c r="AP39" s="162"/>
      <c r="AQ39" s="8"/>
      <c r="AR39" s="177" t="s">
        <v>100</v>
      </c>
      <c r="AS39" s="177"/>
      <c r="AT39" s="177"/>
      <c r="AU39" s="177"/>
      <c r="AV39" s="8"/>
      <c r="AW39" s="162" t="s">
        <v>105</v>
      </c>
      <c r="AX39" s="162"/>
      <c r="AY39" s="162"/>
      <c r="AZ39" s="177" t="s">
        <v>101</v>
      </c>
      <c r="BA39" s="177"/>
      <c r="BB39" s="177"/>
      <c r="BC39" s="177"/>
      <c r="BD39" s="138" t="s">
        <v>106</v>
      </c>
      <c r="BE39" s="138"/>
      <c r="BF39" s="138"/>
      <c r="BG39" s="138"/>
      <c r="BH39" s="139" t="s">
        <v>92</v>
      </c>
      <c r="BI39" s="139"/>
      <c r="BJ39" s="139"/>
      <c r="BK39" s="139"/>
      <c r="BL39" s="139"/>
      <c r="BM39" s="139"/>
      <c r="BN39" s="139"/>
      <c r="BO39" s="9"/>
      <c r="BP39" s="9"/>
      <c r="BQ39" s="9"/>
      <c r="BR39" s="8"/>
    </row>
    <row r="40" spans="1:85" ht="14.25" customHeight="1" x14ac:dyDescent="0.25">
      <c r="A40" s="4"/>
      <c r="B40" s="160"/>
      <c r="C40" s="160"/>
      <c r="D40" s="161"/>
      <c r="E40" s="143"/>
      <c r="F40" s="143"/>
      <c r="G40" s="143"/>
      <c r="H40" s="143"/>
      <c r="I40" s="143"/>
      <c r="J40" s="143"/>
      <c r="K40" s="162"/>
      <c r="L40" s="162"/>
      <c r="M40" s="162"/>
      <c r="N40" s="162"/>
      <c r="O40" s="163"/>
      <c r="P40" s="163"/>
      <c r="Q40" s="163"/>
      <c r="R40" s="164"/>
      <c r="S40" s="162"/>
      <c r="T40" s="162"/>
      <c r="U40" s="162"/>
      <c r="V40" s="165"/>
      <c r="W40" s="165"/>
      <c r="X40" s="165"/>
      <c r="Y40" s="165"/>
      <c r="Z40" s="165"/>
      <c r="AA40" s="166"/>
      <c r="AB40" s="162"/>
      <c r="AC40" s="162"/>
      <c r="AD40" s="162"/>
      <c r="AE40" s="7"/>
      <c r="AF40" s="163"/>
      <c r="AG40" s="163"/>
      <c r="AH40" s="163"/>
      <c r="AI40" s="163"/>
      <c r="AJ40" s="163"/>
      <c r="AK40" s="163"/>
      <c r="AL40" s="163"/>
      <c r="AM40" s="164"/>
      <c r="AN40" s="162"/>
      <c r="AO40" s="162"/>
      <c r="AP40" s="162"/>
      <c r="AQ40" s="8"/>
      <c r="AR40" s="177"/>
      <c r="AS40" s="177"/>
      <c r="AT40" s="177"/>
      <c r="AU40" s="177"/>
      <c r="AV40" s="8"/>
      <c r="AW40" s="162"/>
      <c r="AX40" s="162"/>
      <c r="AY40" s="162"/>
      <c r="AZ40" s="177"/>
      <c r="BA40" s="177"/>
      <c r="BB40" s="177"/>
      <c r="BC40" s="177"/>
      <c r="BD40" s="138"/>
      <c r="BE40" s="138"/>
      <c r="BF40" s="138"/>
      <c r="BG40" s="138"/>
      <c r="BH40" s="139"/>
      <c r="BI40" s="139"/>
      <c r="BJ40" s="139"/>
      <c r="BK40" s="139"/>
      <c r="BL40" s="139"/>
      <c r="BM40" s="139"/>
      <c r="BN40" s="139"/>
      <c r="BO40" s="9"/>
      <c r="BP40" s="9"/>
      <c r="BQ40" s="9"/>
      <c r="BR40" s="8"/>
    </row>
    <row r="41" spans="1:85" ht="14.25" customHeight="1" x14ac:dyDescent="0.25">
      <c r="A41" s="4"/>
      <c r="B41" s="160"/>
      <c r="C41" s="160"/>
      <c r="D41" s="161"/>
      <c r="E41" s="143"/>
      <c r="F41" s="143"/>
      <c r="G41" s="143"/>
      <c r="H41" s="143"/>
      <c r="I41" s="143"/>
      <c r="J41" s="143"/>
      <c r="K41" s="162"/>
      <c r="L41" s="162"/>
      <c r="M41" s="162"/>
      <c r="N41" s="162"/>
      <c r="O41" s="163"/>
      <c r="P41" s="163"/>
      <c r="Q41" s="163"/>
      <c r="R41" s="164"/>
      <c r="S41" s="162"/>
      <c r="T41" s="162"/>
      <c r="U41" s="162"/>
      <c r="V41" s="165"/>
      <c r="W41" s="165"/>
      <c r="X41" s="165"/>
      <c r="Y41" s="165"/>
      <c r="Z41" s="165"/>
      <c r="AA41" s="166"/>
      <c r="AB41" s="162"/>
      <c r="AC41" s="162"/>
      <c r="AD41" s="162"/>
      <c r="AE41" s="7"/>
      <c r="AF41" s="163"/>
      <c r="AG41" s="163"/>
      <c r="AH41" s="163"/>
      <c r="AI41" s="163"/>
      <c r="AJ41" s="163"/>
      <c r="AK41" s="163"/>
      <c r="AL41" s="163"/>
      <c r="AM41" s="164"/>
      <c r="AN41" s="162"/>
      <c r="AO41" s="162"/>
      <c r="AP41" s="162"/>
      <c r="AQ41" s="8"/>
      <c r="AR41" s="177"/>
      <c r="AS41" s="177"/>
      <c r="AT41" s="177"/>
      <c r="AU41" s="177"/>
      <c r="AV41" s="8"/>
      <c r="AW41" s="162"/>
      <c r="AX41" s="162"/>
      <c r="AY41" s="162"/>
      <c r="AZ41" s="177"/>
      <c r="BA41" s="177"/>
      <c r="BB41" s="177"/>
      <c r="BC41" s="177"/>
      <c r="BD41" s="138"/>
      <c r="BE41" s="138"/>
      <c r="BF41" s="138"/>
      <c r="BG41" s="138"/>
      <c r="BH41" s="139"/>
      <c r="BI41" s="139"/>
      <c r="BJ41" s="139"/>
      <c r="BK41" s="139"/>
      <c r="BL41" s="139"/>
      <c r="BM41" s="139"/>
      <c r="BN41" s="139"/>
      <c r="BO41" s="9"/>
      <c r="BP41" s="9"/>
      <c r="BQ41" s="9"/>
      <c r="BR41" s="8"/>
    </row>
    <row r="42" spans="1:85" ht="14.25" customHeight="1" x14ac:dyDescent="0.25">
      <c r="A42" s="4"/>
      <c r="B42" s="10"/>
      <c r="C42" s="11"/>
      <c r="D42" s="12"/>
      <c r="E42" s="4"/>
      <c r="F42" s="4"/>
      <c r="G42" s="4"/>
      <c r="H42" s="4"/>
      <c r="I42" s="66"/>
      <c r="J42" s="66"/>
      <c r="K42" s="66"/>
      <c r="L42" s="66"/>
      <c r="M42" s="66"/>
      <c r="N42" s="66"/>
      <c r="O42" s="13"/>
      <c r="P42" s="13"/>
      <c r="Q42" s="13"/>
      <c r="R42" s="13"/>
      <c r="S42" s="66"/>
      <c r="T42" s="66"/>
      <c r="U42" s="66"/>
      <c r="V42" s="66"/>
      <c r="W42" s="66"/>
      <c r="X42" s="66"/>
      <c r="Y42" s="13"/>
      <c r="Z42" s="13"/>
      <c r="AA42" s="13"/>
      <c r="AB42" s="13"/>
      <c r="AC42" s="66"/>
      <c r="AD42" s="66"/>
      <c r="AE42" s="66"/>
      <c r="AF42" s="66"/>
      <c r="AG42" s="66"/>
      <c r="AH42" s="66"/>
      <c r="AI42" s="13"/>
      <c r="AJ42" s="13"/>
      <c r="AK42" s="13"/>
      <c r="AL42" s="13"/>
      <c r="AM42" s="66"/>
      <c r="AN42" s="66"/>
      <c r="AO42" s="66"/>
      <c r="AP42" s="66"/>
      <c r="AQ42" s="66"/>
      <c r="AR42" s="66"/>
      <c r="AS42" s="13"/>
      <c r="AT42" s="13"/>
      <c r="AU42" s="13"/>
      <c r="AV42" s="13"/>
      <c r="AW42" s="66"/>
      <c r="AX42" s="66"/>
      <c r="AY42" s="66"/>
      <c r="AZ42" s="66"/>
      <c r="BA42" s="66"/>
      <c r="BB42" s="66"/>
      <c r="BC42" s="13"/>
      <c r="BD42" s="13"/>
      <c r="BE42" s="13"/>
      <c r="BF42" s="13"/>
      <c r="BG42" s="66"/>
      <c r="BH42" s="66"/>
      <c r="BI42" s="66"/>
      <c r="BJ42" s="66"/>
      <c r="BK42" s="66"/>
      <c r="BL42" s="66"/>
      <c r="BM42" s="73"/>
      <c r="BN42" s="4"/>
      <c r="BO42" s="4"/>
      <c r="BP42" s="4"/>
      <c r="BQ42" s="4"/>
      <c r="BR42" s="4"/>
    </row>
    <row r="43" spans="1:85" ht="14.25" customHeight="1" x14ac:dyDescent="0.25">
      <c r="A43" s="4"/>
      <c r="B43" s="10"/>
      <c r="C43" s="11"/>
      <c r="D43" s="12"/>
      <c r="E43" s="4"/>
      <c r="F43" s="4"/>
      <c r="G43" s="4"/>
      <c r="H43" s="4"/>
      <c r="I43" s="66"/>
      <c r="J43" s="66"/>
      <c r="K43" s="66"/>
      <c r="L43" s="66"/>
      <c r="M43" s="66"/>
      <c r="N43" s="66"/>
      <c r="O43" s="13"/>
      <c r="P43" s="13"/>
      <c r="Q43" s="13"/>
      <c r="R43" s="13"/>
      <c r="S43" s="66"/>
      <c r="T43" s="66"/>
      <c r="U43" s="66"/>
      <c r="V43" s="66"/>
      <c r="W43" s="66"/>
      <c r="X43" s="66"/>
      <c r="Y43" s="13"/>
      <c r="Z43" s="13"/>
      <c r="AA43" s="13"/>
      <c r="AB43" s="13"/>
      <c r="AC43" s="66"/>
      <c r="AD43" s="66"/>
      <c r="AE43" s="66"/>
      <c r="AF43" s="66"/>
      <c r="AG43" s="66"/>
      <c r="AH43" s="66"/>
      <c r="AI43" s="13"/>
      <c r="AJ43" s="13"/>
      <c r="AK43" s="13"/>
      <c r="AL43" s="13"/>
      <c r="AM43" s="66"/>
      <c r="AN43" s="66"/>
      <c r="AO43" s="66"/>
      <c r="AP43" s="66"/>
      <c r="AQ43" s="66"/>
      <c r="AR43" s="66"/>
      <c r="AS43" s="13"/>
      <c r="AT43" s="13"/>
      <c r="AU43" s="13"/>
      <c r="AV43" s="13"/>
      <c r="AW43" s="66"/>
      <c r="AX43" s="66"/>
      <c r="AY43" s="66"/>
      <c r="AZ43" s="66"/>
      <c r="BA43" s="66"/>
      <c r="BB43" s="66"/>
      <c r="BC43" s="13"/>
      <c r="BD43" s="13"/>
      <c r="BE43" s="13"/>
      <c r="BF43" s="13"/>
      <c r="BG43" s="66"/>
      <c r="BH43" s="66"/>
      <c r="BI43" s="66"/>
      <c r="BJ43" s="66"/>
      <c r="BK43" s="66"/>
      <c r="BL43" s="66"/>
      <c r="BM43" s="73"/>
      <c r="BN43" s="4"/>
      <c r="BO43" s="4"/>
      <c r="BP43" s="4"/>
      <c r="BQ43" s="4"/>
      <c r="BR43" s="4"/>
    </row>
    <row r="44" spans="1:85" ht="14.25" customHeight="1" x14ac:dyDescent="0.25">
      <c r="A44" s="153" t="s">
        <v>66</v>
      </c>
      <c r="B44" s="153"/>
      <c r="C44" s="153"/>
      <c r="D44" s="153"/>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3"/>
      <c r="BK44" s="153"/>
      <c r="BL44" s="153"/>
      <c r="BM44" s="153"/>
      <c r="BN44" s="153"/>
      <c r="BO44" s="153"/>
      <c r="BP44" s="153"/>
      <c r="BQ44" s="153"/>
      <c r="BR44" s="153"/>
    </row>
    <row r="45" spans="1:85" ht="14.25" customHeight="1" x14ac:dyDescent="0.25">
      <c r="A45" s="154"/>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4"/>
      <c r="AX45" s="154"/>
      <c r="AY45" s="154"/>
      <c r="AZ45" s="154"/>
      <c r="BA45" s="154"/>
      <c r="BB45" s="154"/>
      <c r="BC45" s="154"/>
      <c r="BD45" s="154"/>
      <c r="BE45" s="154"/>
      <c r="BF45" s="154"/>
      <c r="BG45" s="154"/>
      <c r="BH45" s="154"/>
      <c r="BI45" s="154"/>
      <c r="BJ45" s="154"/>
      <c r="BK45" s="154"/>
      <c r="BL45" s="154"/>
      <c r="BM45" s="154"/>
      <c r="BN45" s="154"/>
      <c r="BO45" s="154"/>
      <c r="BP45" s="154"/>
      <c r="BQ45" s="154"/>
      <c r="BR45" s="154"/>
    </row>
    <row r="46" spans="1:85" ht="14.25" customHeight="1" x14ac:dyDescent="0.25">
      <c r="A46" s="106" t="s">
        <v>108</v>
      </c>
      <c r="B46" s="133" t="s">
        <v>107</v>
      </c>
      <c r="C46" s="134"/>
      <c r="D46" s="132" t="s">
        <v>126</v>
      </c>
      <c r="E46" s="132"/>
      <c r="F46" s="132"/>
      <c r="G46" s="132"/>
      <c r="H46" s="132"/>
      <c r="I46" s="132"/>
      <c r="J46" s="132"/>
      <c r="K46" s="132"/>
      <c r="L46" s="132"/>
      <c r="M46" s="132"/>
      <c r="N46" s="132"/>
      <c r="O46" s="155"/>
      <c r="P46" s="156" t="s">
        <v>113</v>
      </c>
      <c r="Q46" s="132"/>
      <c r="R46" s="132"/>
      <c r="S46" s="132"/>
      <c r="T46" s="132"/>
      <c r="U46" s="132"/>
      <c r="V46" s="132"/>
      <c r="W46" s="132"/>
      <c r="X46" s="132"/>
      <c r="Y46" s="132"/>
      <c r="Z46" s="132"/>
      <c r="AA46" s="132"/>
      <c r="AB46" s="132"/>
      <c r="AC46" s="132"/>
      <c r="AD46" s="132"/>
      <c r="AE46" s="132"/>
      <c r="AF46" s="132"/>
      <c r="AG46" s="132"/>
      <c r="AH46" s="132"/>
      <c r="AI46" s="132"/>
      <c r="AJ46" s="132"/>
      <c r="AK46" s="132"/>
      <c r="AL46" s="132"/>
      <c r="AM46" s="132"/>
      <c r="AN46" s="132"/>
      <c r="AO46" s="132"/>
      <c r="AP46" s="155"/>
      <c r="AQ46" s="157" t="s">
        <v>179</v>
      </c>
      <c r="AR46" s="132"/>
      <c r="AS46" s="132"/>
      <c r="AT46" s="132"/>
      <c r="AU46" s="132"/>
      <c r="AV46" s="132"/>
      <c r="AW46" s="132"/>
      <c r="AX46" s="132"/>
      <c r="AY46" s="132"/>
      <c r="AZ46" s="132"/>
      <c r="BA46" s="132"/>
      <c r="BB46" s="155"/>
      <c r="BC46" s="157" t="s">
        <v>180</v>
      </c>
      <c r="BD46" s="132"/>
      <c r="BE46" s="132"/>
      <c r="BF46" s="132"/>
      <c r="BG46" s="132"/>
      <c r="BH46" s="132"/>
      <c r="BI46" s="132"/>
      <c r="BJ46" s="132"/>
      <c r="BK46" s="132"/>
      <c r="BL46" s="132"/>
      <c r="BM46" s="132"/>
      <c r="BN46" s="155"/>
      <c r="BO46" s="158" t="s">
        <v>123</v>
      </c>
      <c r="BP46" s="134"/>
      <c r="BQ46" s="134"/>
      <c r="BR46" s="134"/>
    </row>
    <row r="47" spans="1:85" ht="14.25" customHeight="1" x14ac:dyDescent="0.25">
      <c r="A47" s="106"/>
      <c r="B47" s="134"/>
      <c r="C47" s="134"/>
      <c r="D47" s="132"/>
      <c r="E47" s="132"/>
      <c r="F47" s="132"/>
      <c r="G47" s="132"/>
      <c r="H47" s="132"/>
      <c r="I47" s="132"/>
      <c r="J47" s="132"/>
      <c r="K47" s="132"/>
      <c r="L47" s="132"/>
      <c r="M47" s="132"/>
      <c r="N47" s="132"/>
      <c r="O47" s="155"/>
      <c r="P47" s="156"/>
      <c r="Q47" s="132"/>
      <c r="R47" s="132"/>
      <c r="S47" s="132"/>
      <c r="T47" s="132"/>
      <c r="U47" s="132"/>
      <c r="V47" s="132"/>
      <c r="W47" s="132"/>
      <c r="X47" s="132"/>
      <c r="Y47" s="132"/>
      <c r="Z47" s="132"/>
      <c r="AA47" s="132"/>
      <c r="AB47" s="132"/>
      <c r="AC47" s="132"/>
      <c r="AD47" s="132"/>
      <c r="AE47" s="132"/>
      <c r="AF47" s="132"/>
      <c r="AG47" s="132"/>
      <c r="AH47" s="132"/>
      <c r="AI47" s="132"/>
      <c r="AJ47" s="132"/>
      <c r="AK47" s="132"/>
      <c r="AL47" s="132"/>
      <c r="AM47" s="132"/>
      <c r="AN47" s="132"/>
      <c r="AO47" s="132"/>
      <c r="AP47" s="155"/>
      <c r="AQ47" s="157"/>
      <c r="AR47" s="132"/>
      <c r="AS47" s="132"/>
      <c r="AT47" s="132"/>
      <c r="AU47" s="132"/>
      <c r="AV47" s="132"/>
      <c r="AW47" s="132"/>
      <c r="AX47" s="132"/>
      <c r="AY47" s="132"/>
      <c r="AZ47" s="132"/>
      <c r="BA47" s="132"/>
      <c r="BB47" s="155"/>
      <c r="BC47" s="157"/>
      <c r="BD47" s="132"/>
      <c r="BE47" s="132"/>
      <c r="BF47" s="132"/>
      <c r="BG47" s="132"/>
      <c r="BH47" s="132"/>
      <c r="BI47" s="132"/>
      <c r="BJ47" s="132"/>
      <c r="BK47" s="132"/>
      <c r="BL47" s="132"/>
      <c r="BM47" s="132"/>
      <c r="BN47" s="155"/>
      <c r="BO47" s="158"/>
      <c r="BP47" s="134"/>
      <c r="BQ47" s="134"/>
      <c r="BR47" s="134"/>
      <c r="BS47" s="71"/>
      <c r="BT47" s="71"/>
      <c r="BU47" s="71"/>
      <c r="BV47" s="71"/>
      <c r="BW47" s="71"/>
      <c r="BX47" s="71"/>
      <c r="BY47" s="71"/>
      <c r="BZ47" s="71"/>
    </row>
    <row r="48" spans="1:85" ht="14.25" customHeight="1" x14ac:dyDescent="0.25">
      <c r="A48" s="106"/>
      <c r="B48" s="134"/>
      <c r="C48" s="134"/>
      <c r="D48" s="132"/>
      <c r="E48" s="132"/>
      <c r="F48" s="132"/>
      <c r="G48" s="132"/>
      <c r="H48" s="132"/>
      <c r="I48" s="132"/>
      <c r="J48" s="132"/>
      <c r="K48" s="132"/>
      <c r="L48" s="132"/>
      <c r="M48" s="132"/>
      <c r="N48" s="132"/>
      <c r="O48" s="155"/>
      <c r="P48" s="157" t="s">
        <v>109</v>
      </c>
      <c r="Q48" s="132"/>
      <c r="R48" s="132"/>
      <c r="S48" s="132"/>
      <c r="T48" s="132"/>
      <c r="U48" s="155"/>
      <c r="V48" s="156" t="s">
        <v>114</v>
      </c>
      <c r="W48" s="132"/>
      <c r="X48" s="132"/>
      <c r="Y48" s="132"/>
      <c r="Z48" s="132"/>
      <c r="AA48" s="132"/>
      <c r="AB48" s="132"/>
      <c r="AC48" s="132"/>
      <c r="AD48" s="132"/>
      <c r="AE48" s="132"/>
      <c r="AF48" s="132"/>
      <c r="AG48" s="132"/>
      <c r="AH48" s="132"/>
      <c r="AI48" s="132"/>
      <c r="AJ48" s="132"/>
      <c r="AK48" s="132"/>
      <c r="AL48" s="132"/>
      <c r="AM48" s="132"/>
      <c r="AN48" s="135" t="s">
        <v>120</v>
      </c>
      <c r="AO48" s="135"/>
      <c r="AP48" s="159"/>
      <c r="AQ48" s="144" t="s">
        <v>124</v>
      </c>
      <c r="AR48" s="106"/>
      <c r="AS48" s="106"/>
      <c r="AT48" s="106"/>
      <c r="AU48" s="106"/>
      <c r="AV48" s="106"/>
      <c r="AW48" s="106" t="s">
        <v>125</v>
      </c>
      <c r="AX48" s="106"/>
      <c r="AY48" s="106"/>
      <c r="AZ48" s="106"/>
      <c r="BA48" s="106"/>
      <c r="BB48" s="147"/>
      <c r="BC48" s="144" t="s">
        <v>124</v>
      </c>
      <c r="BD48" s="106"/>
      <c r="BE48" s="106"/>
      <c r="BF48" s="106"/>
      <c r="BG48" s="106"/>
      <c r="BH48" s="106"/>
      <c r="BI48" s="106" t="s">
        <v>125</v>
      </c>
      <c r="BJ48" s="106"/>
      <c r="BK48" s="106"/>
      <c r="BL48" s="106"/>
      <c r="BM48" s="106"/>
      <c r="BN48" s="147"/>
      <c r="BO48" s="158"/>
      <c r="BP48" s="134"/>
      <c r="BQ48" s="134"/>
      <c r="BR48" s="134"/>
      <c r="BS48" s="71"/>
      <c r="BT48" s="71"/>
      <c r="BU48" s="71"/>
      <c r="BV48" s="71"/>
      <c r="BW48" s="71"/>
      <c r="BX48" s="71"/>
      <c r="BY48" s="71"/>
      <c r="BZ48" s="71"/>
    </row>
    <row r="49" spans="1:78" ht="14.25" customHeight="1" x14ac:dyDescent="0.25">
      <c r="A49" s="106"/>
      <c r="B49" s="134"/>
      <c r="C49" s="134"/>
      <c r="D49" s="132"/>
      <c r="E49" s="132"/>
      <c r="F49" s="132"/>
      <c r="G49" s="132"/>
      <c r="H49" s="132"/>
      <c r="I49" s="132"/>
      <c r="J49" s="132"/>
      <c r="K49" s="132"/>
      <c r="L49" s="132"/>
      <c r="M49" s="132"/>
      <c r="N49" s="132"/>
      <c r="O49" s="155"/>
      <c r="P49" s="157"/>
      <c r="Q49" s="132"/>
      <c r="R49" s="132"/>
      <c r="S49" s="132"/>
      <c r="T49" s="132"/>
      <c r="U49" s="155"/>
      <c r="V49" s="156"/>
      <c r="W49" s="132"/>
      <c r="X49" s="132"/>
      <c r="Y49" s="132"/>
      <c r="Z49" s="132"/>
      <c r="AA49" s="132"/>
      <c r="AB49" s="132"/>
      <c r="AC49" s="132"/>
      <c r="AD49" s="132"/>
      <c r="AE49" s="132"/>
      <c r="AF49" s="132"/>
      <c r="AG49" s="132"/>
      <c r="AH49" s="132"/>
      <c r="AI49" s="132"/>
      <c r="AJ49" s="132"/>
      <c r="AK49" s="132"/>
      <c r="AL49" s="132"/>
      <c r="AM49" s="132"/>
      <c r="AN49" s="135"/>
      <c r="AO49" s="135"/>
      <c r="AP49" s="159"/>
      <c r="AQ49" s="144"/>
      <c r="AR49" s="106"/>
      <c r="AS49" s="106"/>
      <c r="AT49" s="106"/>
      <c r="AU49" s="106"/>
      <c r="AV49" s="106"/>
      <c r="AW49" s="106"/>
      <c r="AX49" s="106"/>
      <c r="AY49" s="106"/>
      <c r="AZ49" s="106"/>
      <c r="BA49" s="106"/>
      <c r="BB49" s="147"/>
      <c r="BC49" s="144"/>
      <c r="BD49" s="106"/>
      <c r="BE49" s="106"/>
      <c r="BF49" s="106"/>
      <c r="BG49" s="106"/>
      <c r="BH49" s="106"/>
      <c r="BI49" s="106"/>
      <c r="BJ49" s="106"/>
      <c r="BK49" s="106"/>
      <c r="BL49" s="106"/>
      <c r="BM49" s="106"/>
      <c r="BN49" s="147"/>
      <c r="BO49" s="158"/>
      <c r="BP49" s="134"/>
      <c r="BQ49" s="134"/>
      <c r="BR49" s="134"/>
      <c r="BS49" s="71"/>
      <c r="BT49" s="71"/>
      <c r="BU49" s="71"/>
      <c r="BV49" s="71"/>
      <c r="BW49" s="71"/>
      <c r="BX49" s="71"/>
      <c r="BY49" s="71"/>
      <c r="BZ49" s="71"/>
    </row>
    <row r="50" spans="1:78" ht="14.25" customHeight="1" x14ac:dyDescent="0.25">
      <c r="A50" s="106"/>
      <c r="B50" s="134"/>
      <c r="C50" s="134"/>
      <c r="D50" s="132"/>
      <c r="E50" s="132"/>
      <c r="F50" s="132"/>
      <c r="G50" s="132"/>
      <c r="H50" s="132"/>
      <c r="I50" s="132"/>
      <c r="J50" s="132"/>
      <c r="K50" s="132"/>
      <c r="L50" s="132"/>
      <c r="M50" s="132"/>
      <c r="N50" s="132"/>
      <c r="O50" s="155"/>
      <c r="P50" s="157"/>
      <c r="Q50" s="132"/>
      <c r="R50" s="132"/>
      <c r="S50" s="132"/>
      <c r="T50" s="132"/>
      <c r="U50" s="155"/>
      <c r="V50" s="176" t="s">
        <v>87</v>
      </c>
      <c r="W50" s="135"/>
      <c r="X50" s="135"/>
      <c r="Y50" s="135" t="s">
        <v>115</v>
      </c>
      <c r="Z50" s="135"/>
      <c r="AA50" s="135"/>
      <c r="AB50" s="135" t="s">
        <v>116</v>
      </c>
      <c r="AC50" s="135"/>
      <c r="AD50" s="135"/>
      <c r="AE50" s="135" t="s">
        <v>117</v>
      </c>
      <c r="AF50" s="135"/>
      <c r="AG50" s="135"/>
      <c r="AH50" s="135" t="s">
        <v>118</v>
      </c>
      <c r="AI50" s="135"/>
      <c r="AJ50" s="135"/>
      <c r="AK50" s="135" t="s">
        <v>119</v>
      </c>
      <c r="AL50" s="135"/>
      <c r="AM50" s="135"/>
      <c r="AN50" s="135"/>
      <c r="AO50" s="135"/>
      <c r="AP50" s="159"/>
      <c r="AQ50" s="144">
        <v>1</v>
      </c>
      <c r="AR50" s="106"/>
      <c r="AS50" s="106"/>
      <c r="AT50" s="106">
        <v>2</v>
      </c>
      <c r="AU50" s="106"/>
      <c r="AV50" s="106"/>
      <c r="AW50" s="106">
        <v>3</v>
      </c>
      <c r="AX50" s="106"/>
      <c r="AY50" s="106"/>
      <c r="AZ50" s="106">
        <v>4</v>
      </c>
      <c r="BA50" s="106"/>
      <c r="BB50" s="147"/>
      <c r="BC50" s="144">
        <v>1</v>
      </c>
      <c r="BD50" s="106"/>
      <c r="BE50" s="106"/>
      <c r="BF50" s="106">
        <v>2</v>
      </c>
      <c r="BG50" s="106"/>
      <c r="BH50" s="106"/>
      <c r="BI50" s="106">
        <v>3</v>
      </c>
      <c r="BJ50" s="106"/>
      <c r="BK50" s="106"/>
      <c r="BL50" s="106">
        <v>4</v>
      </c>
      <c r="BM50" s="106"/>
      <c r="BN50" s="147"/>
      <c r="BO50" s="158"/>
      <c r="BP50" s="134"/>
      <c r="BQ50" s="134"/>
      <c r="BR50" s="134"/>
      <c r="BS50" s="71"/>
      <c r="BT50" s="71"/>
      <c r="BU50" s="71"/>
      <c r="BV50" s="71"/>
      <c r="BW50" s="71"/>
      <c r="BX50" s="71"/>
      <c r="BY50" s="71"/>
      <c r="BZ50" s="71"/>
    </row>
    <row r="51" spans="1:78" ht="14.25" customHeight="1" x14ac:dyDescent="0.25">
      <c r="A51" s="106"/>
      <c r="B51" s="134"/>
      <c r="C51" s="134"/>
      <c r="D51" s="132"/>
      <c r="E51" s="132"/>
      <c r="F51" s="132"/>
      <c r="G51" s="132"/>
      <c r="H51" s="132"/>
      <c r="I51" s="132"/>
      <c r="J51" s="132"/>
      <c r="K51" s="132"/>
      <c r="L51" s="132"/>
      <c r="M51" s="132"/>
      <c r="N51" s="132"/>
      <c r="O51" s="155"/>
      <c r="P51" s="157"/>
      <c r="Q51" s="132"/>
      <c r="R51" s="132"/>
      <c r="S51" s="132"/>
      <c r="T51" s="132"/>
      <c r="U51" s="155"/>
      <c r="V51" s="176"/>
      <c r="W51" s="135"/>
      <c r="X51" s="135"/>
      <c r="Y51" s="135"/>
      <c r="Z51" s="135"/>
      <c r="AA51" s="135"/>
      <c r="AB51" s="135"/>
      <c r="AC51" s="135"/>
      <c r="AD51" s="135"/>
      <c r="AE51" s="135"/>
      <c r="AF51" s="135"/>
      <c r="AG51" s="135"/>
      <c r="AH51" s="135"/>
      <c r="AI51" s="135"/>
      <c r="AJ51" s="135"/>
      <c r="AK51" s="135"/>
      <c r="AL51" s="135"/>
      <c r="AM51" s="135"/>
      <c r="AN51" s="135"/>
      <c r="AO51" s="135"/>
      <c r="AP51" s="159"/>
      <c r="AQ51" s="144"/>
      <c r="AR51" s="106"/>
      <c r="AS51" s="106"/>
      <c r="AT51" s="106"/>
      <c r="AU51" s="106"/>
      <c r="AV51" s="106"/>
      <c r="AW51" s="106"/>
      <c r="AX51" s="106"/>
      <c r="AY51" s="106"/>
      <c r="AZ51" s="106"/>
      <c r="BA51" s="106"/>
      <c r="BB51" s="147"/>
      <c r="BC51" s="144"/>
      <c r="BD51" s="106"/>
      <c r="BE51" s="106"/>
      <c r="BF51" s="106"/>
      <c r="BG51" s="106"/>
      <c r="BH51" s="106"/>
      <c r="BI51" s="106"/>
      <c r="BJ51" s="106"/>
      <c r="BK51" s="106"/>
      <c r="BL51" s="106"/>
      <c r="BM51" s="106"/>
      <c r="BN51" s="147"/>
      <c r="BO51" s="158"/>
      <c r="BP51" s="134"/>
      <c r="BQ51" s="134"/>
      <c r="BR51" s="134"/>
      <c r="BS51" s="71"/>
      <c r="BT51" s="71"/>
      <c r="BU51" s="71"/>
      <c r="BV51" s="71"/>
      <c r="BW51" s="71"/>
      <c r="BX51" s="71"/>
      <c r="BY51" s="71"/>
      <c r="BZ51" s="71"/>
    </row>
    <row r="52" spans="1:78" ht="14.25" customHeight="1" x14ac:dyDescent="0.25">
      <c r="A52" s="106"/>
      <c r="B52" s="134"/>
      <c r="C52" s="134"/>
      <c r="D52" s="132"/>
      <c r="E52" s="132"/>
      <c r="F52" s="132"/>
      <c r="G52" s="132"/>
      <c r="H52" s="132"/>
      <c r="I52" s="132"/>
      <c r="J52" s="132"/>
      <c r="K52" s="132"/>
      <c r="L52" s="132"/>
      <c r="M52" s="132"/>
      <c r="N52" s="132"/>
      <c r="O52" s="155"/>
      <c r="P52" s="157"/>
      <c r="Q52" s="132"/>
      <c r="R52" s="132"/>
      <c r="S52" s="132"/>
      <c r="T52" s="132"/>
      <c r="U52" s="155"/>
      <c r="V52" s="176"/>
      <c r="W52" s="135"/>
      <c r="X52" s="135"/>
      <c r="Y52" s="135"/>
      <c r="Z52" s="135"/>
      <c r="AA52" s="135"/>
      <c r="AB52" s="135"/>
      <c r="AC52" s="135"/>
      <c r="AD52" s="135"/>
      <c r="AE52" s="135"/>
      <c r="AF52" s="135"/>
      <c r="AG52" s="135"/>
      <c r="AH52" s="135"/>
      <c r="AI52" s="135"/>
      <c r="AJ52" s="135"/>
      <c r="AK52" s="135"/>
      <c r="AL52" s="135"/>
      <c r="AM52" s="135"/>
      <c r="AN52" s="135"/>
      <c r="AO52" s="135"/>
      <c r="AP52" s="159"/>
      <c r="AQ52" s="157" t="s">
        <v>121</v>
      </c>
      <c r="AR52" s="132"/>
      <c r="AS52" s="132"/>
      <c r="AT52" s="132"/>
      <c r="AU52" s="132"/>
      <c r="AV52" s="132"/>
      <c r="AW52" s="132"/>
      <c r="AX52" s="132"/>
      <c r="AY52" s="132"/>
      <c r="AZ52" s="132"/>
      <c r="BA52" s="132"/>
      <c r="BB52" s="155"/>
      <c r="BC52" s="157" t="s">
        <v>122</v>
      </c>
      <c r="BD52" s="132"/>
      <c r="BE52" s="132"/>
      <c r="BF52" s="132"/>
      <c r="BG52" s="132"/>
      <c r="BH52" s="132"/>
      <c r="BI52" s="132"/>
      <c r="BJ52" s="132"/>
      <c r="BK52" s="132"/>
      <c r="BL52" s="132"/>
      <c r="BM52" s="132"/>
      <c r="BN52" s="155"/>
      <c r="BO52" s="158"/>
      <c r="BP52" s="134"/>
      <c r="BQ52" s="134"/>
      <c r="BR52" s="134"/>
      <c r="BS52" s="71"/>
      <c r="BT52" s="71"/>
      <c r="BU52" s="71"/>
      <c r="BV52" s="71"/>
      <c r="BW52" s="71"/>
      <c r="BX52" s="71"/>
      <c r="BY52" s="71"/>
      <c r="BZ52" s="71"/>
    </row>
    <row r="53" spans="1:78" ht="14.25" customHeight="1" x14ac:dyDescent="0.25">
      <c r="A53" s="106"/>
      <c r="B53" s="134"/>
      <c r="C53" s="134"/>
      <c r="D53" s="132"/>
      <c r="E53" s="132"/>
      <c r="F53" s="132"/>
      <c r="G53" s="132"/>
      <c r="H53" s="132"/>
      <c r="I53" s="132"/>
      <c r="J53" s="132"/>
      <c r="K53" s="132"/>
      <c r="L53" s="132"/>
      <c r="M53" s="132"/>
      <c r="N53" s="132"/>
      <c r="O53" s="155"/>
      <c r="P53" s="157"/>
      <c r="Q53" s="132"/>
      <c r="R53" s="132"/>
      <c r="S53" s="132"/>
      <c r="T53" s="132"/>
      <c r="U53" s="155"/>
      <c r="V53" s="176"/>
      <c r="W53" s="135"/>
      <c r="X53" s="135"/>
      <c r="Y53" s="135"/>
      <c r="Z53" s="135"/>
      <c r="AA53" s="135"/>
      <c r="AB53" s="135"/>
      <c r="AC53" s="135"/>
      <c r="AD53" s="135"/>
      <c r="AE53" s="135"/>
      <c r="AF53" s="135"/>
      <c r="AG53" s="135"/>
      <c r="AH53" s="135"/>
      <c r="AI53" s="135"/>
      <c r="AJ53" s="135"/>
      <c r="AK53" s="135"/>
      <c r="AL53" s="135"/>
      <c r="AM53" s="135"/>
      <c r="AN53" s="135"/>
      <c r="AO53" s="135"/>
      <c r="AP53" s="159"/>
      <c r="AQ53" s="157"/>
      <c r="AR53" s="132"/>
      <c r="AS53" s="132"/>
      <c r="AT53" s="132"/>
      <c r="AU53" s="132"/>
      <c r="AV53" s="132"/>
      <c r="AW53" s="132"/>
      <c r="AX53" s="132"/>
      <c r="AY53" s="132"/>
      <c r="AZ53" s="132"/>
      <c r="BA53" s="132"/>
      <c r="BB53" s="155"/>
      <c r="BC53" s="157"/>
      <c r="BD53" s="132"/>
      <c r="BE53" s="132"/>
      <c r="BF53" s="132"/>
      <c r="BG53" s="132"/>
      <c r="BH53" s="132"/>
      <c r="BI53" s="132"/>
      <c r="BJ53" s="132"/>
      <c r="BK53" s="132"/>
      <c r="BL53" s="132"/>
      <c r="BM53" s="132"/>
      <c r="BN53" s="155"/>
      <c r="BO53" s="158"/>
      <c r="BP53" s="134"/>
      <c r="BQ53" s="134"/>
      <c r="BR53" s="134"/>
      <c r="BS53" s="71"/>
      <c r="BT53" s="71"/>
      <c r="BU53" s="71"/>
      <c r="BV53" s="71"/>
      <c r="BW53" s="71"/>
      <c r="BX53" s="71"/>
      <c r="BY53" s="71"/>
      <c r="BZ53" s="71"/>
    </row>
    <row r="54" spans="1:78" ht="14.25" customHeight="1" x14ac:dyDescent="0.25">
      <c r="A54" s="106"/>
      <c r="B54" s="134"/>
      <c r="C54" s="134"/>
      <c r="D54" s="132"/>
      <c r="E54" s="132"/>
      <c r="F54" s="132"/>
      <c r="G54" s="132"/>
      <c r="H54" s="132"/>
      <c r="I54" s="132"/>
      <c r="J54" s="132"/>
      <c r="K54" s="132"/>
      <c r="L54" s="132"/>
      <c r="M54" s="132"/>
      <c r="N54" s="132"/>
      <c r="O54" s="155"/>
      <c r="P54" s="157"/>
      <c r="Q54" s="132"/>
      <c r="R54" s="132"/>
      <c r="S54" s="132"/>
      <c r="T54" s="132"/>
      <c r="U54" s="155"/>
      <c r="V54" s="176"/>
      <c r="W54" s="135"/>
      <c r="X54" s="135"/>
      <c r="Y54" s="135"/>
      <c r="Z54" s="135"/>
      <c r="AA54" s="135"/>
      <c r="AB54" s="135"/>
      <c r="AC54" s="135"/>
      <c r="AD54" s="135"/>
      <c r="AE54" s="135"/>
      <c r="AF54" s="135"/>
      <c r="AG54" s="135"/>
      <c r="AH54" s="135"/>
      <c r="AI54" s="135"/>
      <c r="AJ54" s="135"/>
      <c r="AK54" s="135"/>
      <c r="AL54" s="135"/>
      <c r="AM54" s="135"/>
      <c r="AN54" s="135"/>
      <c r="AO54" s="135"/>
      <c r="AP54" s="159"/>
      <c r="AQ54" s="144">
        <v>15</v>
      </c>
      <c r="AR54" s="106"/>
      <c r="AS54" s="106"/>
      <c r="AT54" s="106">
        <v>15</v>
      </c>
      <c r="AU54" s="106"/>
      <c r="AV54" s="106"/>
      <c r="AW54" s="106">
        <v>15</v>
      </c>
      <c r="AX54" s="106"/>
      <c r="AY54" s="106"/>
      <c r="AZ54" s="106">
        <v>15</v>
      </c>
      <c r="BA54" s="106"/>
      <c r="BB54" s="147"/>
      <c r="BC54" s="144">
        <v>15</v>
      </c>
      <c r="BD54" s="106"/>
      <c r="BE54" s="106"/>
      <c r="BF54" s="106">
        <v>15</v>
      </c>
      <c r="BG54" s="106"/>
      <c r="BH54" s="106"/>
      <c r="BI54" s="106">
        <v>15</v>
      </c>
      <c r="BJ54" s="106"/>
      <c r="BK54" s="106"/>
      <c r="BL54" s="106">
        <v>15</v>
      </c>
      <c r="BM54" s="106"/>
      <c r="BN54" s="147"/>
      <c r="BO54" s="158"/>
      <c r="BP54" s="134"/>
      <c r="BQ54" s="134"/>
      <c r="BR54" s="134"/>
      <c r="BS54" s="71"/>
      <c r="BT54" s="71"/>
      <c r="BU54" s="71"/>
      <c r="BV54" s="71"/>
      <c r="BW54" s="71"/>
      <c r="BX54" s="71"/>
      <c r="BY54" s="71"/>
      <c r="BZ54" s="71"/>
    </row>
    <row r="55" spans="1:78" ht="14.25" customHeight="1" x14ac:dyDescent="0.25">
      <c r="A55" s="106"/>
      <c r="B55" s="134"/>
      <c r="C55" s="134"/>
      <c r="D55" s="132"/>
      <c r="E55" s="132"/>
      <c r="F55" s="132"/>
      <c r="G55" s="132"/>
      <c r="H55" s="132"/>
      <c r="I55" s="132"/>
      <c r="J55" s="132"/>
      <c r="K55" s="132"/>
      <c r="L55" s="132"/>
      <c r="M55" s="132"/>
      <c r="N55" s="132"/>
      <c r="O55" s="155"/>
      <c r="P55" s="144" t="s">
        <v>110</v>
      </c>
      <c r="Q55" s="106"/>
      <c r="R55" s="106"/>
      <c r="S55" s="106" t="s">
        <v>5</v>
      </c>
      <c r="T55" s="106"/>
      <c r="U55" s="147"/>
      <c r="V55" s="176"/>
      <c r="W55" s="135"/>
      <c r="X55" s="135"/>
      <c r="Y55" s="135"/>
      <c r="Z55" s="135"/>
      <c r="AA55" s="135"/>
      <c r="AB55" s="135"/>
      <c r="AC55" s="135"/>
      <c r="AD55" s="135"/>
      <c r="AE55" s="135"/>
      <c r="AF55" s="135"/>
      <c r="AG55" s="135"/>
      <c r="AH55" s="135"/>
      <c r="AI55" s="135"/>
      <c r="AJ55" s="135"/>
      <c r="AK55" s="135"/>
      <c r="AL55" s="135"/>
      <c r="AM55" s="135"/>
      <c r="AN55" s="135"/>
      <c r="AO55" s="135"/>
      <c r="AP55" s="159"/>
      <c r="AQ55" s="144"/>
      <c r="AR55" s="106"/>
      <c r="AS55" s="106"/>
      <c r="AT55" s="106"/>
      <c r="AU55" s="106"/>
      <c r="AV55" s="106"/>
      <c r="AW55" s="106"/>
      <c r="AX55" s="106"/>
      <c r="AY55" s="106"/>
      <c r="AZ55" s="106"/>
      <c r="BA55" s="106"/>
      <c r="BB55" s="147"/>
      <c r="BC55" s="144"/>
      <c r="BD55" s="106"/>
      <c r="BE55" s="106"/>
      <c r="BF55" s="106"/>
      <c r="BG55" s="106"/>
      <c r="BH55" s="106"/>
      <c r="BI55" s="106"/>
      <c r="BJ55" s="106"/>
      <c r="BK55" s="106"/>
      <c r="BL55" s="106"/>
      <c r="BM55" s="106"/>
      <c r="BN55" s="147"/>
      <c r="BO55" s="158"/>
      <c r="BP55" s="134"/>
      <c r="BQ55" s="134"/>
      <c r="BR55" s="134"/>
      <c r="BS55" s="71"/>
      <c r="BT55" s="71"/>
      <c r="BU55" s="71"/>
      <c r="BV55" s="71"/>
      <c r="BW55" s="71"/>
      <c r="BX55" s="71"/>
      <c r="BY55" s="71"/>
      <c r="BZ55" s="71"/>
    </row>
    <row r="56" spans="1:78" ht="14.25" customHeight="1" x14ac:dyDescent="0.25">
      <c r="A56" s="72">
        <v>1</v>
      </c>
      <c r="B56" s="130"/>
      <c r="C56" s="130"/>
      <c r="D56" s="106">
        <v>2</v>
      </c>
      <c r="E56" s="106"/>
      <c r="F56" s="106"/>
      <c r="G56" s="106"/>
      <c r="H56" s="106"/>
      <c r="I56" s="106"/>
      <c r="J56" s="106"/>
      <c r="K56" s="106"/>
      <c r="L56" s="106"/>
      <c r="M56" s="106"/>
      <c r="N56" s="106"/>
      <c r="O56" s="147"/>
      <c r="P56" s="144">
        <v>3</v>
      </c>
      <c r="Q56" s="106"/>
      <c r="R56" s="106"/>
      <c r="S56" s="106">
        <v>4</v>
      </c>
      <c r="T56" s="106"/>
      <c r="U56" s="147"/>
      <c r="V56" s="152">
        <v>5</v>
      </c>
      <c r="W56" s="106"/>
      <c r="X56" s="106"/>
      <c r="Y56" s="106">
        <v>6</v>
      </c>
      <c r="Z56" s="106"/>
      <c r="AA56" s="106"/>
      <c r="AB56" s="106">
        <v>7</v>
      </c>
      <c r="AC56" s="106"/>
      <c r="AD56" s="106"/>
      <c r="AE56" s="106">
        <v>8</v>
      </c>
      <c r="AF56" s="106"/>
      <c r="AG56" s="106"/>
      <c r="AH56" s="106">
        <v>9</v>
      </c>
      <c r="AI56" s="106"/>
      <c r="AJ56" s="106"/>
      <c r="AK56" s="106">
        <v>10</v>
      </c>
      <c r="AL56" s="106"/>
      <c r="AM56" s="106"/>
      <c r="AN56" s="106">
        <v>11</v>
      </c>
      <c r="AO56" s="106"/>
      <c r="AP56" s="147"/>
      <c r="AQ56" s="144">
        <v>12</v>
      </c>
      <c r="AR56" s="106"/>
      <c r="AS56" s="106"/>
      <c r="AT56" s="106">
        <v>13</v>
      </c>
      <c r="AU56" s="106"/>
      <c r="AV56" s="106"/>
      <c r="AW56" s="106">
        <v>14</v>
      </c>
      <c r="AX56" s="106"/>
      <c r="AY56" s="106"/>
      <c r="AZ56" s="106">
        <v>15</v>
      </c>
      <c r="BA56" s="106"/>
      <c r="BB56" s="147"/>
      <c r="BC56" s="144">
        <v>16</v>
      </c>
      <c r="BD56" s="106"/>
      <c r="BE56" s="106"/>
      <c r="BF56" s="106">
        <v>17</v>
      </c>
      <c r="BG56" s="106"/>
      <c r="BH56" s="106"/>
      <c r="BI56" s="106">
        <v>18</v>
      </c>
      <c r="BJ56" s="106"/>
      <c r="BK56" s="106"/>
      <c r="BL56" s="106">
        <v>19</v>
      </c>
      <c r="BM56" s="106"/>
      <c r="BN56" s="147"/>
      <c r="BO56" s="152">
        <v>20</v>
      </c>
      <c r="BP56" s="106"/>
      <c r="BQ56" s="106"/>
      <c r="BR56" s="106"/>
      <c r="BS56" s="71"/>
      <c r="BT56" s="71"/>
      <c r="BU56" s="71"/>
      <c r="BV56" s="71"/>
      <c r="BW56" s="71"/>
      <c r="BX56" s="71"/>
      <c r="BY56" s="71"/>
      <c r="BZ56" s="71"/>
    </row>
    <row r="57" spans="1:78" ht="14.25" customHeight="1" x14ac:dyDescent="0.25">
      <c r="A57" s="72" t="s">
        <v>6</v>
      </c>
      <c r="B57" s="243"/>
      <c r="C57" s="243"/>
      <c r="D57" s="182" t="s">
        <v>111</v>
      </c>
      <c r="E57" s="182"/>
      <c r="F57" s="182"/>
      <c r="G57" s="182"/>
      <c r="H57" s="182"/>
      <c r="I57" s="182"/>
      <c r="J57" s="182"/>
      <c r="K57" s="182"/>
      <c r="L57" s="182"/>
      <c r="M57" s="182"/>
      <c r="N57" s="182"/>
      <c r="O57" s="183"/>
      <c r="P57" s="144">
        <f>SUM(V57+AN57)</f>
        <v>1470</v>
      </c>
      <c r="Q57" s="106"/>
      <c r="R57" s="106"/>
      <c r="S57" s="131">
        <f>P57/3600*100</f>
        <v>40.833333333333336</v>
      </c>
      <c r="T57" s="131"/>
      <c r="U57" s="151"/>
      <c r="V57" s="152">
        <f t="shared" ref="V57" si="5">SUM(AQ57+AT57+AW57+AZ57)*15</f>
        <v>570</v>
      </c>
      <c r="W57" s="106"/>
      <c r="X57" s="106"/>
      <c r="Y57" s="106">
        <f>SUM(Y58:AA68)</f>
        <v>110</v>
      </c>
      <c r="Z57" s="106"/>
      <c r="AA57" s="106"/>
      <c r="AB57" s="106">
        <f>SUM(AB58:AD68)</f>
        <v>166</v>
      </c>
      <c r="AC57" s="106"/>
      <c r="AD57" s="106"/>
      <c r="AE57" s="106">
        <f>SUM(AE58:AG68)</f>
        <v>240</v>
      </c>
      <c r="AF57" s="106"/>
      <c r="AG57" s="106"/>
      <c r="AH57" s="106">
        <f>SUM(AH58:AJ68)</f>
        <v>54</v>
      </c>
      <c r="AI57" s="106"/>
      <c r="AJ57" s="106"/>
      <c r="AK57" s="106">
        <f>SUM(AK58:AM68)</f>
        <v>0</v>
      </c>
      <c r="AL57" s="106"/>
      <c r="AM57" s="106"/>
      <c r="AN57" s="106">
        <f>SUM(AN58:AP68)</f>
        <v>900</v>
      </c>
      <c r="AO57" s="106"/>
      <c r="AP57" s="147"/>
      <c r="AQ57" s="144">
        <f>SUM(AQ58:AS68)</f>
        <v>16</v>
      </c>
      <c r="AR57" s="106"/>
      <c r="AS57" s="106"/>
      <c r="AT57" s="106">
        <f>SUM(AT58:AV68)</f>
        <v>6</v>
      </c>
      <c r="AU57" s="106"/>
      <c r="AV57" s="106"/>
      <c r="AW57" s="106">
        <f>SUM(AW58:AY68)</f>
        <v>10</v>
      </c>
      <c r="AX57" s="106"/>
      <c r="AY57" s="106"/>
      <c r="AZ57" s="106">
        <f>SUM(AZ58:BB68)</f>
        <v>6</v>
      </c>
      <c r="BA57" s="106"/>
      <c r="BB57" s="147"/>
      <c r="BC57" s="144">
        <f>SUM(BC58:BE68)</f>
        <v>22</v>
      </c>
      <c r="BD57" s="106"/>
      <c r="BE57" s="106"/>
      <c r="BF57" s="106">
        <f>SUM(BF58:BH68)</f>
        <v>7</v>
      </c>
      <c r="BG57" s="106"/>
      <c r="BH57" s="106"/>
      <c r="BI57" s="106">
        <f>SUM(BI58:BK68)</f>
        <v>12</v>
      </c>
      <c r="BJ57" s="106"/>
      <c r="BK57" s="106"/>
      <c r="BL57" s="106">
        <f>SUM(BL58:BN68)</f>
        <v>8</v>
      </c>
      <c r="BM57" s="106"/>
      <c r="BN57" s="147"/>
      <c r="BO57" s="148">
        <f>SUM(P57/30)</f>
        <v>49</v>
      </c>
      <c r="BP57" s="105"/>
      <c r="BQ57" s="105"/>
      <c r="BR57" s="105"/>
      <c r="BS57" s="71"/>
      <c r="BT57" s="71"/>
      <c r="BU57" s="71"/>
      <c r="BV57" s="71"/>
      <c r="BW57" s="71"/>
      <c r="BX57" s="71"/>
      <c r="BY57" s="71"/>
      <c r="BZ57" s="71"/>
    </row>
    <row r="58" spans="1:78" ht="14.25" customHeight="1" x14ac:dyDescent="0.25">
      <c r="A58" s="14" t="s">
        <v>7</v>
      </c>
      <c r="B58" s="104" t="s">
        <v>31</v>
      </c>
      <c r="C58" s="104"/>
      <c r="D58" s="149" t="s">
        <v>142</v>
      </c>
      <c r="E58" s="149"/>
      <c r="F58" s="149"/>
      <c r="G58" s="149"/>
      <c r="H58" s="149"/>
      <c r="I58" s="149"/>
      <c r="J58" s="149"/>
      <c r="K58" s="149"/>
      <c r="L58" s="149"/>
      <c r="M58" s="149"/>
      <c r="N58" s="149"/>
      <c r="O58" s="150"/>
      <c r="P58" s="144">
        <f t="shared" ref="P58:P59" si="6">SUM(V58+AN58)</f>
        <v>90</v>
      </c>
      <c r="Q58" s="106"/>
      <c r="R58" s="106"/>
      <c r="S58" s="131"/>
      <c r="T58" s="131"/>
      <c r="U58" s="151"/>
      <c r="V58" s="152">
        <f t="shared" ref="V58:V59" si="7">SUM(AQ58+AT58+AW58+AZ58)*15</f>
        <v>30</v>
      </c>
      <c r="W58" s="106"/>
      <c r="X58" s="106"/>
      <c r="Y58" s="104">
        <v>16</v>
      </c>
      <c r="Z58" s="104"/>
      <c r="AA58" s="104"/>
      <c r="AB58" s="104">
        <v>14</v>
      </c>
      <c r="AC58" s="104"/>
      <c r="AD58" s="104"/>
      <c r="AE58" s="104"/>
      <c r="AF58" s="104"/>
      <c r="AG58" s="104"/>
      <c r="AH58" s="104"/>
      <c r="AI58" s="104"/>
      <c r="AJ58" s="104"/>
      <c r="AK58" s="104"/>
      <c r="AL58" s="104"/>
      <c r="AM58" s="104"/>
      <c r="AN58" s="104">
        <v>60</v>
      </c>
      <c r="AO58" s="104"/>
      <c r="AP58" s="145"/>
      <c r="AQ58" s="146">
        <v>2</v>
      </c>
      <c r="AR58" s="104"/>
      <c r="AS58" s="104"/>
      <c r="AT58" s="104"/>
      <c r="AU58" s="104"/>
      <c r="AV58" s="104"/>
      <c r="AW58" s="104"/>
      <c r="AX58" s="104"/>
      <c r="AY58" s="104"/>
      <c r="AZ58" s="104"/>
      <c r="BA58" s="104"/>
      <c r="BB58" s="145"/>
      <c r="BC58" s="146">
        <v>3</v>
      </c>
      <c r="BD58" s="104"/>
      <c r="BE58" s="104"/>
      <c r="BF58" s="104"/>
      <c r="BG58" s="104"/>
      <c r="BH58" s="104"/>
      <c r="BI58" s="104"/>
      <c r="BJ58" s="104"/>
      <c r="BK58" s="104"/>
      <c r="BL58" s="104"/>
      <c r="BM58" s="104"/>
      <c r="BN58" s="145"/>
      <c r="BO58" s="148">
        <f t="shared" ref="BO58:BO59" si="8">SUM(P58/30)</f>
        <v>3</v>
      </c>
      <c r="BP58" s="105"/>
      <c r="BQ58" s="105"/>
      <c r="BR58" s="105"/>
      <c r="BS58" s="71">
        <f>SUM(V58/P58)*100</f>
        <v>33.333333333333329</v>
      </c>
      <c r="BT58" s="71">
        <f>SUM(AN58/P58)*100</f>
        <v>66.666666666666657</v>
      </c>
      <c r="BU58" s="71">
        <f>SUM(Y58:AJ58)</f>
        <v>30</v>
      </c>
      <c r="BV58" s="15">
        <f>IF(BU58=V58,1,0)</f>
        <v>1</v>
      </c>
      <c r="BW58" s="15" t="str">
        <f>IF(BV58=1,"тўғри","хато")</f>
        <v>тўғри</v>
      </c>
      <c r="BX58" s="71">
        <f>SUM(BC58:BN58)</f>
        <v>3</v>
      </c>
      <c r="BY58" s="15">
        <f>IF(BX58=BO58,1,0)</f>
        <v>1</v>
      </c>
      <c r="BZ58" s="15" t="str">
        <f>IF(BY58=1,"тўғри","хато")</f>
        <v>тўғри</v>
      </c>
    </row>
    <row r="59" spans="1:78" ht="14.25" customHeight="1" x14ac:dyDescent="0.25">
      <c r="A59" s="14" t="s">
        <v>8</v>
      </c>
      <c r="B59" s="104" t="s">
        <v>213</v>
      </c>
      <c r="C59" s="104"/>
      <c r="D59" s="149" t="s">
        <v>143</v>
      </c>
      <c r="E59" s="149"/>
      <c r="F59" s="149"/>
      <c r="G59" s="149"/>
      <c r="H59" s="149"/>
      <c r="I59" s="149"/>
      <c r="J59" s="149"/>
      <c r="K59" s="149"/>
      <c r="L59" s="149"/>
      <c r="M59" s="149"/>
      <c r="N59" s="149"/>
      <c r="O59" s="150"/>
      <c r="P59" s="144">
        <f t="shared" si="6"/>
        <v>90</v>
      </c>
      <c r="Q59" s="106"/>
      <c r="R59" s="106"/>
      <c r="S59" s="131"/>
      <c r="T59" s="131"/>
      <c r="U59" s="151"/>
      <c r="V59" s="152">
        <f t="shared" si="7"/>
        <v>30</v>
      </c>
      <c r="W59" s="106"/>
      <c r="X59" s="106"/>
      <c r="Y59" s="104">
        <v>16</v>
      </c>
      <c r="Z59" s="104"/>
      <c r="AA59" s="104"/>
      <c r="AB59" s="104">
        <v>14</v>
      </c>
      <c r="AC59" s="104"/>
      <c r="AD59" s="104"/>
      <c r="AE59" s="104"/>
      <c r="AF59" s="104"/>
      <c r="AG59" s="104"/>
      <c r="AH59" s="104"/>
      <c r="AI59" s="104"/>
      <c r="AJ59" s="104"/>
      <c r="AK59" s="104"/>
      <c r="AL59" s="104"/>
      <c r="AM59" s="104"/>
      <c r="AN59" s="104">
        <v>60</v>
      </c>
      <c r="AO59" s="104"/>
      <c r="AP59" s="145"/>
      <c r="AQ59" s="146"/>
      <c r="AR59" s="104"/>
      <c r="AS59" s="104"/>
      <c r="AT59" s="104"/>
      <c r="AU59" s="104"/>
      <c r="AV59" s="104"/>
      <c r="AW59" s="104">
        <v>2</v>
      </c>
      <c r="AX59" s="104"/>
      <c r="AY59" s="104"/>
      <c r="AZ59" s="104"/>
      <c r="BA59" s="104"/>
      <c r="BB59" s="145"/>
      <c r="BC59" s="146"/>
      <c r="BD59" s="104"/>
      <c r="BE59" s="104"/>
      <c r="BF59" s="104"/>
      <c r="BG59" s="104"/>
      <c r="BH59" s="104"/>
      <c r="BI59" s="104">
        <v>3</v>
      </c>
      <c r="BJ59" s="104"/>
      <c r="BK59" s="104"/>
      <c r="BL59" s="104"/>
      <c r="BM59" s="104"/>
      <c r="BN59" s="145"/>
      <c r="BO59" s="148">
        <f t="shared" si="8"/>
        <v>3</v>
      </c>
      <c r="BP59" s="105"/>
      <c r="BQ59" s="105"/>
      <c r="BR59" s="105"/>
      <c r="BS59" s="71">
        <f t="shared" ref="BS59" si="9">SUM(V59/P59)*100</f>
        <v>33.333333333333329</v>
      </c>
      <c r="BT59" s="71">
        <f t="shared" ref="BT59" si="10">SUM(AN59/P59)*100</f>
        <v>66.666666666666657</v>
      </c>
      <c r="BU59" s="71">
        <f t="shared" ref="BU59" si="11">SUM(Y59:AJ59)</f>
        <v>30</v>
      </c>
      <c r="BV59" s="15">
        <f t="shared" ref="BV59" si="12">IF(BU59=V59,1,0)</f>
        <v>1</v>
      </c>
      <c r="BW59" s="15" t="str">
        <f t="shared" ref="BW59" si="13">IF(BV59=1,"тўғри","хато")</f>
        <v>тўғри</v>
      </c>
      <c r="BX59" s="71">
        <f t="shared" ref="BX59" si="14">SUM(BC59:BN59)</f>
        <v>3</v>
      </c>
      <c r="BY59" s="15">
        <f t="shared" ref="BY59" si="15">IF(BX59=BO59,1,0)</f>
        <v>1</v>
      </c>
      <c r="BZ59" s="15" t="str">
        <f t="shared" ref="BZ59" si="16">IF(BY59=1,"тўғри","хато")</f>
        <v>тўғри</v>
      </c>
    </row>
    <row r="60" spans="1:78" ht="14.25" customHeight="1" x14ac:dyDescent="0.25">
      <c r="A60" s="14" t="s">
        <v>23</v>
      </c>
      <c r="B60" s="104" t="s">
        <v>208</v>
      </c>
      <c r="C60" s="104"/>
      <c r="D60" s="247" t="s">
        <v>226</v>
      </c>
      <c r="E60" s="248"/>
      <c r="F60" s="248"/>
      <c r="G60" s="248"/>
      <c r="H60" s="248"/>
      <c r="I60" s="248"/>
      <c r="J60" s="248"/>
      <c r="K60" s="248"/>
      <c r="L60" s="248"/>
      <c r="M60" s="248"/>
      <c r="N60" s="248"/>
      <c r="O60" s="249"/>
      <c r="P60" s="144">
        <f t="shared" ref="P60:P66" si="17">SUM(V60+AN60)</f>
        <v>270</v>
      </c>
      <c r="Q60" s="106"/>
      <c r="R60" s="106"/>
      <c r="S60" s="106"/>
      <c r="T60" s="106"/>
      <c r="U60" s="147"/>
      <c r="V60" s="152">
        <f t="shared" ref="V60:V68" si="18">SUM(AQ60+AT60+AW60+AZ60)*15</f>
        <v>120</v>
      </c>
      <c r="W60" s="106"/>
      <c r="X60" s="106"/>
      <c r="Y60" s="104"/>
      <c r="Z60" s="104"/>
      <c r="AA60" s="104"/>
      <c r="AB60" s="104"/>
      <c r="AC60" s="104"/>
      <c r="AD60" s="104"/>
      <c r="AE60" s="104">
        <v>120</v>
      </c>
      <c r="AF60" s="104"/>
      <c r="AG60" s="104"/>
      <c r="AH60" s="104"/>
      <c r="AI60" s="104"/>
      <c r="AJ60" s="104"/>
      <c r="AK60" s="104"/>
      <c r="AL60" s="104"/>
      <c r="AM60" s="104"/>
      <c r="AN60" s="104">
        <v>150</v>
      </c>
      <c r="AO60" s="104"/>
      <c r="AP60" s="145"/>
      <c r="AQ60" s="146">
        <v>2</v>
      </c>
      <c r="AR60" s="104"/>
      <c r="AS60" s="104"/>
      <c r="AT60" s="104">
        <v>2</v>
      </c>
      <c r="AU60" s="104"/>
      <c r="AV60" s="104"/>
      <c r="AW60" s="104">
        <v>2</v>
      </c>
      <c r="AX60" s="104"/>
      <c r="AY60" s="104"/>
      <c r="AZ60" s="104">
        <v>2</v>
      </c>
      <c r="BA60" s="104"/>
      <c r="BB60" s="145"/>
      <c r="BC60" s="146">
        <v>2</v>
      </c>
      <c r="BD60" s="104"/>
      <c r="BE60" s="104"/>
      <c r="BF60" s="104">
        <v>2</v>
      </c>
      <c r="BG60" s="104"/>
      <c r="BH60" s="104"/>
      <c r="BI60" s="104">
        <v>2</v>
      </c>
      <c r="BJ60" s="104"/>
      <c r="BK60" s="104"/>
      <c r="BL60" s="104">
        <v>3</v>
      </c>
      <c r="BM60" s="104"/>
      <c r="BN60" s="145"/>
      <c r="BO60" s="148">
        <f t="shared" ref="BO60:BO68" si="19">SUM(P60/30)</f>
        <v>9</v>
      </c>
      <c r="BP60" s="105"/>
      <c r="BQ60" s="105"/>
      <c r="BR60" s="105"/>
      <c r="BS60" s="71">
        <f t="shared" ref="BS60:BS68" si="20">SUM(V60/P60)*100</f>
        <v>44.444444444444443</v>
      </c>
      <c r="BT60" s="71">
        <f t="shared" ref="BT60:BT68" si="21">SUM(AN60/P60)*100</f>
        <v>55.555555555555557</v>
      </c>
      <c r="BU60" s="71">
        <f t="shared" ref="BU60:BU68" si="22">SUM(Y60:AJ60)</f>
        <v>120</v>
      </c>
      <c r="BV60" s="15">
        <f t="shared" ref="BV60:BV68" si="23">IF(BU60=V60,1,0)</f>
        <v>1</v>
      </c>
      <c r="BW60" s="15" t="str">
        <f t="shared" ref="BW60:BW68" si="24">IF(BV60=1,"тўғри","хато")</f>
        <v>тўғри</v>
      </c>
      <c r="BX60" s="71">
        <f t="shared" ref="BX60:BX68" si="25">SUM(BC60:BN60)</f>
        <v>9</v>
      </c>
      <c r="BY60" s="15">
        <f t="shared" ref="BY60:BY68" si="26">IF(BX60=BO60,1,0)</f>
        <v>1</v>
      </c>
      <c r="BZ60" s="15" t="str">
        <f t="shared" ref="BZ60:BZ68" si="27">IF(BY60=1,"тўғри","хато")</f>
        <v>тўғри</v>
      </c>
    </row>
    <row r="61" spans="1:78" ht="14.25" customHeight="1" x14ac:dyDescent="0.25">
      <c r="A61" s="14" t="s">
        <v>24</v>
      </c>
      <c r="B61" s="104" t="s">
        <v>209</v>
      </c>
      <c r="C61" s="104"/>
      <c r="D61" s="247" t="s">
        <v>205</v>
      </c>
      <c r="E61" s="248"/>
      <c r="F61" s="248"/>
      <c r="G61" s="248"/>
      <c r="H61" s="248"/>
      <c r="I61" s="248"/>
      <c r="J61" s="248"/>
      <c r="K61" s="248"/>
      <c r="L61" s="248"/>
      <c r="M61" s="248"/>
      <c r="N61" s="248"/>
      <c r="O61" s="249"/>
      <c r="P61" s="144">
        <f t="shared" si="17"/>
        <v>270</v>
      </c>
      <c r="Q61" s="106"/>
      <c r="R61" s="106"/>
      <c r="S61" s="106"/>
      <c r="T61" s="106"/>
      <c r="U61" s="147"/>
      <c r="V61" s="152">
        <f t="shared" si="18"/>
        <v>120</v>
      </c>
      <c r="W61" s="106"/>
      <c r="X61" s="106"/>
      <c r="Y61" s="104"/>
      <c r="Z61" s="104"/>
      <c r="AA61" s="104"/>
      <c r="AB61" s="104"/>
      <c r="AC61" s="104"/>
      <c r="AD61" s="104"/>
      <c r="AE61" s="104">
        <v>120</v>
      </c>
      <c r="AF61" s="104"/>
      <c r="AG61" s="104"/>
      <c r="AH61" s="104"/>
      <c r="AI61" s="104"/>
      <c r="AJ61" s="104"/>
      <c r="AK61" s="104"/>
      <c r="AL61" s="104"/>
      <c r="AM61" s="104"/>
      <c r="AN61" s="104">
        <v>150</v>
      </c>
      <c r="AO61" s="104"/>
      <c r="AP61" s="145"/>
      <c r="AQ61" s="146">
        <v>2</v>
      </c>
      <c r="AR61" s="104"/>
      <c r="AS61" s="104"/>
      <c r="AT61" s="104">
        <v>2</v>
      </c>
      <c r="AU61" s="104"/>
      <c r="AV61" s="104"/>
      <c r="AW61" s="104">
        <v>2</v>
      </c>
      <c r="AX61" s="104"/>
      <c r="AY61" s="104"/>
      <c r="AZ61" s="104">
        <v>2</v>
      </c>
      <c r="BA61" s="104"/>
      <c r="BB61" s="145"/>
      <c r="BC61" s="146">
        <v>2</v>
      </c>
      <c r="BD61" s="104"/>
      <c r="BE61" s="104"/>
      <c r="BF61" s="104">
        <v>2</v>
      </c>
      <c r="BG61" s="104"/>
      <c r="BH61" s="104"/>
      <c r="BI61" s="104">
        <v>2</v>
      </c>
      <c r="BJ61" s="104"/>
      <c r="BK61" s="104"/>
      <c r="BL61" s="104">
        <v>3</v>
      </c>
      <c r="BM61" s="104"/>
      <c r="BN61" s="145"/>
      <c r="BO61" s="148">
        <f t="shared" si="19"/>
        <v>9</v>
      </c>
      <c r="BP61" s="105"/>
      <c r="BQ61" s="105"/>
      <c r="BR61" s="105"/>
      <c r="BS61" s="71">
        <f t="shared" si="20"/>
        <v>44.444444444444443</v>
      </c>
      <c r="BT61" s="71">
        <f t="shared" si="21"/>
        <v>55.555555555555557</v>
      </c>
      <c r="BU61" s="71">
        <f t="shared" si="22"/>
        <v>120</v>
      </c>
      <c r="BV61" s="15">
        <f t="shared" si="23"/>
        <v>1</v>
      </c>
      <c r="BW61" s="15" t="str">
        <f t="shared" si="24"/>
        <v>тўғри</v>
      </c>
      <c r="BX61" s="71">
        <f t="shared" si="25"/>
        <v>9</v>
      </c>
      <c r="BY61" s="15">
        <f t="shared" si="26"/>
        <v>1</v>
      </c>
      <c r="BZ61" s="15" t="str">
        <f t="shared" si="27"/>
        <v>тўғри</v>
      </c>
    </row>
    <row r="62" spans="1:78" ht="14.25" customHeight="1" x14ac:dyDescent="0.25">
      <c r="A62" s="14" t="s">
        <v>25</v>
      </c>
      <c r="B62" s="104" t="s">
        <v>210</v>
      </c>
      <c r="C62" s="104"/>
      <c r="D62" s="247" t="s">
        <v>227</v>
      </c>
      <c r="E62" s="248"/>
      <c r="F62" s="248"/>
      <c r="G62" s="248"/>
      <c r="H62" s="248"/>
      <c r="I62" s="248"/>
      <c r="J62" s="248"/>
      <c r="K62" s="248"/>
      <c r="L62" s="248"/>
      <c r="M62" s="248"/>
      <c r="N62" s="248"/>
      <c r="O62" s="249"/>
      <c r="P62" s="144">
        <f t="shared" si="17"/>
        <v>150</v>
      </c>
      <c r="Q62" s="106"/>
      <c r="R62" s="106"/>
      <c r="S62" s="131"/>
      <c r="T62" s="131"/>
      <c r="U62" s="151"/>
      <c r="V62" s="152">
        <f t="shared" si="18"/>
        <v>60</v>
      </c>
      <c r="W62" s="106"/>
      <c r="X62" s="106"/>
      <c r="Y62" s="104"/>
      <c r="Z62" s="104"/>
      <c r="AA62" s="104"/>
      <c r="AB62" s="104">
        <v>60</v>
      </c>
      <c r="AC62" s="104"/>
      <c r="AD62" s="104"/>
      <c r="AE62" s="106"/>
      <c r="AF62" s="106"/>
      <c r="AG62" s="106"/>
      <c r="AH62" s="104"/>
      <c r="AI62" s="104"/>
      <c r="AJ62" s="104"/>
      <c r="AK62" s="106"/>
      <c r="AL62" s="106"/>
      <c r="AM62" s="106"/>
      <c r="AN62" s="104">
        <v>90</v>
      </c>
      <c r="AO62" s="104"/>
      <c r="AP62" s="145"/>
      <c r="AQ62" s="146"/>
      <c r="AR62" s="104"/>
      <c r="AS62" s="104"/>
      <c r="AT62" s="104">
        <v>2</v>
      </c>
      <c r="AU62" s="104"/>
      <c r="AV62" s="104"/>
      <c r="AW62" s="104">
        <v>2</v>
      </c>
      <c r="AX62" s="104"/>
      <c r="AY62" s="104"/>
      <c r="AZ62" s="104"/>
      <c r="BA62" s="104"/>
      <c r="BB62" s="145"/>
      <c r="BC62" s="146"/>
      <c r="BD62" s="104"/>
      <c r="BE62" s="104"/>
      <c r="BF62" s="104">
        <v>3</v>
      </c>
      <c r="BG62" s="104"/>
      <c r="BH62" s="104"/>
      <c r="BI62" s="104">
        <v>2</v>
      </c>
      <c r="BJ62" s="104"/>
      <c r="BK62" s="104"/>
      <c r="BL62" s="104"/>
      <c r="BM62" s="104"/>
      <c r="BN62" s="145"/>
      <c r="BO62" s="148">
        <f t="shared" si="19"/>
        <v>5</v>
      </c>
      <c r="BP62" s="105"/>
      <c r="BQ62" s="105"/>
      <c r="BR62" s="105"/>
      <c r="BS62" s="71">
        <f t="shared" si="20"/>
        <v>40</v>
      </c>
      <c r="BT62" s="71">
        <f t="shared" si="21"/>
        <v>60</v>
      </c>
      <c r="BU62" s="71">
        <f t="shared" si="22"/>
        <v>60</v>
      </c>
      <c r="BV62" s="15">
        <f t="shared" si="23"/>
        <v>1</v>
      </c>
      <c r="BW62" s="15" t="str">
        <f t="shared" si="24"/>
        <v>тўғри</v>
      </c>
      <c r="BX62" s="71">
        <f t="shared" si="25"/>
        <v>5</v>
      </c>
      <c r="BY62" s="15">
        <f t="shared" si="26"/>
        <v>1</v>
      </c>
      <c r="BZ62" s="15" t="str">
        <f t="shared" si="27"/>
        <v>тўғри</v>
      </c>
    </row>
    <row r="63" spans="1:78" ht="28.5" customHeight="1" x14ac:dyDescent="0.25">
      <c r="A63" s="14" t="s">
        <v>26</v>
      </c>
      <c r="B63" s="104" t="s">
        <v>206</v>
      </c>
      <c r="C63" s="104"/>
      <c r="D63" s="244" t="s">
        <v>184</v>
      </c>
      <c r="E63" s="245"/>
      <c r="F63" s="245"/>
      <c r="G63" s="245"/>
      <c r="H63" s="245"/>
      <c r="I63" s="245"/>
      <c r="J63" s="245"/>
      <c r="K63" s="245"/>
      <c r="L63" s="245"/>
      <c r="M63" s="245"/>
      <c r="N63" s="245"/>
      <c r="O63" s="246"/>
      <c r="P63" s="144">
        <f t="shared" si="17"/>
        <v>90</v>
      </c>
      <c r="Q63" s="106"/>
      <c r="R63" s="106"/>
      <c r="S63" s="127"/>
      <c r="T63" s="127"/>
      <c r="U63" s="208"/>
      <c r="V63" s="152">
        <f t="shared" si="18"/>
        <v>30</v>
      </c>
      <c r="W63" s="106"/>
      <c r="X63" s="106"/>
      <c r="Y63" s="104"/>
      <c r="Z63" s="104"/>
      <c r="AA63" s="104"/>
      <c r="AB63" s="104">
        <v>30</v>
      </c>
      <c r="AC63" s="104"/>
      <c r="AD63" s="104"/>
      <c r="AE63" s="104"/>
      <c r="AF63" s="104"/>
      <c r="AG63" s="104"/>
      <c r="AH63" s="104"/>
      <c r="AI63" s="104"/>
      <c r="AJ63" s="104"/>
      <c r="AK63" s="104"/>
      <c r="AL63" s="104"/>
      <c r="AM63" s="104"/>
      <c r="AN63" s="104">
        <v>60</v>
      </c>
      <c r="AO63" s="104"/>
      <c r="AP63" s="145"/>
      <c r="AQ63" s="146">
        <v>2</v>
      </c>
      <c r="AR63" s="104"/>
      <c r="AS63" s="104"/>
      <c r="AT63" s="104"/>
      <c r="AU63" s="104"/>
      <c r="AV63" s="104"/>
      <c r="AW63" s="104"/>
      <c r="AX63" s="104"/>
      <c r="AY63" s="104"/>
      <c r="AZ63" s="104"/>
      <c r="BA63" s="104"/>
      <c r="BB63" s="145"/>
      <c r="BC63" s="146">
        <v>3</v>
      </c>
      <c r="BD63" s="104"/>
      <c r="BE63" s="104"/>
      <c r="BF63" s="104"/>
      <c r="BG63" s="104"/>
      <c r="BH63" s="104"/>
      <c r="BI63" s="104"/>
      <c r="BJ63" s="104"/>
      <c r="BK63" s="104"/>
      <c r="BL63" s="104"/>
      <c r="BM63" s="104"/>
      <c r="BN63" s="145"/>
      <c r="BO63" s="148">
        <f t="shared" si="19"/>
        <v>3</v>
      </c>
      <c r="BP63" s="105"/>
      <c r="BQ63" s="105"/>
      <c r="BR63" s="105"/>
      <c r="BS63" s="71">
        <f t="shared" si="20"/>
        <v>33.333333333333329</v>
      </c>
      <c r="BT63" s="71">
        <f t="shared" si="21"/>
        <v>66.666666666666657</v>
      </c>
      <c r="BU63" s="71">
        <f t="shared" si="22"/>
        <v>30</v>
      </c>
      <c r="BV63" s="15">
        <f t="shared" si="23"/>
        <v>1</v>
      </c>
      <c r="BW63" s="15" t="str">
        <f t="shared" si="24"/>
        <v>тўғри</v>
      </c>
      <c r="BX63" s="71">
        <f t="shared" si="25"/>
        <v>3</v>
      </c>
      <c r="BY63" s="15">
        <f t="shared" si="26"/>
        <v>1</v>
      </c>
      <c r="BZ63" s="15" t="str">
        <f t="shared" si="27"/>
        <v>тўғри</v>
      </c>
    </row>
    <row r="64" spans="1:78" ht="14.25" customHeight="1" x14ac:dyDescent="0.25">
      <c r="A64" s="14" t="s">
        <v>27</v>
      </c>
      <c r="B64" s="104" t="s">
        <v>38</v>
      </c>
      <c r="C64" s="104"/>
      <c r="D64" s="247" t="s">
        <v>153</v>
      </c>
      <c r="E64" s="248"/>
      <c r="F64" s="248"/>
      <c r="G64" s="248"/>
      <c r="H64" s="248"/>
      <c r="I64" s="248"/>
      <c r="J64" s="248"/>
      <c r="K64" s="248"/>
      <c r="L64" s="248"/>
      <c r="M64" s="248"/>
      <c r="N64" s="248"/>
      <c r="O64" s="249"/>
      <c r="P64" s="144">
        <f t="shared" si="17"/>
        <v>90</v>
      </c>
      <c r="Q64" s="106"/>
      <c r="R64" s="106"/>
      <c r="S64" s="127"/>
      <c r="T64" s="127"/>
      <c r="U64" s="208"/>
      <c r="V64" s="152">
        <f t="shared" si="18"/>
        <v>30</v>
      </c>
      <c r="W64" s="106"/>
      <c r="X64" s="106"/>
      <c r="Y64" s="104">
        <v>10</v>
      </c>
      <c r="Z64" s="104"/>
      <c r="AA64" s="104"/>
      <c r="AB64" s="104">
        <v>10</v>
      </c>
      <c r="AC64" s="104"/>
      <c r="AD64" s="104"/>
      <c r="AE64" s="104"/>
      <c r="AF64" s="104"/>
      <c r="AG64" s="104"/>
      <c r="AH64" s="104">
        <v>10</v>
      </c>
      <c r="AI64" s="104"/>
      <c r="AJ64" s="104"/>
      <c r="AK64" s="104"/>
      <c r="AL64" s="104"/>
      <c r="AM64" s="104"/>
      <c r="AN64" s="104">
        <v>60</v>
      </c>
      <c r="AO64" s="104"/>
      <c r="AP64" s="145"/>
      <c r="AQ64" s="146">
        <v>2</v>
      </c>
      <c r="AR64" s="104"/>
      <c r="AS64" s="104"/>
      <c r="AT64" s="104"/>
      <c r="AU64" s="104"/>
      <c r="AV64" s="104"/>
      <c r="AW64" s="104"/>
      <c r="AX64" s="104"/>
      <c r="AY64" s="104"/>
      <c r="AZ64" s="104"/>
      <c r="BA64" s="104"/>
      <c r="BB64" s="145"/>
      <c r="BC64" s="146">
        <v>3</v>
      </c>
      <c r="BD64" s="104"/>
      <c r="BE64" s="104"/>
      <c r="BF64" s="104"/>
      <c r="BG64" s="104"/>
      <c r="BH64" s="104"/>
      <c r="BI64" s="104"/>
      <c r="BJ64" s="104"/>
      <c r="BK64" s="104"/>
      <c r="BL64" s="104"/>
      <c r="BM64" s="104"/>
      <c r="BN64" s="145"/>
      <c r="BO64" s="148">
        <f t="shared" si="19"/>
        <v>3</v>
      </c>
      <c r="BP64" s="105"/>
      <c r="BQ64" s="105"/>
      <c r="BR64" s="105"/>
      <c r="BS64" s="71">
        <f t="shared" si="20"/>
        <v>33.333333333333329</v>
      </c>
      <c r="BT64" s="71">
        <f t="shared" si="21"/>
        <v>66.666666666666657</v>
      </c>
      <c r="BU64" s="71">
        <f t="shared" si="22"/>
        <v>30</v>
      </c>
      <c r="BV64" s="15">
        <f t="shared" si="23"/>
        <v>1</v>
      </c>
      <c r="BW64" s="15" t="str">
        <f t="shared" si="24"/>
        <v>тўғри</v>
      </c>
      <c r="BX64" s="71">
        <f t="shared" si="25"/>
        <v>3</v>
      </c>
      <c r="BY64" s="15">
        <f t="shared" si="26"/>
        <v>1</v>
      </c>
      <c r="BZ64" s="15" t="str">
        <f t="shared" si="27"/>
        <v>тўғри</v>
      </c>
    </row>
    <row r="65" spans="1:78" ht="14.25" customHeight="1" x14ac:dyDescent="0.25">
      <c r="A65" s="14" t="s">
        <v>28</v>
      </c>
      <c r="B65" s="104" t="s">
        <v>34</v>
      </c>
      <c r="C65" s="104"/>
      <c r="D65" s="247" t="s">
        <v>151</v>
      </c>
      <c r="E65" s="248"/>
      <c r="F65" s="248"/>
      <c r="G65" s="248"/>
      <c r="H65" s="248"/>
      <c r="I65" s="248"/>
      <c r="J65" s="248"/>
      <c r="K65" s="248"/>
      <c r="L65" s="248"/>
      <c r="M65" s="248"/>
      <c r="N65" s="248"/>
      <c r="O65" s="249"/>
      <c r="P65" s="144">
        <f t="shared" si="17"/>
        <v>90</v>
      </c>
      <c r="Q65" s="106"/>
      <c r="R65" s="106"/>
      <c r="S65" s="127"/>
      <c r="T65" s="127"/>
      <c r="U65" s="208"/>
      <c r="V65" s="152">
        <f t="shared" si="18"/>
        <v>30</v>
      </c>
      <c r="W65" s="106"/>
      <c r="X65" s="106"/>
      <c r="Y65" s="104">
        <v>10</v>
      </c>
      <c r="Z65" s="104"/>
      <c r="AA65" s="104"/>
      <c r="AB65" s="104">
        <v>10</v>
      </c>
      <c r="AC65" s="104"/>
      <c r="AD65" s="104"/>
      <c r="AE65" s="104"/>
      <c r="AF65" s="104"/>
      <c r="AG65" s="104"/>
      <c r="AH65" s="104">
        <v>10</v>
      </c>
      <c r="AI65" s="104"/>
      <c r="AJ65" s="104"/>
      <c r="AK65" s="104"/>
      <c r="AL65" s="104"/>
      <c r="AM65" s="104"/>
      <c r="AN65" s="104">
        <v>60</v>
      </c>
      <c r="AO65" s="104"/>
      <c r="AP65" s="145"/>
      <c r="AQ65" s="146">
        <v>2</v>
      </c>
      <c r="AR65" s="104"/>
      <c r="AS65" s="104"/>
      <c r="AT65" s="104"/>
      <c r="AU65" s="104"/>
      <c r="AV65" s="104"/>
      <c r="AW65" s="104"/>
      <c r="AX65" s="104"/>
      <c r="AY65" s="104"/>
      <c r="AZ65" s="104"/>
      <c r="BA65" s="104"/>
      <c r="BB65" s="145"/>
      <c r="BC65" s="146">
        <v>3</v>
      </c>
      <c r="BD65" s="104"/>
      <c r="BE65" s="104"/>
      <c r="BF65" s="104"/>
      <c r="BG65" s="104"/>
      <c r="BH65" s="104"/>
      <c r="BI65" s="104"/>
      <c r="BJ65" s="104"/>
      <c r="BK65" s="104"/>
      <c r="BL65" s="104"/>
      <c r="BM65" s="104"/>
      <c r="BN65" s="145"/>
      <c r="BO65" s="148">
        <f t="shared" si="19"/>
        <v>3</v>
      </c>
      <c r="BP65" s="105"/>
      <c r="BQ65" s="105"/>
      <c r="BR65" s="105"/>
      <c r="BS65" s="71">
        <f t="shared" si="20"/>
        <v>33.333333333333329</v>
      </c>
      <c r="BT65" s="71">
        <f t="shared" si="21"/>
        <v>66.666666666666657</v>
      </c>
      <c r="BU65" s="71">
        <f t="shared" si="22"/>
        <v>30</v>
      </c>
      <c r="BV65" s="15">
        <f t="shared" si="23"/>
        <v>1</v>
      </c>
      <c r="BW65" s="15" t="str">
        <f t="shared" si="24"/>
        <v>тўғри</v>
      </c>
      <c r="BX65" s="71">
        <f t="shared" si="25"/>
        <v>3</v>
      </c>
      <c r="BY65" s="15">
        <f t="shared" si="26"/>
        <v>1</v>
      </c>
      <c r="BZ65" s="15" t="str">
        <f t="shared" si="27"/>
        <v>тўғри</v>
      </c>
    </row>
    <row r="66" spans="1:78" ht="14.25" customHeight="1" x14ac:dyDescent="0.25">
      <c r="A66" s="14" t="s">
        <v>29</v>
      </c>
      <c r="B66" s="104" t="s">
        <v>37</v>
      </c>
      <c r="C66" s="104"/>
      <c r="D66" s="247" t="s">
        <v>152</v>
      </c>
      <c r="E66" s="248"/>
      <c r="F66" s="248"/>
      <c r="G66" s="248"/>
      <c r="H66" s="248"/>
      <c r="I66" s="248"/>
      <c r="J66" s="248"/>
      <c r="K66" s="248"/>
      <c r="L66" s="248"/>
      <c r="M66" s="248"/>
      <c r="N66" s="248"/>
      <c r="O66" s="249"/>
      <c r="P66" s="144">
        <f t="shared" si="17"/>
        <v>90</v>
      </c>
      <c r="Q66" s="106"/>
      <c r="R66" s="106"/>
      <c r="S66" s="127"/>
      <c r="T66" s="127"/>
      <c r="U66" s="208"/>
      <c r="V66" s="152">
        <f t="shared" si="18"/>
        <v>30</v>
      </c>
      <c r="W66" s="106"/>
      <c r="X66" s="106"/>
      <c r="Y66" s="104">
        <v>10</v>
      </c>
      <c r="Z66" s="104"/>
      <c r="AA66" s="104"/>
      <c r="AB66" s="104">
        <v>10</v>
      </c>
      <c r="AC66" s="104"/>
      <c r="AD66" s="104"/>
      <c r="AE66" s="104"/>
      <c r="AF66" s="104"/>
      <c r="AG66" s="104"/>
      <c r="AH66" s="104">
        <v>10</v>
      </c>
      <c r="AI66" s="104"/>
      <c r="AJ66" s="104"/>
      <c r="AK66" s="104"/>
      <c r="AL66" s="104"/>
      <c r="AM66" s="104"/>
      <c r="AN66" s="104">
        <v>60</v>
      </c>
      <c r="AO66" s="104"/>
      <c r="AP66" s="145"/>
      <c r="AQ66" s="146">
        <v>2</v>
      </c>
      <c r="AR66" s="104"/>
      <c r="AS66" s="104"/>
      <c r="AT66" s="104"/>
      <c r="AU66" s="104"/>
      <c r="AV66" s="104"/>
      <c r="AW66" s="104"/>
      <c r="AX66" s="104"/>
      <c r="AY66" s="104"/>
      <c r="AZ66" s="104"/>
      <c r="BA66" s="104"/>
      <c r="BB66" s="145"/>
      <c r="BC66" s="146">
        <v>3</v>
      </c>
      <c r="BD66" s="104"/>
      <c r="BE66" s="104"/>
      <c r="BF66" s="104"/>
      <c r="BG66" s="104"/>
      <c r="BH66" s="104"/>
      <c r="BI66" s="104"/>
      <c r="BJ66" s="104"/>
      <c r="BK66" s="104"/>
      <c r="BL66" s="104"/>
      <c r="BM66" s="104"/>
      <c r="BN66" s="145"/>
      <c r="BO66" s="148">
        <f t="shared" si="19"/>
        <v>3</v>
      </c>
      <c r="BP66" s="105"/>
      <c r="BQ66" s="105"/>
      <c r="BR66" s="105"/>
      <c r="BS66" s="71">
        <f t="shared" si="20"/>
        <v>33.333333333333329</v>
      </c>
      <c r="BT66" s="71">
        <f t="shared" si="21"/>
        <v>66.666666666666657</v>
      </c>
      <c r="BU66" s="71">
        <f t="shared" si="22"/>
        <v>30</v>
      </c>
      <c r="BV66" s="15">
        <f t="shared" si="23"/>
        <v>1</v>
      </c>
      <c r="BW66" s="15" t="str">
        <f t="shared" si="24"/>
        <v>тўғри</v>
      </c>
      <c r="BX66" s="71">
        <f t="shared" si="25"/>
        <v>3</v>
      </c>
      <c r="BY66" s="15">
        <f t="shared" si="26"/>
        <v>1</v>
      </c>
      <c r="BZ66" s="15" t="str">
        <f t="shared" si="27"/>
        <v>тўғри</v>
      </c>
    </row>
    <row r="67" spans="1:78" ht="14.25" customHeight="1" x14ac:dyDescent="0.25">
      <c r="A67" s="14" t="s">
        <v>30</v>
      </c>
      <c r="B67" s="104" t="s">
        <v>47</v>
      </c>
      <c r="C67" s="104"/>
      <c r="D67" s="247" t="s">
        <v>156</v>
      </c>
      <c r="E67" s="248"/>
      <c r="F67" s="248"/>
      <c r="G67" s="248"/>
      <c r="H67" s="248"/>
      <c r="I67" s="248"/>
      <c r="J67" s="248"/>
      <c r="K67" s="248"/>
      <c r="L67" s="248"/>
      <c r="M67" s="248"/>
      <c r="N67" s="248"/>
      <c r="O67" s="249"/>
      <c r="P67" s="144">
        <f>SUM(V67+AN67)</f>
        <v>90</v>
      </c>
      <c r="Q67" s="106"/>
      <c r="R67" s="106"/>
      <c r="S67" s="131"/>
      <c r="T67" s="131"/>
      <c r="U67" s="151"/>
      <c r="V67" s="152">
        <f t="shared" si="18"/>
        <v>30</v>
      </c>
      <c r="W67" s="106"/>
      <c r="X67" s="106"/>
      <c r="Y67" s="104">
        <v>16</v>
      </c>
      <c r="Z67" s="104"/>
      <c r="AA67" s="104"/>
      <c r="AB67" s="104">
        <v>6</v>
      </c>
      <c r="AC67" s="104"/>
      <c r="AD67" s="104"/>
      <c r="AE67" s="104"/>
      <c r="AF67" s="104"/>
      <c r="AG67" s="104"/>
      <c r="AH67" s="104">
        <v>8</v>
      </c>
      <c r="AI67" s="104"/>
      <c r="AJ67" s="104"/>
      <c r="AK67" s="106"/>
      <c r="AL67" s="106"/>
      <c r="AM67" s="106"/>
      <c r="AN67" s="104">
        <v>60</v>
      </c>
      <c r="AO67" s="104"/>
      <c r="AP67" s="145"/>
      <c r="AQ67" s="146">
        <v>2</v>
      </c>
      <c r="AR67" s="104"/>
      <c r="AS67" s="104"/>
      <c r="AT67" s="104"/>
      <c r="AU67" s="104"/>
      <c r="AV67" s="104"/>
      <c r="AW67" s="104"/>
      <c r="AX67" s="104"/>
      <c r="AY67" s="104"/>
      <c r="AZ67" s="104"/>
      <c r="BA67" s="104"/>
      <c r="BB67" s="145"/>
      <c r="BC67" s="146">
        <v>3</v>
      </c>
      <c r="BD67" s="104"/>
      <c r="BE67" s="104"/>
      <c r="BF67" s="104"/>
      <c r="BG67" s="104"/>
      <c r="BH67" s="104"/>
      <c r="BI67" s="104"/>
      <c r="BJ67" s="104"/>
      <c r="BK67" s="104"/>
      <c r="BL67" s="104"/>
      <c r="BM67" s="104"/>
      <c r="BN67" s="145"/>
      <c r="BO67" s="148">
        <f t="shared" si="19"/>
        <v>3</v>
      </c>
      <c r="BP67" s="105"/>
      <c r="BQ67" s="105"/>
      <c r="BR67" s="105"/>
      <c r="BS67" s="71">
        <f t="shared" si="20"/>
        <v>33.333333333333329</v>
      </c>
      <c r="BT67" s="71">
        <f t="shared" si="21"/>
        <v>66.666666666666657</v>
      </c>
      <c r="BU67" s="71">
        <f t="shared" si="22"/>
        <v>30</v>
      </c>
      <c r="BV67" s="15">
        <f t="shared" si="23"/>
        <v>1</v>
      </c>
      <c r="BW67" s="15" t="str">
        <f t="shared" si="24"/>
        <v>тўғри</v>
      </c>
      <c r="BX67" s="71">
        <f t="shared" si="25"/>
        <v>3</v>
      </c>
      <c r="BY67" s="15">
        <f t="shared" si="26"/>
        <v>1</v>
      </c>
      <c r="BZ67" s="15" t="str">
        <f t="shared" si="27"/>
        <v>тўғри</v>
      </c>
    </row>
    <row r="68" spans="1:78" ht="14.25" customHeight="1" x14ac:dyDescent="0.25">
      <c r="A68" s="14" t="s">
        <v>187</v>
      </c>
      <c r="B68" s="104" t="s">
        <v>35</v>
      </c>
      <c r="C68" s="104"/>
      <c r="D68" s="247" t="s">
        <v>157</v>
      </c>
      <c r="E68" s="248"/>
      <c r="F68" s="248"/>
      <c r="G68" s="248"/>
      <c r="H68" s="248"/>
      <c r="I68" s="248"/>
      <c r="J68" s="248"/>
      <c r="K68" s="248"/>
      <c r="L68" s="248"/>
      <c r="M68" s="248"/>
      <c r="N68" s="248"/>
      <c r="O68" s="249"/>
      <c r="P68" s="144">
        <f>SUM(V68+AN68)</f>
        <v>150</v>
      </c>
      <c r="Q68" s="106"/>
      <c r="R68" s="106"/>
      <c r="S68" s="131"/>
      <c r="T68" s="131"/>
      <c r="U68" s="151"/>
      <c r="V68" s="152">
        <f t="shared" si="18"/>
        <v>60</v>
      </c>
      <c r="W68" s="106"/>
      <c r="X68" s="106"/>
      <c r="Y68" s="104">
        <v>32</v>
      </c>
      <c r="Z68" s="104"/>
      <c r="AA68" s="104"/>
      <c r="AB68" s="104">
        <v>12</v>
      </c>
      <c r="AC68" s="104"/>
      <c r="AD68" s="104"/>
      <c r="AE68" s="104"/>
      <c r="AF68" s="104"/>
      <c r="AG68" s="104"/>
      <c r="AH68" s="104">
        <v>16</v>
      </c>
      <c r="AI68" s="104"/>
      <c r="AJ68" s="104"/>
      <c r="AK68" s="106"/>
      <c r="AL68" s="106"/>
      <c r="AM68" s="106"/>
      <c r="AN68" s="104">
        <v>90</v>
      </c>
      <c r="AO68" s="104"/>
      <c r="AP68" s="145"/>
      <c r="AQ68" s="146"/>
      <c r="AR68" s="104"/>
      <c r="AS68" s="104"/>
      <c r="AT68" s="104"/>
      <c r="AU68" s="104"/>
      <c r="AV68" s="104"/>
      <c r="AW68" s="104">
        <v>2</v>
      </c>
      <c r="AX68" s="104"/>
      <c r="AY68" s="104"/>
      <c r="AZ68" s="104">
        <v>2</v>
      </c>
      <c r="BA68" s="104"/>
      <c r="BB68" s="145"/>
      <c r="BC68" s="146"/>
      <c r="BD68" s="104"/>
      <c r="BE68" s="104"/>
      <c r="BF68" s="104"/>
      <c r="BG68" s="104"/>
      <c r="BH68" s="104"/>
      <c r="BI68" s="104">
        <v>3</v>
      </c>
      <c r="BJ68" s="104"/>
      <c r="BK68" s="104"/>
      <c r="BL68" s="104">
        <v>2</v>
      </c>
      <c r="BM68" s="104"/>
      <c r="BN68" s="145"/>
      <c r="BO68" s="148">
        <f t="shared" si="19"/>
        <v>5</v>
      </c>
      <c r="BP68" s="105"/>
      <c r="BQ68" s="105"/>
      <c r="BR68" s="105"/>
      <c r="BS68" s="71">
        <f t="shared" si="20"/>
        <v>40</v>
      </c>
      <c r="BT68" s="71">
        <f t="shared" si="21"/>
        <v>60</v>
      </c>
      <c r="BU68" s="71">
        <f t="shared" si="22"/>
        <v>60</v>
      </c>
      <c r="BV68" s="15">
        <f t="shared" si="23"/>
        <v>1</v>
      </c>
      <c r="BW68" s="15" t="str">
        <f t="shared" si="24"/>
        <v>тўғри</v>
      </c>
      <c r="BX68" s="71">
        <f t="shared" si="25"/>
        <v>5</v>
      </c>
      <c r="BY68" s="15">
        <f t="shared" si="26"/>
        <v>1</v>
      </c>
      <c r="BZ68" s="15" t="str">
        <f t="shared" si="27"/>
        <v>тўғри</v>
      </c>
    </row>
    <row r="69" spans="1:78" ht="14.25" customHeight="1" x14ac:dyDescent="0.25">
      <c r="A69" s="72" t="s">
        <v>9</v>
      </c>
      <c r="B69" s="104"/>
      <c r="C69" s="104"/>
      <c r="D69" s="182" t="s">
        <v>112</v>
      </c>
      <c r="E69" s="182"/>
      <c r="F69" s="182"/>
      <c r="G69" s="182"/>
      <c r="H69" s="182"/>
      <c r="I69" s="182"/>
      <c r="J69" s="182"/>
      <c r="K69" s="182"/>
      <c r="L69" s="182"/>
      <c r="M69" s="182"/>
      <c r="N69" s="182"/>
      <c r="O69" s="183"/>
      <c r="P69" s="144">
        <f t="shared" ref="P69" si="28">SUM(V69+AN69)</f>
        <v>330</v>
      </c>
      <c r="Q69" s="106"/>
      <c r="R69" s="106"/>
      <c r="S69" s="131">
        <f>P69/3600*100</f>
        <v>9.1666666666666661</v>
      </c>
      <c r="T69" s="131"/>
      <c r="U69" s="151"/>
      <c r="V69" s="152">
        <f t="shared" ref="V69:V70" si="29">SUM(AQ69+AT69+AW69+AZ69)*15</f>
        <v>120</v>
      </c>
      <c r="W69" s="106"/>
      <c r="X69" s="106"/>
      <c r="Y69" s="106">
        <f>SUM(Y70:AA78)</f>
        <v>10</v>
      </c>
      <c r="Z69" s="106"/>
      <c r="AA69" s="106"/>
      <c r="AB69" s="106">
        <f>SUM(AB70:AD78)</f>
        <v>100</v>
      </c>
      <c r="AC69" s="106"/>
      <c r="AD69" s="106"/>
      <c r="AE69" s="106">
        <f>SUM(AE70:AG78)</f>
        <v>0</v>
      </c>
      <c r="AF69" s="106"/>
      <c r="AG69" s="106"/>
      <c r="AH69" s="106">
        <f>SUM(AH70:AJ78)</f>
        <v>10</v>
      </c>
      <c r="AI69" s="106"/>
      <c r="AJ69" s="106"/>
      <c r="AK69" s="106">
        <f>SUM(AK70:AM78)</f>
        <v>0</v>
      </c>
      <c r="AL69" s="106"/>
      <c r="AM69" s="106"/>
      <c r="AN69" s="106">
        <f>SUM(AN70:AP78)</f>
        <v>210</v>
      </c>
      <c r="AO69" s="106"/>
      <c r="AP69" s="147"/>
      <c r="AQ69" s="144">
        <f>SUM(AQ70:AS78)</f>
        <v>2</v>
      </c>
      <c r="AR69" s="106"/>
      <c r="AS69" s="106"/>
      <c r="AT69" s="106">
        <f>SUM(AT70:AV78)</f>
        <v>4</v>
      </c>
      <c r="AU69" s="106"/>
      <c r="AV69" s="106"/>
      <c r="AW69" s="106">
        <f>SUM(AW70:AY78)</f>
        <v>2</v>
      </c>
      <c r="AX69" s="106"/>
      <c r="AY69" s="106"/>
      <c r="AZ69" s="106">
        <f>SUM(AZ70:BB78)</f>
        <v>0</v>
      </c>
      <c r="BA69" s="106"/>
      <c r="BB69" s="147"/>
      <c r="BC69" s="144">
        <f>SUM(BC70:BE78)</f>
        <v>2</v>
      </c>
      <c r="BD69" s="106"/>
      <c r="BE69" s="106"/>
      <c r="BF69" s="106">
        <f>SUM(BF70:BH78)</f>
        <v>6</v>
      </c>
      <c r="BG69" s="106"/>
      <c r="BH69" s="106"/>
      <c r="BI69" s="106">
        <f>SUM(BI70:BK78)</f>
        <v>3</v>
      </c>
      <c r="BJ69" s="106"/>
      <c r="BK69" s="106"/>
      <c r="BL69" s="106">
        <f>SUM(BL70:BN78)</f>
        <v>0</v>
      </c>
      <c r="BM69" s="106"/>
      <c r="BN69" s="147"/>
      <c r="BO69" s="148">
        <f t="shared" ref="BO69:BO78" si="30">SUM(P69/30)</f>
        <v>11</v>
      </c>
      <c r="BP69" s="105"/>
      <c r="BQ69" s="105"/>
      <c r="BR69" s="105"/>
      <c r="BS69" s="71">
        <f t="shared" ref="BS69:BS80" si="31">SUM(V69/P69)*100</f>
        <v>36.363636363636367</v>
      </c>
      <c r="BT69" s="71">
        <f t="shared" ref="BT69:BT84" si="32">SUM(AN69/P69)*100</f>
        <v>63.636363636363633</v>
      </c>
      <c r="BU69" s="71">
        <f t="shared" ref="BU69:BU79" si="33">SUM(Y69:AJ69)</f>
        <v>120</v>
      </c>
      <c r="BV69" s="15">
        <f t="shared" ref="BV69:BV79" si="34">IF(BU69=V69,1,0)</f>
        <v>1</v>
      </c>
      <c r="BW69" s="15" t="str">
        <f t="shared" ref="BW69:BW79" si="35">IF(BV69=1,"тўғри","хато")</f>
        <v>тўғри</v>
      </c>
      <c r="BX69" s="71">
        <f t="shared" ref="BX69:BX84" si="36">SUM(BC69:BN69)</f>
        <v>11</v>
      </c>
      <c r="BY69" s="15">
        <f t="shared" ref="BY69:BY84" si="37">IF(BX69=BO69,1,0)</f>
        <v>1</v>
      </c>
      <c r="BZ69" s="15" t="str">
        <f t="shared" ref="BZ69:BZ84" si="38">IF(BY69=1,"тўғри","хато")</f>
        <v>тўғри</v>
      </c>
    </row>
    <row r="70" spans="1:78" ht="14.25" customHeight="1" x14ac:dyDescent="0.25">
      <c r="A70" s="85" t="s">
        <v>10</v>
      </c>
      <c r="B70" s="104"/>
      <c r="C70" s="104"/>
      <c r="D70" s="178" t="s">
        <v>130</v>
      </c>
      <c r="E70" s="178"/>
      <c r="F70" s="178"/>
      <c r="G70" s="178"/>
      <c r="H70" s="178"/>
      <c r="I70" s="178"/>
      <c r="J70" s="178"/>
      <c r="K70" s="178"/>
      <c r="L70" s="178"/>
      <c r="M70" s="178"/>
      <c r="N70" s="178"/>
      <c r="O70" s="179"/>
      <c r="P70" s="144">
        <f>SUM(V70+AN70)</f>
        <v>90</v>
      </c>
      <c r="Q70" s="106"/>
      <c r="R70" s="106"/>
      <c r="S70" s="131"/>
      <c r="T70" s="131"/>
      <c r="U70" s="151"/>
      <c r="V70" s="152">
        <f t="shared" si="29"/>
        <v>30</v>
      </c>
      <c r="W70" s="106"/>
      <c r="X70" s="106"/>
      <c r="Y70" s="104"/>
      <c r="Z70" s="104"/>
      <c r="AA70" s="104"/>
      <c r="AB70" s="104">
        <v>30</v>
      </c>
      <c r="AC70" s="104"/>
      <c r="AD70" s="104"/>
      <c r="AE70" s="104"/>
      <c r="AF70" s="104"/>
      <c r="AG70" s="104"/>
      <c r="AH70" s="104"/>
      <c r="AI70" s="104"/>
      <c r="AJ70" s="104"/>
      <c r="AK70" s="104"/>
      <c r="AL70" s="104"/>
      <c r="AM70" s="104"/>
      <c r="AN70" s="104">
        <v>60</v>
      </c>
      <c r="AO70" s="104"/>
      <c r="AP70" s="145"/>
      <c r="AQ70" s="146"/>
      <c r="AR70" s="104"/>
      <c r="AS70" s="104"/>
      <c r="AT70" s="104">
        <v>2</v>
      </c>
      <c r="AU70" s="104"/>
      <c r="AV70" s="104"/>
      <c r="AW70" s="104"/>
      <c r="AX70" s="104"/>
      <c r="AY70" s="104"/>
      <c r="AZ70" s="104"/>
      <c r="BA70" s="104"/>
      <c r="BB70" s="145"/>
      <c r="BC70" s="146"/>
      <c r="BD70" s="104"/>
      <c r="BE70" s="104"/>
      <c r="BF70" s="104">
        <v>3</v>
      </c>
      <c r="BG70" s="104"/>
      <c r="BH70" s="104"/>
      <c r="BI70" s="104"/>
      <c r="BJ70" s="104"/>
      <c r="BK70" s="104"/>
      <c r="BL70" s="104"/>
      <c r="BM70" s="104"/>
      <c r="BN70" s="145"/>
      <c r="BO70" s="148">
        <f t="shared" si="30"/>
        <v>3</v>
      </c>
      <c r="BP70" s="105"/>
      <c r="BQ70" s="105"/>
      <c r="BR70" s="105"/>
      <c r="BS70" s="71">
        <f t="shared" ref="BS70:BS78" si="39">SUM(V70/P70)*100</f>
        <v>33.333333333333329</v>
      </c>
      <c r="BT70" s="71">
        <f t="shared" ref="BT70:BT78" si="40">SUM(AN70/P70)*100</f>
        <v>66.666666666666657</v>
      </c>
      <c r="BU70" s="71">
        <f t="shared" ref="BU70:BU78" si="41">SUM(Y70:AJ70)</f>
        <v>30</v>
      </c>
      <c r="BV70" s="15">
        <f t="shared" si="34"/>
        <v>1</v>
      </c>
      <c r="BW70" s="15" t="str">
        <f t="shared" si="35"/>
        <v>тўғри</v>
      </c>
      <c r="BX70" s="71">
        <f t="shared" si="36"/>
        <v>3</v>
      </c>
      <c r="BY70" s="15">
        <f t="shared" si="37"/>
        <v>1</v>
      </c>
      <c r="BZ70" s="15" t="str">
        <f t="shared" si="38"/>
        <v>тўғри</v>
      </c>
    </row>
    <row r="71" spans="1:78" ht="14.25" customHeight="1" x14ac:dyDescent="0.25">
      <c r="A71" s="71">
        <v>1</v>
      </c>
      <c r="B71" s="104" t="s">
        <v>214</v>
      </c>
      <c r="C71" s="104"/>
      <c r="D71" s="149" t="s">
        <v>136</v>
      </c>
      <c r="E71" s="149"/>
      <c r="F71" s="149"/>
      <c r="G71" s="149"/>
      <c r="H71" s="149"/>
      <c r="I71" s="149"/>
      <c r="J71" s="149"/>
      <c r="K71" s="149"/>
      <c r="L71" s="149"/>
      <c r="M71" s="149"/>
      <c r="N71" s="149"/>
      <c r="O71" s="150"/>
      <c r="P71" s="144"/>
      <c r="Q71" s="106"/>
      <c r="R71" s="106"/>
      <c r="S71" s="131"/>
      <c r="T71" s="131"/>
      <c r="U71" s="151"/>
      <c r="V71" s="152"/>
      <c r="W71" s="106"/>
      <c r="X71" s="106"/>
      <c r="Y71" s="104"/>
      <c r="Z71" s="104"/>
      <c r="AA71" s="104"/>
      <c r="AB71" s="104"/>
      <c r="AC71" s="104"/>
      <c r="AD71" s="104"/>
      <c r="AE71" s="104"/>
      <c r="AF71" s="104"/>
      <c r="AG71" s="104"/>
      <c r="AH71" s="104"/>
      <c r="AI71" s="104"/>
      <c r="AJ71" s="104"/>
      <c r="AK71" s="104"/>
      <c r="AL71" s="104"/>
      <c r="AM71" s="104"/>
      <c r="AN71" s="104"/>
      <c r="AO71" s="104"/>
      <c r="AP71" s="145"/>
      <c r="AQ71" s="146"/>
      <c r="AR71" s="104"/>
      <c r="AS71" s="104"/>
      <c r="AT71" s="104"/>
      <c r="AU71" s="104"/>
      <c r="AV71" s="104"/>
      <c r="AW71" s="104"/>
      <c r="AX71" s="104"/>
      <c r="AY71" s="104"/>
      <c r="AZ71" s="104"/>
      <c r="BA71" s="104"/>
      <c r="BB71" s="145"/>
      <c r="BC71" s="146"/>
      <c r="BD71" s="104"/>
      <c r="BE71" s="104"/>
      <c r="BF71" s="104"/>
      <c r="BG71" s="104"/>
      <c r="BH71" s="104"/>
      <c r="BI71" s="104"/>
      <c r="BJ71" s="104"/>
      <c r="BK71" s="104"/>
      <c r="BL71" s="104"/>
      <c r="BM71" s="104"/>
      <c r="BN71" s="145"/>
      <c r="BO71" s="148">
        <f t="shared" si="30"/>
        <v>0</v>
      </c>
      <c r="BP71" s="105"/>
      <c r="BQ71" s="105"/>
      <c r="BR71" s="105"/>
      <c r="BS71" s="71" t="e">
        <f t="shared" si="39"/>
        <v>#DIV/0!</v>
      </c>
      <c r="BT71" s="71" t="e">
        <f t="shared" si="40"/>
        <v>#DIV/0!</v>
      </c>
      <c r="BU71" s="71">
        <f t="shared" si="41"/>
        <v>0</v>
      </c>
      <c r="BV71" s="15">
        <f t="shared" si="34"/>
        <v>1</v>
      </c>
      <c r="BW71" s="15" t="str">
        <f t="shared" si="35"/>
        <v>тўғри</v>
      </c>
      <c r="BX71" s="71">
        <f t="shared" si="36"/>
        <v>0</v>
      </c>
      <c r="BY71" s="15">
        <f t="shared" si="37"/>
        <v>1</v>
      </c>
      <c r="BZ71" s="15" t="str">
        <f t="shared" si="38"/>
        <v>тўғри</v>
      </c>
    </row>
    <row r="72" spans="1:78" ht="14.25" customHeight="1" x14ac:dyDescent="0.25">
      <c r="A72" s="71">
        <v>2</v>
      </c>
      <c r="B72" s="104" t="s">
        <v>215</v>
      </c>
      <c r="C72" s="104"/>
      <c r="D72" s="149" t="s">
        <v>137</v>
      </c>
      <c r="E72" s="149"/>
      <c r="F72" s="149"/>
      <c r="G72" s="149"/>
      <c r="H72" s="149"/>
      <c r="I72" s="149"/>
      <c r="J72" s="149"/>
      <c r="K72" s="149"/>
      <c r="L72" s="149"/>
      <c r="M72" s="149"/>
      <c r="N72" s="149"/>
      <c r="O72" s="150"/>
      <c r="P72" s="144"/>
      <c r="Q72" s="106"/>
      <c r="R72" s="106"/>
      <c r="S72" s="131"/>
      <c r="T72" s="131"/>
      <c r="U72" s="151"/>
      <c r="V72" s="152"/>
      <c r="W72" s="106"/>
      <c r="X72" s="106"/>
      <c r="Y72" s="104"/>
      <c r="Z72" s="104"/>
      <c r="AA72" s="104"/>
      <c r="AB72" s="104"/>
      <c r="AC72" s="104"/>
      <c r="AD72" s="104"/>
      <c r="AE72" s="104"/>
      <c r="AF72" s="104"/>
      <c r="AG72" s="104"/>
      <c r="AH72" s="104"/>
      <c r="AI72" s="104"/>
      <c r="AJ72" s="104"/>
      <c r="AK72" s="104"/>
      <c r="AL72" s="104"/>
      <c r="AM72" s="104"/>
      <c r="AN72" s="104"/>
      <c r="AO72" s="104"/>
      <c r="AP72" s="145"/>
      <c r="AQ72" s="146"/>
      <c r="AR72" s="104"/>
      <c r="AS72" s="104"/>
      <c r="AT72" s="104"/>
      <c r="AU72" s="104"/>
      <c r="AV72" s="104"/>
      <c r="AW72" s="104"/>
      <c r="AX72" s="104"/>
      <c r="AY72" s="104"/>
      <c r="AZ72" s="104"/>
      <c r="BA72" s="104"/>
      <c r="BB72" s="145"/>
      <c r="BC72" s="146"/>
      <c r="BD72" s="104"/>
      <c r="BE72" s="104"/>
      <c r="BF72" s="104"/>
      <c r="BG72" s="104"/>
      <c r="BH72" s="104"/>
      <c r="BI72" s="104"/>
      <c r="BJ72" s="104"/>
      <c r="BK72" s="104"/>
      <c r="BL72" s="104"/>
      <c r="BM72" s="104"/>
      <c r="BN72" s="145"/>
      <c r="BO72" s="148">
        <f t="shared" si="30"/>
        <v>0</v>
      </c>
      <c r="BP72" s="105"/>
      <c r="BQ72" s="105"/>
      <c r="BR72" s="105"/>
      <c r="BS72" s="71" t="e">
        <f t="shared" si="39"/>
        <v>#DIV/0!</v>
      </c>
      <c r="BT72" s="71" t="e">
        <f t="shared" si="40"/>
        <v>#DIV/0!</v>
      </c>
      <c r="BU72" s="71">
        <f t="shared" si="41"/>
        <v>0</v>
      </c>
      <c r="BV72" s="15">
        <f t="shared" si="34"/>
        <v>1</v>
      </c>
      <c r="BW72" s="15" t="str">
        <f t="shared" si="35"/>
        <v>тўғри</v>
      </c>
      <c r="BX72" s="71">
        <f t="shared" si="36"/>
        <v>0</v>
      </c>
      <c r="BY72" s="15">
        <f t="shared" si="37"/>
        <v>1</v>
      </c>
      <c r="BZ72" s="15" t="str">
        <f t="shared" si="38"/>
        <v>тўғри</v>
      </c>
    </row>
    <row r="73" spans="1:78" ht="14.25" customHeight="1" x14ac:dyDescent="0.25">
      <c r="A73" s="85" t="s">
        <v>11</v>
      </c>
      <c r="B73" s="104"/>
      <c r="C73" s="104"/>
      <c r="D73" s="178" t="s">
        <v>130</v>
      </c>
      <c r="E73" s="178"/>
      <c r="F73" s="178"/>
      <c r="G73" s="178"/>
      <c r="H73" s="178"/>
      <c r="I73" s="178"/>
      <c r="J73" s="178"/>
      <c r="K73" s="178"/>
      <c r="L73" s="178"/>
      <c r="M73" s="178"/>
      <c r="N73" s="178"/>
      <c r="O73" s="179"/>
      <c r="P73" s="144">
        <f t="shared" ref="P73" si="42">SUM(V73+AN73)</f>
        <v>150</v>
      </c>
      <c r="Q73" s="106"/>
      <c r="R73" s="106"/>
      <c r="S73" s="131"/>
      <c r="T73" s="131"/>
      <c r="U73" s="151"/>
      <c r="V73" s="152">
        <f t="shared" ref="V73" si="43">SUM(AQ73+AT73+AW73+AZ73)*15</f>
        <v>60</v>
      </c>
      <c r="W73" s="106"/>
      <c r="X73" s="106"/>
      <c r="Y73" s="104"/>
      <c r="Z73" s="104"/>
      <c r="AA73" s="104"/>
      <c r="AB73" s="104">
        <v>60</v>
      </c>
      <c r="AC73" s="104"/>
      <c r="AD73" s="104"/>
      <c r="AE73" s="104"/>
      <c r="AF73" s="104"/>
      <c r="AG73" s="104"/>
      <c r="AH73" s="104"/>
      <c r="AI73" s="104"/>
      <c r="AJ73" s="104"/>
      <c r="AK73" s="106"/>
      <c r="AL73" s="106"/>
      <c r="AM73" s="106"/>
      <c r="AN73" s="104">
        <v>90</v>
      </c>
      <c r="AO73" s="104"/>
      <c r="AP73" s="145"/>
      <c r="AQ73" s="146">
        <v>2</v>
      </c>
      <c r="AR73" s="104"/>
      <c r="AS73" s="104"/>
      <c r="AT73" s="104">
        <v>2</v>
      </c>
      <c r="AU73" s="104"/>
      <c r="AV73" s="104"/>
      <c r="AW73" s="104"/>
      <c r="AX73" s="104"/>
      <c r="AY73" s="104"/>
      <c r="AZ73" s="104"/>
      <c r="BA73" s="104"/>
      <c r="BB73" s="145"/>
      <c r="BC73" s="146">
        <v>2</v>
      </c>
      <c r="BD73" s="104"/>
      <c r="BE73" s="104"/>
      <c r="BF73" s="104">
        <v>3</v>
      </c>
      <c r="BG73" s="104"/>
      <c r="BH73" s="104"/>
      <c r="BI73" s="104"/>
      <c r="BJ73" s="104"/>
      <c r="BK73" s="104"/>
      <c r="BL73" s="104"/>
      <c r="BM73" s="104"/>
      <c r="BN73" s="145"/>
      <c r="BO73" s="148">
        <f t="shared" si="30"/>
        <v>5</v>
      </c>
      <c r="BP73" s="105"/>
      <c r="BQ73" s="105"/>
      <c r="BR73" s="105"/>
      <c r="BS73" s="71">
        <f t="shared" si="39"/>
        <v>40</v>
      </c>
      <c r="BT73" s="71">
        <f t="shared" si="40"/>
        <v>60</v>
      </c>
      <c r="BU73" s="71">
        <f t="shared" si="41"/>
        <v>60</v>
      </c>
      <c r="BV73" s="15">
        <f t="shared" si="34"/>
        <v>1</v>
      </c>
      <c r="BW73" s="15" t="str">
        <f t="shared" si="35"/>
        <v>тўғри</v>
      </c>
      <c r="BX73" s="71">
        <f t="shared" si="36"/>
        <v>5</v>
      </c>
      <c r="BY73" s="15">
        <f t="shared" si="37"/>
        <v>1</v>
      </c>
      <c r="BZ73" s="15" t="str">
        <f t="shared" si="38"/>
        <v>тўғри</v>
      </c>
    </row>
    <row r="74" spans="1:78" ht="28.5" customHeight="1" x14ac:dyDescent="0.25">
      <c r="A74" s="71">
        <v>1</v>
      </c>
      <c r="B74" s="104" t="s">
        <v>216</v>
      </c>
      <c r="C74" s="104"/>
      <c r="D74" s="180" t="s">
        <v>138</v>
      </c>
      <c r="E74" s="180"/>
      <c r="F74" s="180"/>
      <c r="G74" s="180"/>
      <c r="H74" s="180"/>
      <c r="I74" s="180"/>
      <c r="J74" s="180"/>
      <c r="K74" s="180"/>
      <c r="L74" s="180"/>
      <c r="M74" s="180"/>
      <c r="N74" s="180"/>
      <c r="O74" s="181"/>
      <c r="P74" s="144"/>
      <c r="Q74" s="106"/>
      <c r="R74" s="106"/>
      <c r="S74" s="131"/>
      <c r="T74" s="131"/>
      <c r="U74" s="151"/>
      <c r="V74" s="152"/>
      <c r="W74" s="106"/>
      <c r="X74" s="106"/>
      <c r="Y74" s="104"/>
      <c r="Z74" s="104"/>
      <c r="AA74" s="104"/>
      <c r="AB74" s="104"/>
      <c r="AC74" s="104"/>
      <c r="AD74" s="104"/>
      <c r="AE74" s="104"/>
      <c r="AF74" s="104"/>
      <c r="AG74" s="104"/>
      <c r="AH74" s="104"/>
      <c r="AI74" s="104"/>
      <c r="AJ74" s="104"/>
      <c r="AK74" s="106"/>
      <c r="AL74" s="106"/>
      <c r="AM74" s="106"/>
      <c r="AN74" s="104"/>
      <c r="AO74" s="104"/>
      <c r="AP74" s="145"/>
      <c r="AQ74" s="146"/>
      <c r="AR74" s="104"/>
      <c r="AS74" s="104"/>
      <c r="AT74" s="104"/>
      <c r="AU74" s="104"/>
      <c r="AV74" s="104"/>
      <c r="AW74" s="104"/>
      <c r="AX74" s="104"/>
      <c r="AY74" s="104"/>
      <c r="AZ74" s="104"/>
      <c r="BA74" s="104"/>
      <c r="BB74" s="145"/>
      <c r="BC74" s="146"/>
      <c r="BD74" s="104"/>
      <c r="BE74" s="104"/>
      <c r="BF74" s="104"/>
      <c r="BG74" s="104"/>
      <c r="BH74" s="104"/>
      <c r="BI74" s="104"/>
      <c r="BJ74" s="104"/>
      <c r="BK74" s="104"/>
      <c r="BL74" s="104"/>
      <c r="BM74" s="104"/>
      <c r="BN74" s="145"/>
      <c r="BO74" s="148">
        <f t="shared" si="30"/>
        <v>0</v>
      </c>
      <c r="BP74" s="105"/>
      <c r="BQ74" s="105"/>
      <c r="BR74" s="105"/>
      <c r="BS74" s="71" t="e">
        <f t="shared" si="39"/>
        <v>#DIV/0!</v>
      </c>
      <c r="BT74" s="71" t="e">
        <f t="shared" si="40"/>
        <v>#DIV/0!</v>
      </c>
      <c r="BU74" s="71">
        <f t="shared" si="41"/>
        <v>0</v>
      </c>
      <c r="BV74" s="15">
        <f t="shared" si="34"/>
        <v>1</v>
      </c>
      <c r="BW74" s="15" t="str">
        <f t="shared" si="35"/>
        <v>тўғри</v>
      </c>
      <c r="BX74" s="71">
        <f t="shared" si="36"/>
        <v>0</v>
      </c>
      <c r="BY74" s="15">
        <f t="shared" si="37"/>
        <v>1</v>
      </c>
      <c r="BZ74" s="15" t="str">
        <f t="shared" si="38"/>
        <v>тўғри</v>
      </c>
    </row>
    <row r="75" spans="1:78" ht="14.25" customHeight="1" x14ac:dyDescent="0.25">
      <c r="A75" s="71">
        <v>2</v>
      </c>
      <c r="B75" s="104" t="s">
        <v>217</v>
      </c>
      <c r="C75" s="104"/>
      <c r="D75" s="149" t="s">
        <v>139</v>
      </c>
      <c r="E75" s="149"/>
      <c r="F75" s="149"/>
      <c r="G75" s="149"/>
      <c r="H75" s="149"/>
      <c r="I75" s="149"/>
      <c r="J75" s="149"/>
      <c r="K75" s="149"/>
      <c r="L75" s="149"/>
      <c r="M75" s="149"/>
      <c r="N75" s="149"/>
      <c r="O75" s="150"/>
      <c r="P75" s="144"/>
      <c r="Q75" s="106"/>
      <c r="R75" s="106"/>
      <c r="S75" s="131"/>
      <c r="T75" s="131"/>
      <c r="U75" s="151"/>
      <c r="V75" s="152"/>
      <c r="W75" s="106"/>
      <c r="X75" s="106"/>
      <c r="Y75" s="104"/>
      <c r="Z75" s="104"/>
      <c r="AA75" s="104"/>
      <c r="AB75" s="104"/>
      <c r="AC75" s="104"/>
      <c r="AD75" s="104"/>
      <c r="AE75" s="104"/>
      <c r="AF75" s="104"/>
      <c r="AG75" s="104"/>
      <c r="AH75" s="104"/>
      <c r="AI75" s="104"/>
      <c r="AJ75" s="104"/>
      <c r="AK75" s="106"/>
      <c r="AL75" s="106"/>
      <c r="AM75" s="106"/>
      <c r="AN75" s="104"/>
      <c r="AO75" s="104"/>
      <c r="AP75" s="145"/>
      <c r="AQ75" s="146"/>
      <c r="AR75" s="104"/>
      <c r="AS75" s="104"/>
      <c r="AT75" s="104"/>
      <c r="AU75" s="104"/>
      <c r="AV75" s="104"/>
      <c r="AW75" s="104"/>
      <c r="AX75" s="104"/>
      <c r="AY75" s="104"/>
      <c r="AZ75" s="104"/>
      <c r="BA75" s="104"/>
      <c r="BB75" s="145"/>
      <c r="BC75" s="146"/>
      <c r="BD75" s="104"/>
      <c r="BE75" s="104"/>
      <c r="BF75" s="104"/>
      <c r="BG75" s="104"/>
      <c r="BH75" s="104"/>
      <c r="BI75" s="104"/>
      <c r="BJ75" s="104"/>
      <c r="BK75" s="104"/>
      <c r="BL75" s="104"/>
      <c r="BM75" s="104"/>
      <c r="BN75" s="145"/>
      <c r="BO75" s="148">
        <f t="shared" si="30"/>
        <v>0</v>
      </c>
      <c r="BP75" s="105"/>
      <c r="BQ75" s="105"/>
      <c r="BR75" s="105"/>
      <c r="BS75" s="71" t="e">
        <f t="shared" si="39"/>
        <v>#DIV/0!</v>
      </c>
      <c r="BT75" s="71" t="e">
        <f t="shared" si="40"/>
        <v>#DIV/0!</v>
      </c>
      <c r="BU75" s="71">
        <f t="shared" si="41"/>
        <v>0</v>
      </c>
      <c r="BV75" s="15">
        <f t="shared" si="34"/>
        <v>1</v>
      </c>
      <c r="BW75" s="15" t="str">
        <f t="shared" si="35"/>
        <v>тўғри</v>
      </c>
      <c r="BX75" s="71">
        <f t="shared" si="36"/>
        <v>0</v>
      </c>
      <c r="BY75" s="15">
        <f t="shared" si="37"/>
        <v>1</v>
      </c>
      <c r="BZ75" s="15" t="str">
        <f t="shared" si="38"/>
        <v>тўғри</v>
      </c>
    </row>
    <row r="76" spans="1:78" ht="14.25" customHeight="1" x14ac:dyDescent="0.25">
      <c r="A76" s="85" t="s">
        <v>12</v>
      </c>
      <c r="B76" s="104"/>
      <c r="C76" s="104"/>
      <c r="D76" s="178" t="s">
        <v>131</v>
      </c>
      <c r="E76" s="178"/>
      <c r="F76" s="178"/>
      <c r="G76" s="178"/>
      <c r="H76" s="178"/>
      <c r="I76" s="178"/>
      <c r="J76" s="178"/>
      <c r="K76" s="178"/>
      <c r="L76" s="178"/>
      <c r="M76" s="178"/>
      <c r="N76" s="178"/>
      <c r="O76" s="179"/>
      <c r="P76" s="144">
        <f>SUM(V76+AN76)</f>
        <v>90</v>
      </c>
      <c r="Q76" s="106"/>
      <c r="R76" s="106"/>
      <c r="S76" s="131"/>
      <c r="T76" s="131"/>
      <c r="U76" s="151"/>
      <c r="V76" s="152">
        <f t="shared" ref="V76" si="44">SUM(AQ76+AT76+AW76+AZ76)*15</f>
        <v>30</v>
      </c>
      <c r="W76" s="106"/>
      <c r="X76" s="106"/>
      <c r="Y76" s="104">
        <v>10</v>
      </c>
      <c r="Z76" s="104"/>
      <c r="AA76" s="104"/>
      <c r="AB76" s="104">
        <v>10</v>
      </c>
      <c r="AC76" s="104"/>
      <c r="AD76" s="104"/>
      <c r="AE76" s="104"/>
      <c r="AF76" s="104"/>
      <c r="AG76" s="104"/>
      <c r="AH76" s="104">
        <v>10</v>
      </c>
      <c r="AI76" s="104"/>
      <c r="AJ76" s="104"/>
      <c r="AK76" s="106"/>
      <c r="AL76" s="106"/>
      <c r="AM76" s="106"/>
      <c r="AN76" s="104">
        <v>60</v>
      </c>
      <c r="AO76" s="104"/>
      <c r="AP76" s="145"/>
      <c r="AQ76" s="146"/>
      <c r="AR76" s="104"/>
      <c r="AS76" s="104"/>
      <c r="AT76" s="104"/>
      <c r="AU76" s="104"/>
      <c r="AV76" s="104"/>
      <c r="AW76" s="104">
        <v>2</v>
      </c>
      <c r="AX76" s="104"/>
      <c r="AY76" s="104"/>
      <c r="AZ76" s="104"/>
      <c r="BA76" s="104"/>
      <c r="BB76" s="145"/>
      <c r="BC76" s="146"/>
      <c r="BD76" s="104"/>
      <c r="BE76" s="104"/>
      <c r="BF76" s="104"/>
      <c r="BG76" s="104"/>
      <c r="BH76" s="104"/>
      <c r="BI76" s="104">
        <v>3</v>
      </c>
      <c r="BJ76" s="104"/>
      <c r="BK76" s="104"/>
      <c r="BL76" s="104"/>
      <c r="BM76" s="104"/>
      <c r="BN76" s="145"/>
      <c r="BO76" s="148">
        <f t="shared" si="30"/>
        <v>3</v>
      </c>
      <c r="BP76" s="105"/>
      <c r="BQ76" s="105"/>
      <c r="BR76" s="105"/>
      <c r="BS76" s="71">
        <f t="shared" si="39"/>
        <v>33.333333333333329</v>
      </c>
      <c r="BT76" s="71">
        <f t="shared" si="40"/>
        <v>66.666666666666657</v>
      </c>
      <c r="BU76" s="71">
        <f t="shared" si="41"/>
        <v>30</v>
      </c>
      <c r="BV76" s="15">
        <f t="shared" si="34"/>
        <v>1</v>
      </c>
      <c r="BW76" s="15" t="str">
        <f t="shared" si="35"/>
        <v>тўғри</v>
      </c>
      <c r="BX76" s="71">
        <f t="shared" si="36"/>
        <v>3</v>
      </c>
      <c r="BY76" s="15">
        <f t="shared" si="37"/>
        <v>1</v>
      </c>
      <c r="BZ76" s="15" t="str">
        <f t="shared" si="38"/>
        <v>тўғри</v>
      </c>
    </row>
    <row r="77" spans="1:78" ht="14.25" customHeight="1" x14ac:dyDescent="0.25">
      <c r="A77" s="71">
        <v>1</v>
      </c>
      <c r="B77" s="104" t="s">
        <v>32</v>
      </c>
      <c r="C77" s="104"/>
      <c r="D77" s="149" t="s">
        <v>247</v>
      </c>
      <c r="E77" s="149"/>
      <c r="F77" s="149"/>
      <c r="G77" s="149"/>
      <c r="H77" s="149"/>
      <c r="I77" s="149"/>
      <c r="J77" s="149"/>
      <c r="K77" s="149"/>
      <c r="L77" s="149"/>
      <c r="M77" s="149"/>
      <c r="N77" s="149"/>
      <c r="O77" s="150"/>
      <c r="P77" s="144"/>
      <c r="Q77" s="106"/>
      <c r="R77" s="106"/>
      <c r="S77" s="131"/>
      <c r="T77" s="131"/>
      <c r="U77" s="151"/>
      <c r="V77" s="152"/>
      <c r="W77" s="106"/>
      <c r="X77" s="106"/>
      <c r="Y77" s="104"/>
      <c r="Z77" s="104"/>
      <c r="AA77" s="104"/>
      <c r="AB77" s="104"/>
      <c r="AC77" s="104"/>
      <c r="AD77" s="104"/>
      <c r="AE77" s="104"/>
      <c r="AF77" s="104"/>
      <c r="AG77" s="104"/>
      <c r="AH77" s="104"/>
      <c r="AI77" s="104"/>
      <c r="AJ77" s="104"/>
      <c r="AK77" s="106"/>
      <c r="AL77" s="106"/>
      <c r="AM77" s="106"/>
      <c r="AN77" s="104"/>
      <c r="AO77" s="104"/>
      <c r="AP77" s="145"/>
      <c r="AQ77" s="146"/>
      <c r="AR77" s="104"/>
      <c r="AS77" s="104"/>
      <c r="AT77" s="104"/>
      <c r="AU77" s="104"/>
      <c r="AV77" s="104"/>
      <c r="AW77" s="104"/>
      <c r="AX77" s="104"/>
      <c r="AY77" s="104"/>
      <c r="AZ77" s="104"/>
      <c r="BA77" s="104"/>
      <c r="BB77" s="145"/>
      <c r="BC77" s="146"/>
      <c r="BD77" s="104"/>
      <c r="BE77" s="104"/>
      <c r="BF77" s="104"/>
      <c r="BG77" s="104"/>
      <c r="BH77" s="104"/>
      <c r="BI77" s="104"/>
      <c r="BJ77" s="104"/>
      <c r="BK77" s="104"/>
      <c r="BL77" s="104"/>
      <c r="BM77" s="104"/>
      <c r="BN77" s="145"/>
      <c r="BO77" s="148">
        <f t="shared" si="30"/>
        <v>0</v>
      </c>
      <c r="BP77" s="105"/>
      <c r="BQ77" s="105"/>
      <c r="BR77" s="105"/>
      <c r="BS77" s="71" t="e">
        <f t="shared" si="39"/>
        <v>#DIV/0!</v>
      </c>
      <c r="BT77" s="71" t="e">
        <f t="shared" si="40"/>
        <v>#DIV/0!</v>
      </c>
      <c r="BU77" s="71">
        <f t="shared" si="41"/>
        <v>0</v>
      </c>
      <c r="BV77" s="15">
        <f t="shared" si="34"/>
        <v>1</v>
      </c>
      <c r="BW77" s="15" t="str">
        <f t="shared" si="35"/>
        <v>тўғри</v>
      </c>
      <c r="BX77" s="71">
        <f t="shared" si="36"/>
        <v>0</v>
      </c>
      <c r="BY77" s="15">
        <f t="shared" si="37"/>
        <v>1</v>
      </c>
      <c r="BZ77" s="15" t="str">
        <f t="shared" si="38"/>
        <v>тўғри</v>
      </c>
    </row>
    <row r="78" spans="1:78" ht="14.25" customHeight="1" x14ac:dyDescent="0.25">
      <c r="A78" s="71">
        <v>2</v>
      </c>
      <c r="B78" s="104" t="s">
        <v>33</v>
      </c>
      <c r="C78" s="104"/>
      <c r="D78" s="149" t="s">
        <v>140</v>
      </c>
      <c r="E78" s="149"/>
      <c r="F78" s="149"/>
      <c r="G78" s="149"/>
      <c r="H78" s="149"/>
      <c r="I78" s="149"/>
      <c r="J78" s="149"/>
      <c r="K78" s="149"/>
      <c r="L78" s="149"/>
      <c r="M78" s="149"/>
      <c r="N78" s="149"/>
      <c r="O78" s="150"/>
      <c r="P78" s="144"/>
      <c r="Q78" s="106"/>
      <c r="R78" s="106"/>
      <c r="S78" s="131"/>
      <c r="T78" s="131"/>
      <c r="U78" s="151"/>
      <c r="V78" s="152"/>
      <c r="W78" s="106"/>
      <c r="X78" s="106"/>
      <c r="Y78" s="104"/>
      <c r="Z78" s="104"/>
      <c r="AA78" s="104"/>
      <c r="AB78" s="104"/>
      <c r="AC78" s="104"/>
      <c r="AD78" s="104"/>
      <c r="AE78" s="104"/>
      <c r="AF78" s="104"/>
      <c r="AG78" s="104"/>
      <c r="AH78" s="104"/>
      <c r="AI78" s="104"/>
      <c r="AJ78" s="104"/>
      <c r="AK78" s="106"/>
      <c r="AL78" s="106"/>
      <c r="AM78" s="106"/>
      <c r="AN78" s="104"/>
      <c r="AO78" s="104"/>
      <c r="AP78" s="145"/>
      <c r="AQ78" s="146"/>
      <c r="AR78" s="104"/>
      <c r="AS78" s="104"/>
      <c r="AT78" s="104"/>
      <c r="AU78" s="104"/>
      <c r="AV78" s="104"/>
      <c r="AW78" s="104"/>
      <c r="AX78" s="104"/>
      <c r="AY78" s="104"/>
      <c r="AZ78" s="104"/>
      <c r="BA78" s="104"/>
      <c r="BB78" s="145"/>
      <c r="BC78" s="146"/>
      <c r="BD78" s="104"/>
      <c r="BE78" s="104"/>
      <c r="BF78" s="104"/>
      <c r="BG78" s="104"/>
      <c r="BH78" s="104"/>
      <c r="BI78" s="104"/>
      <c r="BJ78" s="104"/>
      <c r="BK78" s="104"/>
      <c r="BL78" s="104"/>
      <c r="BM78" s="104"/>
      <c r="BN78" s="145"/>
      <c r="BO78" s="148">
        <f t="shared" si="30"/>
        <v>0</v>
      </c>
      <c r="BP78" s="105"/>
      <c r="BQ78" s="105"/>
      <c r="BR78" s="105"/>
      <c r="BS78" s="71" t="e">
        <f t="shared" si="39"/>
        <v>#DIV/0!</v>
      </c>
      <c r="BT78" s="71" t="e">
        <f t="shared" si="40"/>
        <v>#DIV/0!</v>
      </c>
      <c r="BU78" s="71">
        <f t="shared" si="41"/>
        <v>0</v>
      </c>
      <c r="BV78" s="15">
        <f t="shared" si="34"/>
        <v>1</v>
      </c>
      <c r="BW78" s="15" t="str">
        <f t="shared" si="35"/>
        <v>тўғри</v>
      </c>
      <c r="BX78" s="71">
        <f t="shared" si="36"/>
        <v>0</v>
      </c>
      <c r="BY78" s="15">
        <f t="shared" si="37"/>
        <v>1</v>
      </c>
      <c r="BZ78" s="15" t="str">
        <f t="shared" si="38"/>
        <v>тўғри</v>
      </c>
    </row>
    <row r="79" spans="1:78" ht="14.25" customHeight="1" x14ac:dyDescent="0.25">
      <c r="A79" s="71"/>
      <c r="B79" s="104"/>
      <c r="C79" s="104"/>
      <c r="D79" s="184" t="s">
        <v>133</v>
      </c>
      <c r="E79" s="184"/>
      <c r="F79" s="184"/>
      <c r="G79" s="184"/>
      <c r="H79" s="184"/>
      <c r="I79" s="184"/>
      <c r="J79" s="184"/>
      <c r="K79" s="184"/>
      <c r="L79" s="184"/>
      <c r="M79" s="184"/>
      <c r="N79" s="184"/>
      <c r="O79" s="185"/>
      <c r="P79" s="144">
        <f>SUM(V79+AN79)</f>
        <v>1800</v>
      </c>
      <c r="Q79" s="106"/>
      <c r="R79" s="106"/>
      <c r="S79" s="131">
        <f>P79/3600*100</f>
        <v>50</v>
      </c>
      <c r="T79" s="131"/>
      <c r="U79" s="151"/>
      <c r="V79" s="152">
        <f t="shared" ref="V79" si="45">SUM(AQ79+AT79+AW79+AZ79)*15</f>
        <v>690</v>
      </c>
      <c r="W79" s="106"/>
      <c r="X79" s="106"/>
      <c r="Y79" s="106">
        <f>SUM(Y69+Y57)</f>
        <v>120</v>
      </c>
      <c r="Z79" s="106"/>
      <c r="AA79" s="106"/>
      <c r="AB79" s="106">
        <f>SUM(AB69+AB57)</f>
        <v>266</v>
      </c>
      <c r="AC79" s="106"/>
      <c r="AD79" s="106"/>
      <c r="AE79" s="106">
        <f>SUM(AE69+AE57)</f>
        <v>240</v>
      </c>
      <c r="AF79" s="106"/>
      <c r="AG79" s="106"/>
      <c r="AH79" s="106">
        <f>SUM(AH69+AH57)</f>
        <v>64</v>
      </c>
      <c r="AI79" s="106"/>
      <c r="AJ79" s="106"/>
      <c r="AK79" s="106"/>
      <c r="AL79" s="106"/>
      <c r="AM79" s="106"/>
      <c r="AN79" s="106">
        <f>SUM(AN69+AN57)</f>
        <v>1110</v>
      </c>
      <c r="AO79" s="106"/>
      <c r="AP79" s="147"/>
      <c r="AQ79" s="144">
        <f>SUM(AQ69+AQ57)</f>
        <v>18</v>
      </c>
      <c r="AR79" s="106"/>
      <c r="AS79" s="106"/>
      <c r="AT79" s="106">
        <f>SUM(AT69+AT57)</f>
        <v>10</v>
      </c>
      <c r="AU79" s="106"/>
      <c r="AV79" s="106"/>
      <c r="AW79" s="106">
        <f>SUM(AW69+AW57)</f>
        <v>12</v>
      </c>
      <c r="AX79" s="106"/>
      <c r="AY79" s="106"/>
      <c r="AZ79" s="106">
        <f>SUM(AZ69+AZ57)</f>
        <v>6</v>
      </c>
      <c r="BA79" s="106"/>
      <c r="BB79" s="147"/>
      <c r="BC79" s="144">
        <f>SUM(BC69+BC57)</f>
        <v>24</v>
      </c>
      <c r="BD79" s="106"/>
      <c r="BE79" s="106"/>
      <c r="BF79" s="106">
        <f>SUM(BF69+BF57)</f>
        <v>13</v>
      </c>
      <c r="BG79" s="106"/>
      <c r="BH79" s="106"/>
      <c r="BI79" s="106">
        <f>SUM(BI69+BI57)</f>
        <v>15</v>
      </c>
      <c r="BJ79" s="106"/>
      <c r="BK79" s="106"/>
      <c r="BL79" s="106">
        <f>SUM(BL69+BL57)</f>
        <v>8</v>
      </c>
      <c r="BM79" s="106"/>
      <c r="BN79" s="147"/>
      <c r="BO79" s="148">
        <f>SUM(P79/30)</f>
        <v>60</v>
      </c>
      <c r="BP79" s="105"/>
      <c r="BQ79" s="105"/>
      <c r="BR79" s="105"/>
      <c r="BS79" s="71">
        <f t="shared" si="31"/>
        <v>38.333333333333336</v>
      </c>
      <c r="BT79" s="71">
        <f t="shared" si="32"/>
        <v>61.666666666666671</v>
      </c>
      <c r="BU79" s="71">
        <f t="shared" si="33"/>
        <v>690</v>
      </c>
      <c r="BV79" s="15">
        <f t="shared" si="34"/>
        <v>1</v>
      </c>
      <c r="BW79" s="15" t="str">
        <f t="shared" si="35"/>
        <v>тўғри</v>
      </c>
      <c r="BX79" s="71">
        <f t="shared" si="36"/>
        <v>60</v>
      </c>
      <c r="BY79" s="15">
        <f t="shared" si="37"/>
        <v>1</v>
      </c>
      <c r="BZ79" s="15" t="str">
        <f>IF(BY79=1,"тўғри","хато")</f>
        <v>тўғри</v>
      </c>
    </row>
    <row r="80" spans="1:78" ht="14.25" customHeight="1" x14ac:dyDescent="0.25">
      <c r="A80" s="72" t="s">
        <v>49</v>
      </c>
      <c r="B80" s="104"/>
      <c r="C80" s="104"/>
      <c r="D80" s="182" t="s">
        <v>132</v>
      </c>
      <c r="E80" s="182"/>
      <c r="F80" s="182"/>
      <c r="G80" s="182"/>
      <c r="H80" s="182"/>
      <c r="I80" s="182"/>
      <c r="J80" s="182"/>
      <c r="K80" s="182"/>
      <c r="L80" s="182"/>
      <c r="M80" s="182"/>
      <c r="N80" s="182"/>
      <c r="O80" s="183"/>
      <c r="P80" s="144">
        <f>SUM(V80+AN80)</f>
        <v>1800</v>
      </c>
      <c r="Q80" s="106"/>
      <c r="R80" s="106"/>
      <c r="S80" s="131">
        <f>P80/3600*100</f>
        <v>50</v>
      </c>
      <c r="T80" s="131"/>
      <c r="U80" s="151"/>
      <c r="V80" s="152">
        <f>SUM(V81:X83)</f>
        <v>750</v>
      </c>
      <c r="W80" s="106"/>
      <c r="X80" s="106"/>
      <c r="Y80" s="106"/>
      <c r="Z80" s="106"/>
      <c r="AA80" s="106"/>
      <c r="AB80" s="106"/>
      <c r="AC80" s="106"/>
      <c r="AD80" s="106"/>
      <c r="AE80" s="106"/>
      <c r="AF80" s="106"/>
      <c r="AG80" s="106"/>
      <c r="AH80" s="106"/>
      <c r="AI80" s="106"/>
      <c r="AJ80" s="106"/>
      <c r="AK80" s="106"/>
      <c r="AL80" s="106"/>
      <c r="AM80" s="106"/>
      <c r="AN80" s="106">
        <f>SUM(AN81:AP83)</f>
        <v>1050</v>
      </c>
      <c r="AO80" s="106"/>
      <c r="AP80" s="147"/>
      <c r="AQ80" s="144">
        <f>SUM(AQ81:AS83)</f>
        <v>6</v>
      </c>
      <c r="AR80" s="106"/>
      <c r="AS80" s="106"/>
      <c r="AT80" s="106">
        <f>SUM(AT81:AV83)</f>
        <v>14</v>
      </c>
      <c r="AU80" s="106"/>
      <c r="AV80" s="106"/>
      <c r="AW80" s="106">
        <f>SUM(AW81:AY83)</f>
        <v>12</v>
      </c>
      <c r="AX80" s="106"/>
      <c r="AY80" s="106"/>
      <c r="AZ80" s="106">
        <f>SUM(AZ81:BB83)</f>
        <v>18</v>
      </c>
      <c r="BA80" s="106"/>
      <c r="BB80" s="147"/>
      <c r="BC80" s="144">
        <f>SUM(BC81:BE83)</f>
        <v>6</v>
      </c>
      <c r="BD80" s="106"/>
      <c r="BE80" s="106"/>
      <c r="BF80" s="106">
        <f>SUM(BF81:BH83)</f>
        <v>17</v>
      </c>
      <c r="BG80" s="106"/>
      <c r="BH80" s="106"/>
      <c r="BI80" s="106">
        <f>SUM(BI81:BK83)</f>
        <v>15</v>
      </c>
      <c r="BJ80" s="106"/>
      <c r="BK80" s="106"/>
      <c r="BL80" s="106">
        <f>SUM(BL81:BN83)</f>
        <v>22</v>
      </c>
      <c r="BM80" s="106"/>
      <c r="BN80" s="147"/>
      <c r="BO80" s="148">
        <f>SUM(P80/30)</f>
        <v>60</v>
      </c>
      <c r="BP80" s="105"/>
      <c r="BQ80" s="105"/>
      <c r="BR80" s="105"/>
      <c r="BS80" s="71">
        <f t="shared" si="31"/>
        <v>41.666666666666671</v>
      </c>
      <c r="BT80" s="71">
        <f t="shared" si="32"/>
        <v>58.333333333333336</v>
      </c>
      <c r="BU80" s="71"/>
      <c r="BV80" s="15"/>
      <c r="BW80" s="15"/>
      <c r="BX80" s="71">
        <f>SUM(BC80:BN80)</f>
        <v>60</v>
      </c>
      <c r="BY80" s="15">
        <f t="shared" si="37"/>
        <v>1</v>
      </c>
      <c r="BZ80" s="15" t="str">
        <f t="shared" ref="BZ80:BZ82" si="46">IF(BY80=1,"тўғри","хато")</f>
        <v>тўғри</v>
      </c>
    </row>
    <row r="81" spans="1:78" ht="28.5" customHeight="1" x14ac:dyDescent="0.25">
      <c r="A81" s="14" t="s">
        <v>50</v>
      </c>
      <c r="B81" s="104"/>
      <c r="C81" s="104"/>
      <c r="D81" s="180" t="s">
        <v>99</v>
      </c>
      <c r="E81" s="180"/>
      <c r="F81" s="180"/>
      <c r="G81" s="180"/>
      <c r="H81" s="180"/>
      <c r="I81" s="180"/>
      <c r="J81" s="180"/>
      <c r="K81" s="180"/>
      <c r="L81" s="180"/>
      <c r="M81" s="180"/>
      <c r="N81" s="180"/>
      <c r="O81" s="181"/>
      <c r="P81" s="144">
        <f>SUM(V81+AN81)</f>
        <v>1080</v>
      </c>
      <c r="Q81" s="106"/>
      <c r="R81" s="106"/>
      <c r="S81" s="106"/>
      <c r="T81" s="106"/>
      <c r="U81" s="147"/>
      <c r="V81" s="152">
        <f t="shared" ref="V81:V83" si="47">SUM(AQ81+AT81+AW81+AZ81)*15</f>
        <v>480</v>
      </c>
      <c r="W81" s="106"/>
      <c r="X81" s="106"/>
      <c r="Y81" s="106"/>
      <c r="Z81" s="106"/>
      <c r="AA81" s="106"/>
      <c r="AB81" s="106"/>
      <c r="AC81" s="106"/>
      <c r="AD81" s="106"/>
      <c r="AE81" s="106"/>
      <c r="AF81" s="106"/>
      <c r="AG81" s="106"/>
      <c r="AH81" s="106"/>
      <c r="AI81" s="106"/>
      <c r="AJ81" s="106"/>
      <c r="AK81" s="106"/>
      <c r="AL81" s="106"/>
      <c r="AM81" s="106"/>
      <c r="AN81" s="104">
        <v>600</v>
      </c>
      <c r="AO81" s="104"/>
      <c r="AP81" s="145"/>
      <c r="AQ81" s="146">
        <v>4</v>
      </c>
      <c r="AR81" s="104"/>
      <c r="AS81" s="104"/>
      <c r="AT81" s="104">
        <v>6</v>
      </c>
      <c r="AU81" s="104"/>
      <c r="AV81" s="104"/>
      <c r="AW81" s="104">
        <v>10</v>
      </c>
      <c r="AX81" s="104"/>
      <c r="AY81" s="104"/>
      <c r="AZ81" s="104">
        <v>12</v>
      </c>
      <c r="BA81" s="104"/>
      <c r="BB81" s="145"/>
      <c r="BC81" s="146">
        <v>4</v>
      </c>
      <c r="BD81" s="104"/>
      <c r="BE81" s="104"/>
      <c r="BF81" s="104">
        <v>6</v>
      </c>
      <c r="BG81" s="104"/>
      <c r="BH81" s="104"/>
      <c r="BI81" s="104">
        <v>12</v>
      </c>
      <c r="BJ81" s="104"/>
      <c r="BK81" s="104"/>
      <c r="BL81" s="104">
        <v>14</v>
      </c>
      <c r="BM81" s="104"/>
      <c r="BN81" s="145"/>
      <c r="BO81" s="148">
        <f t="shared" ref="BO81:BO83" si="48">SUM(P81/30)</f>
        <v>36</v>
      </c>
      <c r="BP81" s="105"/>
      <c r="BQ81" s="105"/>
      <c r="BR81" s="105"/>
      <c r="BS81" s="71">
        <f t="shared" ref="BS81:BS83" si="49">SUM(V81/P81)*100</f>
        <v>44.444444444444443</v>
      </c>
      <c r="BT81" s="71">
        <f t="shared" ref="BT81:BT83" si="50">SUM(AN81/P81)*100</f>
        <v>55.555555555555557</v>
      </c>
      <c r="BU81" s="71"/>
      <c r="BV81" s="15"/>
      <c r="BW81" s="15" t="str">
        <f>IF(BV81=1,"тўғри","хато")</f>
        <v>хато</v>
      </c>
      <c r="BX81" s="71">
        <f>SUM(BC81:BN81)</f>
        <v>36</v>
      </c>
      <c r="BY81" s="15">
        <f t="shared" si="37"/>
        <v>1</v>
      </c>
      <c r="BZ81" s="15" t="str">
        <f t="shared" si="46"/>
        <v>тўғри</v>
      </c>
    </row>
    <row r="82" spans="1:78" ht="14.25" customHeight="1" x14ac:dyDescent="0.25">
      <c r="A82" s="14" t="s">
        <v>51</v>
      </c>
      <c r="B82" s="104"/>
      <c r="C82" s="104"/>
      <c r="D82" s="149" t="s">
        <v>134</v>
      </c>
      <c r="E82" s="149"/>
      <c r="F82" s="149"/>
      <c r="G82" s="149"/>
      <c r="H82" s="149"/>
      <c r="I82" s="149"/>
      <c r="J82" s="149"/>
      <c r="K82" s="149"/>
      <c r="L82" s="149"/>
      <c r="M82" s="149"/>
      <c r="N82" s="149"/>
      <c r="O82" s="150"/>
      <c r="P82" s="144">
        <f t="shared" ref="P82:P83" si="51">SUM(V82+AN82)</f>
        <v>240</v>
      </c>
      <c r="Q82" s="106"/>
      <c r="R82" s="106"/>
      <c r="S82" s="106"/>
      <c r="T82" s="106"/>
      <c r="U82" s="147"/>
      <c r="V82" s="152">
        <f t="shared" si="47"/>
        <v>90</v>
      </c>
      <c r="W82" s="106"/>
      <c r="X82" s="106"/>
      <c r="Y82" s="106"/>
      <c r="Z82" s="106"/>
      <c r="AA82" s="106"/>
      <c r="AB82" s="106"/>
      <c r="AC82" s="106"/>
      <c r="AD82" s="106"/>
      <c r="AE82" s="106"/>
      <c r="AF82" s="106"/>
      <c r="AG82" s="106"/>
      <c r="AH82" s="106"/>
      <c r="AI82" s="106"/>
      <c r="AJ82" s="106"/>
      <c r="AK82" s="106"/>
      <c r="AL82" s="106"/>
      <c r="AM82" s="106"/>
      <c r="AN82" s="104">
        <v>150</v>
      </c>
      <c r="AO82" s="104"/>
      <c r="AP82" s="145"/>
      <c r="AQ82" s="146">
        <v>2</v>
      </c>
      <c r="AR82" s="104"/>
      <c r="AS82" s="104"/>
      <c r="AT82" s="104">
        <v>2</v>
      </c>
      <c r="AU82" s="104"/>
      <c r="AV82" s="104"/>
      <c r="AW82" s="104">
        <v>2</v>
      </c>
      <c r="AX82" s="104"/>
      <c r="AY82" s="104"/>
      <c r="AZ82" s="104"/>
      <c r="BA82" s="104"/>
      <c r="BB82" s="145"/>
      <c r="BC82" s="146">
        <v>2</v>
      </c>
      <c r="BD82" s="104"/>
      <c r="BE82" s="104"/>
      <c r="BF82" s="104">
        <v>3</v>
      </c>
      <c r="BG82" s="104"/>
      <c r="BH82" s="104"/>
      <c r="BI82" s="104">
        <v>3</v>
      </c>
      <c r="BJ82" s="104"/>
      <c r="BK82" s="104"/>
      <c r="BL82" s="104"/>
      <c r="BM82" s="104"/>
      <c r="BN82" s="145"/>
      <c r="BO82" s="148">
        <f t="shared" si="48"/>
        <v>8</v>
      </c>
      <c r="BP82" s="105"/>
      <c r="BQ82" s="105"/>
      <c r="BR82" s="105"/>
      <c r="BS82" s="71">
        <f t="shared" si="49"/>
        <v>37.5</v>
      </c>
      <c r="BT82" s="71">
        <f t="shared" si="50"/>
        <v>62.5</v>
      </c>
      <c r="BU82" s="71"/>
      <c r="BV82" s="15"/>
      <c r="BW82" s="15" t="str">
        <f t="shared" ref="BW82:BW83" si="52">IF(BV82=1,"тўғри","хато")</f>
        <v>хато</v>
      </c>
      <c r="BX82" s="71">
        <f t="shared" ref="BX82:BX83" si="53">SUM(BC82:BN82)</f>
        <v>8</v>
      </c>
      <c r="BY82" s="15">
        <f t="shared" si="37"/>
        <v>1</v>
      </c>
      <c r="BZ82" s="15" t="str">
        <f t="shared" si="46"/>
        <v>тўғри</v>
      </c>
    </row>
    <row r="83" spans="1:78" ht="14.25" customHeight="1" x14ac:dyDescent="0.25">
      <c r="A83" s="14" t="s">
        <v>52</v>
      </c>
      <c r="B83" s="104"/>
      <c r="C83" s="104"/>
      <c r="D83" s="149" t="s">
        <v>135</v>
      </c>
      <c r="E83" s="149"/>
      <c r="F83" s="149"/>
      <c r="G83" s="149"/>
      <c r="H83" s="149"/>
      <c r="I83" s="149"/>
      <c r="J83" s="149"/>
      <c r="K83" s="149"/>
      <c r="L83" s="149"/>
      <c r="M83" s="149"/>
      <c r="N83" s="149"/>
      <c r="O83" s="150"/>
      <c r="P83" s="144">
        <f t="shared" si="51"/>
        <v>480</v>
      </c>
      <c r="Q83" s="106"/>
      <c r="R83" s="106"/>
      <c r="S83" s="106"/>
      <c r="T83" s="106"/>
      <c r="U83" s="147"/>
      <c r="V83" s="152">
        <f t="shared" si="47"/>
        <v>180</v>
      </c>
      <c r="W83" s="106"/>
      <c r="X83" s="106"/>
      <c r="Y83" s="106"/>
      <c r="Z83" s="106"/>
      <c r="AA83" s="106"/>
      <c r="AB83" s="106"/>
      <c r="AC83" s="106"/>
      <c r="AD83" s="106"/>
      <c r="AE83" s="106"/>
      <c r="AF83" s="106"/>
      <c r="AG83" s="106"/>
      <c r="AH83" s="106"/>
      <c r="AI83" s="106"/>
      <c r="AJ83" s="106"/>
      <c r="AK83" s="106"/>
      <c r="AL83" s="106"/>
      <c r="AM83" s="106"/>
      <c r="AN83" s="104">
        <v>300</v>
      </c>
      <c r="AO83" s="104"/>
      <c r="AP83" s="145"/>
      <c r="AQ83" s="146"/>
      <c r="AR83" s="104"/>
      <c r="AS83" s="104"/>
      <c r="AT83" s="104">
        <v>6</v>
      </c>
      <c r="AU83" s="104"/>
      <c r="AV83" s="104"/>
      <c r="AW83" s="104"/>
      <c r="AX83" s="104"/>
      <c r="AY83" s="104"/>
      <c r="AZ83" s="104">
        <v>6</v>
      </c>
      <c r="BA83" s="104"/>
      <c r="BB83" s="145"/>
      <c r="BC83" s="146"/>
      <c r="BD83" s="104"/>
      <c r="BE83" s="104"/>
      <c r="BF83" s="104">
        <v>8</v>
      </c>
      <c r="BG83" s="104"/>
      <c r="BH83" s="104"/>
      <c r="BI83" s="104"/>
      <c r="BJ83" s="104"/>
      <c r="BK83" s="104"/>
      <c r="BL83" s="104">
        <v>8</v>
      </c>
      <c r="BM83" s="104"/>
      <c r="BN83" s="145"/>
      <c r="BO83" s="148">
        <f t="shared" si="48"/>
        <v>16</v>
      </c>
      <c r="BP83" s="105"/>
      <c r="BQ83" s="105"/>
      <c r="BR83" s="105"/>
      <c r="BS83" s="71">
        <f t="shared" si="49"/>
        <v>37.5</v>
      </c>
      <c r="BT83" s="71">
        <f t="shared" si="50"/>
        <v>62.5</v>
      </c>
      <c r="BU83" s="71"/>
      <c r="BV83" s="15"/>
      <c r="BW83" s="15" t="str">
        <f t="shared" si="52"/>
        <v>хато</v>
      </c>
      <c r="BX83" s="71">
        <f t="shared" si="53"/>
        <v>16</v>
      </c>
      <c r="BY83" s="15">
        <f t="shared" si="37"/>
        <v>1</v>
      </c>
      <c r="BZ83" s="15" t="str">
        <f>IF(BY83=1,"тўғри","хато")</f>
        <v>тўғри</v>
      </c>
    </row>
    <row r="84" spans="1:78" ht="14.25" customHeight="1" x14ac:dyDescent="0.25">
      <c r="A84" s="71"/>
      <c r="B84" s="130"/>
      <c r="C84" s="130"/>
      <c r="D84" s="184" t="s">
        <v>133</v>
      </c>
      <c r="E84" s="184"/>
      <c r="F84" s="184"/>
      <c r="G84" s="184"/>
      <c r="H84" s="184"/>
      <c r="I84" s="184"/>
      <c r="J84" s="184"/>
      <c r="K84" s="184"/>
      <c r="L84" s="184"/>
      <c r="M84" s="184"/>
      <c r="N84" s="184"/>
      <c r="O84" s="185"/>
      <c r="P84" s="144">
        <f>SUM(P80,P79)</f>
        <v>3600</v>
      </c>
      <c r="Q84" s="106"/>
      <c r="R84" s="106"/>
      <c r="S84" s="131">
        <f>P84/3600*100</f>
        <v>100</v>
      </c>
      <c r="T84" s="131"/>
      <c r="U84" s="151"/>
      <c r="V84" s="152">
        <f>SUM(V80+V78)</f>
        <v>750</v>
      </c>
      <c r="W84" s="106"/>
      <c r="X84" s="106"/>
      <c r="Y84" s="106"/>
      <c r="Z84" s="106"/>
      <c r="AA84" s="106"/>
      <c r="AB84" s="106"/>
      <c r="AC84" s="106"/>
      <c r="AD84" s="106"/>
      <c r="AE84" s="106"/>
      <c r="AF84" s="106"/>
      <c r="AG84" s="106"/>
      <c r="AH84" s="106"/>
      <c r="AI84" s="106"/>
      <c r="AJ84" s="106"/>
      <c r="AK84" s="106"/>
      <c r="AL84" s="106"/>
      <c r="AM84" s="106"/>
      <c r="AN84" s="106">
        <f>SUM(AN80+AN79)</f>
        <v>2160</v>
      </c>
      <c r="AO84" s="106"/>
      <c r="AP84" s="147"/>
      <c r="AQ84" s="144">
        <f>SUM(AQ80+AQ79)</f>
        <v>24</v>
      </c>
      <c r="AR84" s="106"/>
      <c r="AS84" s="106"/>
      <c r="AT84" s="106">
        <f>SUM(AT80+AT79)</f>
        <v>24</v>
      </c>
      <c r="AU84" s="106"/>
      <c r="AV84" s="106"/>
      <c r="AW84" s="106">
        <f>SUM(AW80+AW79)</f>
        <v>24</v>
      </c>
      <c r="AX84" s="106"/>
      <c r="AY84" s="106"/>
      <c r="AZ84" s="106">
        <f>SUM(AZ80+AZ79)</f>
        <v>24</v>
      </c>
      <c r="BA84" s="106"/>
      <c r="BB84" s="147"/>
      <c r="BC84" s="144">
        <f>SUM(BC80+BC79)</f>
        <v>30</v>
      </c>
      <c r="BD84" s="106"/>
      <c r="BE84" s="106"/>
      <c r="BF84" s="106">
        <f>SUM(BF80+BF79)</f>
        <v>30</v>
      </c>
      <c r="BG84" s="106"/>
      <c r="BH84" s="106"/>
      <c r="BI84" s="106">
        <f>SUM(BI80+BI79)</f>
        <v>30</v>
      </c>
      <c r="BJ84" s="106"/>
      <c r="BK84" s="106"/>
      <c r="BL84" s="106">
        <f>SUM(BL80+BL79)</f>
        <v>30</v>
      </c>
      <c r="BM84" s="106"/>
      <c r="BN84" s="147"/>
      <c r="BO84" s="148">
        <f>SUM(P84/30)</f>
        <v>120</v>
      </c>
      <c r="BP84" s="105"/>
      <c r="BQ84" s="105"/>
      <c r="BR84" s="105"/>
      <c r="BS84" s="71">
        <f>SUM(V84/P84)*100</f>
        <v>20.833333333333336</v>
      </c>
      <c r="BT84" s="71">
        <f t="shared" si="32"/>
        <v>60</v>
      </c>
      <c r="BU84" s="71"/>
      <c r="BV84" s="15"/>
      <c r="BW84" s="15"/>
      <c r="BX84" s="71">
        <f t="shared" si="36"/>
        <v>120</v>
      </c>
      <c r="BY84" s="15">
        <f t="shared" si="37"/>
        <v>1</v>
      </c>
      <c r="BZ84" s="15" t="str">
        <f t="shared" si="38"/>
        <v>тўғри</v>
      </c>
    </row>
    <row r="85" spans="1:78" ht="14.25" customHeight="1" x14ac:dyDescent="0.25">
      <c r="A85" s="1"/>
      <c r="B85" s="16"/>
      <c r="C85" s="16"/>
      <c r="D85" s="17"/>
      <c r="E85" s="17"/>
      <c r="F85" s="17"/>
      <c r="G85" s="17"/>
      <c r="H85" s="17"/>
      <c r="I85" s="17"/>
      <c r="J85" s="17"/>
      <c r="K85" s="17"/>
      <c r="L85" s="17"/>
      <c r="M85" s="17"/>
      <c r="N85" s="17"/>
      <c r="O85" s="17"/>
      <c r="P85" s="18"/>
      <c r="Q85" s="18"/>
      <c r="R85" s="18"/>
      <c r="S85" s="18"/>
      <c r="T85" s="18"/>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
      <c r="BC85" s="1"/>
      <c r="BD85" s="1"/>
      <c r="BE85" s="1"/>
      <c r="BF85" s="1"/>
      <c r="BG85" s="1"/>
      <c r="BH85" s="1"/>
      <c r="BI85" s="1"/>
      <c r="BJ85" s="1"/>
      <c r="BK85" s="1"/>
      <c r="BL85" s="1"/>
      <c r="BM85" s="1"/>
      <c r="BN85" s="1"/>
      <c r="BO85" s="20"/>
      <c r="BP85" s="20"/>
      <c r="BQ85" s="20"/>
      <c r="BR85" s="20"/>
    </row>
    <row r="86" spans="1:78" ht="14.25" customHeight="1" thickBot="1" x14ac:dyDescent="0.3">
      <c r="A86" s="1"/>
      <c r="B86" s="16"/>
      <c r="C86" s="16"/>
      <c r="D86" s="17"/>
      <c r="E86" s="17"/>
      <c r="F86" s="17"/>
      <c r="G86" s="17"/>
      <c r="H86" s="17"/>
      <c r="I86" s="17"/>
      <c r="J86" s="17"/>
      <c r="K86" s="17"/>
      <c r="L86" s="17"/>
      <c r="M86" s="17"/>
      <c r="N86" s="17"/>
      <c r="O86" s="17"/>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
      <c r="BC86" s="1"/>
      <c r="BD86" s="1"/>
      <c r="BE86" s="1"/>
      <c r="BF86" s="1"/>
      <c r="BG86" s="1"/>
      <c r="BH86" s="1"/>
      <c r="BI86" s="1"/>
      <c r="BJ86" s="1"/>
      <c r="BK86" s="1"/>
      <c r="BL86" s="1"/>
      <c r="BM86" s="1"/>
      <c r="BN86" s="1"/>
      <c r="BO86" s="20"/>
      <c r="BP86" s="20"/>
      <c r="BQ86" s="20"/>
      <c r="BR86" s="20"/>
    </row>
    <row r="87" spans="1:78" s="24" customFormat="1" ht="14.25" customHeight="1" x14ac:dyDescent="0.35">
      <c r="A87" s="21"/>
      <c r="B87" s="16"/>
      <c r="C87" s="16"/>
      <c r="D87" s="74"/>
      <c r="E87" s="74"/>
      <c r="F87" s="74"/>
      <c r="G87" s="74"/>
      <c r="H87" s="74"/>
      <c r="I87" s="74"/>
      <c r="J87" s="74"/>
      <c r="K87" s="74"/>
      <c r="L87" s="74"/>
      <c r="M87" s="74"/>
      <c r="N87" s="74"/>
      <c r="O87" s="74"/>
      <c r="P87" s="22"/>
      <c r="Q87" s="22"/>
      <c r="R87" s="22"/>
      <c r="S87" s="22"/>
      <c r="T87" s="22"/>
      <c r="U87" s="22"/>
      <c r="V87" s="191" t="s">
        <v>129</v>
      </c>
      <c r="W87" s="192"/>
      <c r="X87" s="192"/>
      <c r="Y87" s="192"/>
      <c r="Z87" s="192"/>
      <c r="AA87" s="192"/>
      <c r="AB87" s="192"/>
      <c r="AC87" s="192"/>
      <c r="AD87" s="192"/>
      <c r="AE87" s="192"/>
      <c r="AF87" s="192"/>
      <c r="AG87" s="192"/>
      <c r="AH87" s="192"/>
      <c r="AI87" s="192"/>
      <c r="AJ87" s="192"/>
      <c r="AK87" s="192"/>
      <c r="AL87" s="192"/>
      <c r="AM87" s="192"/>
      <c r="AN87" s="192"/>
      <c r="AO87" s="192"/>
      <c r="AP87" s="192"/>
      <c r="AQ87" s="192"/>
      <c r="AR87" s="192"/>
      <c r="AS87" s="192"/>
      <c r="AT87" s="192"/>
      <c r="AU87" s="192"/>
      <c r="AV87" s="192"/>
      <c r="AW87" s="192"/>
      <c r="AX87" s="192"/>
      <c r="AY87" s="192"/>
      <c r="AZ87" s="193"/>
      <c r="BA87" s="22"/>
      <c r="BB87" s="22"/>
      <c r="BC87" s="22"/>
      <c r="BD87" s="22"/>
      <c r="BE87" s="22"/>
      <c r="BF87" s="22"/>
      <c r="BG87" s="22"/>
      <c r="BH87" s="22"/>
      <c r="BI87" s="22"/>
      <c r="BJ87" s="22"/>
      <c r="BK87" s="22"/>
      <c r="BL87" s="22"/>
      <c r="BM87" s="22"/>
      <c r="BN87" s="22"/>
      <c r="BO87" s="23"/>
      <c r="BP87" s="23"/>
      <c r="BQ87" s="23"/>
      <c r="BR87" s="23"/>
      <c r="BS87" s="1"/>
      <c r="BT87" s="1"/>
      <c r="BU87" s="1"/>
      <c r="BV87" s="1"/>
      <c r="BW87" s="1"/>
      <c r="BX87" s="1"/>
      <c r="BY87" s="1"/>
      <c r="BZ87" s="1"/>
    </row>
    <row r="88" spans="1:78" s="24" customFormat="1" ht="14.25" customHeight="1" x14ac:dyDescent="0.35">
      <c r="A88" s="21"/>
      <c r="B88" s="16"/>
      <c r="C88" s="16"/>
      <c r="D88" s="74"/>
      <c r="E88" s="74"/>
      <c r="F88" s="74"/>
      <c r="G88" s="74"/>
      <c r="H88" s="74"/>
      <c r="I88" s="74"/>
      <c r="J88" s="74"/>
      <c r="K88" s="74"/>
      <c r="L88" s="74"/>
      <c r="M88" s="74"/>
      <c r="N88" s="74"/>
      <c r="O88" s="74"/>
      <c r="P88" s="22"/>
      <c r="Q88" s="22"/>
      <c r="R88" s="22"/>
      <c r="S88" s="22"/>
      <c r="T88" s="22"/>
      <c r="U88" s="22"/>
      <c r="V88" s="194"/>
      <c r="W88" s="195"/>
      <c r="X88" s="195"/>
      <c r="Y88" s="195"/>
      <c r="Z88" s="195"/>
      <c r="AA88" s="195"/>
      <c r="AB88" s="195"/>
      <c r="AC88" s="195"/>
      <c r="AD88" s="195"/>
      <c r="AE88" s="195"/>
      <c r="AF88" s="195"/>
      <c r="AG88" s="195"/>
      <c r="AH88" s="195"/>
      <c r="AI88" s="195"/>
      <c r="AJ88" s="195"/>
      <c r="AK88" s="195"/>
      <c r="AL88" s="195"/>
      <c r="AM88" s="195"/>
      <c r="AN88" s="195"/>
      <c r="AO88" s="195"/>
      <c r="AP88" s="195"/>
      <c r="AQ88" s="195"/>
      <c r="AR88" s="195"/>
      <c r="AS88" s="195"/>
      <c r="AT88" s="195"/>
      <c r="AU88" s="195"/>
      <c r="AV88" s="195"/>
      <c r="AW88" s="195"/>
      <c r="AX88" s="195"/>
      <c r="AY88" s="195"/>
      <c r="AZ88" s="196"/>
      <c r="BA88" s="22"/>
      <c r="BB88" s="22"/>
      <c r="BC88" s="22"/>
      <c r="BD88" s="22"/>
      <c r="BE88" s="22"/>
      <c r="BF88" s="22"/>
      <c r="BG88" s="22"/>
      <c r="BH88" s="22"/>
      <c r="BI88" s="22"/>
      <c r="BJ88" s="22"/>
      <c r="BK88" s="22"/>
      <c r="BL88" s="22"/>
      <c r="BM88" s="22"/>
      <c r="BN88" s="22"/>
      <c r="BO88" s="23"/>
      <c r="BP88" s="23"/>
      <c r="BQ88" s="23"/>
      <c r="BR88" s="23"/>
      <c r="BS88" s="1"/>
      <c r="BT88" s="1"/>
      <c r="BU88" s="1"/>
      <c r="BV88" s="1"/>
      <c r="BW88" s="1"/>
      <c r="BX88" s="1"/>
      <c r="BY88" s="1"/>
      <c r="BZ88" s="1"/>
    </row>
    <row r="89" spans="1:78" s="24" customFormat="1" ht="14.25" customHeight="1" x14ac:dyDescent="0.35">
      <c r="A89" s="21"/>
      <c r="B89" s="16"/>
      <c r="C89" s="16"/>
      <c r="D89" s="74"/>
      <c r="E89" s="74"/>
      <c r="F89" s="74"/>
      <c r="G89" s="74"/>
      <c r="H89" s="74"/>
      <c r="I89" s="74"/>
      <c r="J89" s="74"/>
      <c r="K89" s="74"/>
      <c r="L89" s="74"/>
      <c r="M89" s="74"/>
      <c r="N89" s="74"/>
      <c r="O89" s="74"/>
      <c r="P89" s="22"/>
      <c r="Q89" s="22"/>
      <c r="R89" s="22"/>
      <c r="S89" s="22"/>
      <c r="T89" s="22"/>
      <c r="U89" s="22"/>
      <c r="V89" s="197" t="s">
        <v>141</v>
      </c>
      <c r="W89" s="198"/>
      <c r="X89" s="198"/>
      <c r="Y89" s="198"/>
      <c r="Z89" s="198"/>
      <c r="AA89" s="198"/>
      <c r="AB89" s="198"/>
      <c r="AC89" s="198"/>
      <c r="AD89" s="198"/>
      <c r="AE89" s="198"/>
      <c r="AF89" s="198"/>
      <c r="AG89" s="198"/>
      <c r="AH89" s="198"/>
      <c r="AI89" s="198"/>
      <c r="AJ89" s="198"/>
      <c r="AK89" s="198"/>
      <c r="AL89" s="198"/>
      <c r="AM89" s="198"/>
      <c r="AN89" s="198"/>
      <c r="AO89" s="198"/>
      <c r="AP89" s="198"/>
      <c r="AQ89" s="198"/>
      <c r="AR89" s="198"/>
      <c r="AS89" s="198"/>
      <c r="AT89" s="198"/>
      <c r="AU89" s="198"/>
      <c r="AV89" s="198"/>
      <c r="AW89" s="198"/>
      <c r="AX89" s="198"/>
      <c r="AY89" s="198"/>
      <c r="AZ89" s="199"/>
      <c r="BA89" s="22"/>
      <c r="BB89" s="22"/>
      <c r="BC89" s="22"/>
      <c r="BD89" s="22"/>
      <c r="BE89" s="22"/>
      <c r="BF89" s="22"/>
      <c r="BG89" s="22"/>
      <c r="BH89" s="22"/>
      <c r="BI89" s="22"/>
      <c r="BJ89" s="22"/>
      <c r="BK89" s="22"/>
      <c r="BL89" s="22"/>
      <c r="BM89" s="22"/>
      <c r="BN89" s="22"/>
      <c r="BO89" s="23"/>
      <c r="BP89" s="23"/>
      <c r="BQ89" s="23"/>
      <c r="BR89" s="23"/>
      <c r="BS89" s="1"/>
      <c r="BT89" s="1"/>
      <c r="BU89" s="1"/>
      <c r="BV89" s="1"/>
      <c r="BW89" s="1"/>
      <c r="BX89" s="1"/>
      <c r="BY89" s="1"/>
      <c r="BZ89" s="1"/>
    </row>
    <row r="90" spans="1:78" ht="14.25" customHeight="1" thickBot="1" x14ac:dyDescent="0.3">
      <c r="A90" s="1"/>
      <c r="B90" s="16"/>
      <c r="C90" s="16"/>
      <c r="D90" s="18"/>
      <c r="E90" s="18"/>
      <c r="F90" s="18"/>
      <c r="G90" s="18"/>
      <c r="H90" s="18"/>
      <c r="I90" s="18"/>
      <c r="J90" s="18"/>
      <c r="K90" s="18"/>
      <c r="L90" s="18"/>
      <c r="M90" s="18"/>
      <c r="N90" s="18"/>
      <c r="O90" s="18"/>
      <c r="P90" s="25"/>
      <c r="Q90" s="25"/>
      <c r="R90" s="25"/>
      <c r="S90" s="25"/>
      <c r="T90" s="25"/>
      <c r="U90" s="25"/>
      <c r="V90" s="200"/>
      <c r="W90" s="201"/>
      <c r="X90" s="201"/>
      <c r="Y90" s="201"/>
      <c r="Z90" s="201"/>
      <c r="AA90" s="201"/>
      <c r="AB90" s="201"/>
      <c r="AC90" s="201"/>
      <c r="AD90" s="201"/>
      <c r="AE90" s="201"/>
      <c r="AF90" s="201"/>
      <c r="AG90" s="201"/>
      <c r="AH90" s="201"/>
      <c r="AI90" s="201"/>
      <c r="AJ90" s="201"/>
      <c r="AK90" s="201"/>
      <c r="AL90" s="201"/>
      <c r="AM90" s="201"/>
      <c r="AN90" s="201"/>
      <c r="AO90" s="201"/>
      <c r="AP90" s="201"/>
      <c r="AQ90" s="201"/>
      <c r="AR90" s="201"/>
      <c r="AS90" s="201"/>
      <c r="AT90" s="201"/>
      <c r="AU90" s="201"/>
      <c r="AV90" s="201"/>
      <c r="AW90" s="201"/>
      <c r="AX90" s="201"/>
      <c r="AY90" s="201"/>
      <c r="AZ90" s="202"/>
      <c r="BA90" s="25"/>
      <c r="BB90" s="25"/>
      <c r="BC90" s="25"/>
      <c r="BD90" s="25"/>
      <c r="BE90" s="25"/>
      <c r="BF90" s="25"/>
      <c r="BG90" s="25"/>
      <c r="BH90" s="25"/>
      <c r="BI90" s="25"/>
      <c r="BJ90" s="25"/>
      <c r="BK90" s="25"/>
      <c r="BL90" s="25"/>
      <c r="BM90" s="25"/>
      <c r="BN90" s="25"/>
      <c r="BO90" s="26"/>
      <c r="BP90" s="26"/>
      <c r="BQ90" s="26"/>
      <c r="BR90" s="26"/>
    </row>
    <row r="91" spans="1:78" ht="14.25" customHeight="1" x14ac:dyDescent="0.25">
      <c r="A91" s="1"/>
      <c r="B91" s="16"/>
      <c r="C91" s="16"/>
      <c r="D91" s="18"/>
      <c r="E91" s="18"/>
      <c r="F91" s="18"/>
      <c r="G91" s="18"/>
      <c r="H91" s="18"/>
      <c r="I91" s="18"/>
      <c r="J91" s="18"/>
      <c r="K91" s="18"/>
      <c r="L91" s="18"/>
      <c r="M91" s="18"/>
      <c r="N91" s="18"/>
      <c r="O91" s="18"/>
      <c r="P91" s="25"/>
      <c r="Q91" s="25"/>
      <c r="R91" s="25"/>
      <c r="S91" s="25"/>
      <c r="T91" s="25"/>
      <c r="U91" s="25"/>
      <c r="V91" s="80"/>
      <c r="W91" s="80"/>
      <c r="X91" s="80"/>
      <c r="Y91" s="80"/>
      <c r="Z91" s="80"/>
      <c r="AA91" s="80"/>
      <c r="AB91" s="80"/>
      <c r="AC91" s="80"/>
      <c r="AD91" s="80"/>
      <c r="AE91" s="80"/>
      <c r="AF91" s="80"/>
      <c r="AG91" s="80"/>
      <c r="AH91" s="80"/>
      <c r="AI91" s="80"/>
      <c r="AJ91" s="80"/>
      <c r="AK91" s="80"/>
      <c r="AL91" s="80"/>
      <c r="AM91" s="80"/>
      <c r="AN91" s="80"/>
      <c r="AO91" s="80"/>
      <c r="AP91" s="80"/>
      <c r="AQ91" s="80"/>
      <c r="AR91" s="80"/>
      <c r="AS91" s="80"/>
      <c r="AT91" s="80"/>
      <c r="AU91" s="80"/>
      <c r="AV91" s="80"/>
      <c r="AW91" s="80"/>
      <c r="AX91" s="80"/>
      <c r="AY91" s="80"/>
      <c r="AZ91" s="80"/>
      <c r="BA91" s="25"/>
      <c r="BB91" s="25"/>
      <c r="BC91" s="25"/>
      <c r="BD91" s="25"/>
      <c r="BE91" s="25"/>
      <c r="BF91" s="25"/>
      <c r="BG91" s="25"/>
      <c r="BH91" s="25"/>
      <c r="BI91" s="25"/>
      <c r="BJ91" s="25"/>
      <c r="BK91" s="25"/>
      <c r="BL91" s="25"/>
      <c r="BM91" s="25"/>
      <c r="BN91" s="25"/>
      <c r="BO91" s="26"/>
      <c r="BP91" s="26"/>
      <c r="BQ91" s="26"/>
      <c r="BR91" s="26"/>
    </row>
    <row r="92" spans="1:78" ht="14.25" customHeight="1" x14ac:dyDescent="0.25">
      <c r="A92" s="27" t="s">
        <v>149</v>
      </c>
      <c r="B92" s="28"/>
      <c r="C92" s="28"/>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c r="AZ92" s="29"/>
      <c r="BA92" s="29"/>
      <c r="BB92" s="29"/>
      <c r="BC92" s="29"/>
      <c r="BD92" s="29"/>
      <c r="BE92" s="29"/>
      <c r="BF92" s="29"/>
      <c r="BG92" s="29"/>
      <c r="BH92" s="29"/>
      <c r="BI92" s="29"/>
      <c r="BJ92" s="29"/>
      <c r="BK92" s="29"/>
      <c r="BL92" s="29"/>
      <c r="BM92" s="29"/>
      <c r="BN92" s="29"/>
      <c r="BO92" s="30"/>
      <c r="BP92" s="30"/>
      <c r="BQ92" s="60"/>
      <c r="BR92" s="60"/>
    </row>
    <row r="93" spans="1:78" ht="14.25" customHeight="1" x14ac:dyDescent="0.25">
      <c r="A93" s="31" t="s">
        <v>13</v>
      </c>
      <c r="B93" s="207" t="s">
        <v>144</v>
      </c>
      <c r="C93" s="207"/>
      <c r="D93" s="207"/>
      <c r="E93" s="207"/>
      <c r="F93" s="207"/>
      <c r="G93" s="207"/>
      <c r="H93" s="207"/>
      <c r="I93" s="207"/>
      <c r="J93" s="207"/>
      <c r="K93" s="207"/>
      <c r="L93" s="207"/>
      <c r="M93" s="207"/>
      <c r="N93" s="207"/>
      <c r="O93" s="207"/>
      <c r="P93" s="207"/>
      <c r="Q93" s="207"/>
      <c r="R93" s="207"/>
      <c r="S93" s="207"/>
      <c r="T93" s="207"/>
      <c r="U93" s="207"/>
      <c r="V93" s="207"/>
      <c r="W93" s="207"/>
      <c r="X93" s="207"/>
      <c r="Y93" s="207"/>
      <c r="Z93" s="207"/>
      <c r="AA93" s="207"/>
      <c r="AB93" s="207"/>
      <c r="AC93" s="207"/>
      <c r="AD93" s="207"/>
      <c r="AE93" s="207"/>
      <c r="AF93" s="207"/>
      <c r="AG93" s="207"/>
      <c r="AH93" s="207"/>
      <c r="AI93" s="207"/>
      <c r="AJ93" s="207"/>
      <c r="AK93" s="207"/>
      <c r="AL93" s="207"/>
      <c r="AM93" s="207"/>
      <c r="AN93" s="207"/>
      <c r="AO93" s="207"/>
      <c r="AP93" s="207"/>
      <c r="AQ93" s="207"/>
      <c r="AR93" s="207"/>
      <c r="AS93" s="207"/>
      <c r="AT93" s="207"/>
      <c r="AU93" s="207"/>
      <c r="AV93" s="207"/>
      <c r="AW93" s="207"/>
      <c r="AX93" s="207"/>
      <c r="AY93" s="207"/>
      <c r="AZ93" s="207"/>
      <c r="BA93" s="207"/>
      <c r="BB93" s="207"/>
      <c r="BC93" s="207"/>
      <c r="BD93" s="207"/>
      <c r="BE93" s="207"/>
      <c r="BF93" s="207"/>
      <c r="BG93" s="207"/>
      <c r="BH93" s="207"/>
      <c r="BI93" s="207"/>
      <c r="BJ93" s="207"/>
      <c r="BK93" s="207"/>
      <c r="BL93" s="207"/>
      <c r="BM93" s="207"/>
      <c r="BN93" s="207"/>
      <c r="BO93" s="207"/>
      <c r="BP93" s="207"/>
      <c r="BQ93" s="255"/>
      <c r="BR93" s="255"/>
    </row>
    <row r="94" spans="1:78" ht="14.25" customHeight="1" x14ac:dyDescent="0.25">
      <c r="A94" s="31" t="s">
        <v>14</v>
      </c>
      <c r="B94" s="207" t="s">
        <v>145</v>
      </c>
      <c r="C94" s="207"/>
      <c r="D94" s="207"/>
      <c r="E94" s="207"/>
      <c r="F94" s="207"/>
      <c r="G94" s="207"/>
      <c r="H94" s="207"/>
      <c r="I94" s="207"/>
      <c r="J94" s="207"/>
      <c r="K94" s="207"/>
      <c r="L94" s="207"/>
      <c r="M94" s="207"/>
      <c r="N94" s="207"/>
      <c r="O94" s="207"/>
      <c r="P94" s="207"/>
      <c r="Q94" s="207"/>
      <c r="R94" s="207"/>
      <c r="S94" s="207"/>
      <c r="T94" s="207"/>
      <c r="U94" s="207"/>
      <c r="V94" s="207"/>
      <c r="W94" s="207"/>
      <c r="X94" s="207"/>
      <c r="Y94" s="207"/>
      <c r="Z94" s="207"/>
      <c r="AA94" s="207"/>
      <c r="AB94" s="207"/>
      <c r="AC94" s="207"/>
      <c r="AD94" s="207"/>
      <c r="AE94" s="207"/>
      <c r="AF94" s="207"/>
      <c r="AG94" s="207"/>
      <c r="AH94" s="207"/>
      <c r="AI94" s="207"/>
      <c r="AJ94" s="207"/>
      <c r="AK94" s="207"/>
      <c r="AL94" s="207"/>
      <c r="AM94" s="207"/>
      <c r="AN94" s="207"/>
      <c r="AO94" s="207"/>
      <c r="AP94" s="207"/>
      <c r="AQ94" s="207"/>
      <c r="AR94" s="207"/>
      <c r="AS94" s="207"/>
      <c r="AT94" s="207"/>
      <c r="AU94" s="207"/>
      <c r="AV94" s="207"/>
      <c r="AW94" s="207"/>
      <c r="AX94" s="207"/>
      <c r="AY94" s="207"/>
      <c r="AZ94" s="207"/>
      <c r="BA94" s="207"/>
      <c r="BB94" s="207"/>
      <c r="BC94" s="207"/>
      <c r="BD94" s="207"/>
      <c r="BE94" s="207"/>
      <c r="BF94" s="207"/>
      <c r="BG94" s="207"/>
      <c r="BH94" s="207"/>
      <c r="BI94" s="207"/>
      <c r="BJ94" s="207"/>
      <c r="BK94" s="207"/>
      <c r="BL94" s="207"/>
      <c r="BM94" s="207"/>
      <c r="BN94" s="207"/>
      <c r="BO94" s="207"/>
      <c r="BP94" s="207"/>
      <c r="BQ94" s="255"/>
      <c r="BR94" s="255"/>
    </row>
    <row r="95" spans="1:78" ht="14.25" customHeight="1" x14ac:dyDescent="0.25">
      <c r="A95" s="31" t="s">
        <v>15</v>
      </c>
      <c r="B95" s="207" t="s">
        <v>146</v>
      </c>
      <c r="C95" s="207"/>
      <c r="D95" s="207"/>
      <c r="E95" s="207"/>
      <c r="F95" s="207"/>
      <c r="G95" s="207"/>
      <c r="H95" s="207"/>
      <c r="I95" s="207"/>
      <c r="J95" s="207"/>
      <c r="K95" s="207"/>
      <c r="L95" s="207"/>
      <c r="M95" s="207"/>
      <c r="N95" s="207"/>
      <c r="O95" s="207"/>
      <c r="P95" s="207"/>
      <c r="Q95" s="207"/>
      <c r="R95" s="207"/>
      <c r="S95" s="207"/>
      <c r="T95" s="207"/>
      <c r="U95" s="207"/>
      <c r="V95" s="207"/>
      <c r="W95" s="207"/>
      <c r="X95" s="207"/>
      <c r="Y95" s="207"/>
      <c r="Z95" s="207"/>
      <c r="AA95" s="207"/>
      <c r="AB95" s="207"/>
      <c r="AC95" s="207"/>
      <c r="AD95" s="207"/>
      <c r="AE95" s="207"/>
      <c r="AF95" s="207"/>
      <c r="AG95" s="207"/>
      <c r="AH95" s="207"/>
      <c r="AI95" s="207"/>
      <c r="AJ95" s="207"/>
      <c r="AK95" s="207"/>
      <c r="AL95" s="207"/>
      <c r="AM95" s="207"/>
      <c r="AN95" s="207"/>
      <c r="AO95" s="207"/>
      <c r="AP95" s="207"/>
      <c r="AQ95" s="207"/>
      <c r="AR95" s="207"/>
      <c r="AS95" s="207"/>
      <c r="AT95" s="207"/>
      <c r="AU95" s="207"/>
      <c r="AV95" s="207"/>
      <c r="AW95" s="207"/>
      <c r="AX95" s="207"/>
      <c r="AY95" s="207"/>
      <c r="AZ95" s="207"/>
      <c r="BA95" s="207"/>
      <c r="BB95" s="207"/>
      <c r="BC95" s="207"/>
      <c r="BD95" s="207"/>
      <c r="BE95" s="207"/>
      <c r="BF95" s="207"/>
      <c r="BG95" s="207"/>
      <c r="BH95" s="207"/>
      <c r="BI95" s="207"/>
      <c r="BJ95" s="207"/>
      <c r="BK95" s="207"/>
      <c r="BL95" s="207"/>
      <c r="BM95" s="207"/>
      <c r="BN95" s="207"/>
      <c r="BO95" s="207"/>
      <c r="BP95" s="207"/>
      <c r="BQ95" s="23"/>
      <c r="BR95" s="23"/>
    </row>
    <row r="96" spans="1:78" ht="14.25" customHeight="1" x14ac:dyDescent="0.25">
      <c r="A96" s="31" t="s">
        <v>16</v>
      </c>
      <c r="B96" s="207" t="s">
        <v>188</v>
      </c>
      <c r="C96" s="207"/>
      <c r="D96" s="207"/>
      <c r="E96" s="207"/>
      <c r="F96" s="207"/>
      <c r="G96" s="207"/>
      <c r="H96" s="207"/>
      <c r="I96" s="207"/>
      <c r="J96" s="207"/>
      <c r="K96" s="207"/>
      <c r="L96" s="207"/>
      <c r="M96" s="207"/>
      <c r="N96" s="207"/>
      <c r="O96" s="207"/>
      <c r="P96" s="207"/>
      <c r="Q96" s="207"/>
      <c r="R96" s="207"/>
      <c r="S96" s="207"/>
      <c r="T96" s="207"/>
      <c r="U96" s="207"/>
      <c r="V96" s="207"/>
      <c r="W96" s="207"/>
      <c r="X96" s="207"/>
      <c r="Y96" s="207"/>
      <c r="Z96" s="207"/>
      <c r="AA96" s="207"/>
      <c r="AB96" s="207"/>
      <c r="AC96" s="207"/>
      <c r="AD96" s="207"/>
      <c r="AE96" s="207"/>
      <c r="AF96" s="207"/>
      <c r="AG96" s="207"/>
      <c r="AH96" s="207"/>
      <c r="AI96" s="207"/>
      <c r="AJ96" s="207"/>
      <c r="AK96" s="207"/>
      <c r="AL96" s="207"/>
      <c r="AM96" s="207"/>
      <c r="AN96" s="207"/>
      <c r="AO96" s="207"/>
      <c r="AP96" s="207"/>
      <c r="AQ96" s="207"/>
      <c r="AR96" s="207"/>
      <c r="AS96" s="207"/>
      <c r="AT96" s="207"/>
      <c r="AU96" s="207"/>
      <c r="AV96" s="207"/>
      <c r="AW96" s="207"/>
      <c r="AX96" s="207"/>
      <c r="AY96" s="207"/>
      <c r="AZ96" s="207"/>
      <c r="BA96" s="207"/>
      <c r="BB96" s="207"/>
      <c r="BC96" s="207"/>
      <c r="BD96" s="207"/>
      <c r="BE96" s="207"/>
      <c r="BF96" s="207"/>
      <c r="BG96" s="207"/>
      <c r="BH96" s="207"/>
      <c r="BI96" s="207"/>
      <c r="BJ96" s="207"/>
      <c r="BK96" s="207"/>
      <c r="BL96" s="207"/>
      <c r="BM96" s="207"/>
      <c r="BN96" s="207"/>
      <c r="BO96" s="207"/>
      <c r="BP96" s="207"/>
      <c r="BQ96" s="26"/>
      <c r="BR96" s="26"/>
    </row>
    <row r="97" spans="1:70" ht="14.25" customHeight="1" x14ac:dyDescent="0.25">
      <c r="A97" s="31" t="s">
        <v>17</v>
      </c>
      <c r="B97" s="207" t="s">
        <v>189</v>
      </c>
      <c r="C97" s="207"/>
      <c r="D97" s="207"/>
      <c r="E97" s="207"/>
      <c r="F97" s="207"/>
      <c r="G97" s="207"/>
      <c r="H97" s="207"/>
      <c r="I97" s="207"/>
      <c r="J97" s="207"/>
      <c r="K97" s="207"/>
      <c r="L97" s="207"/>
      <c r="M97" s="207"/>
      <c r="N97" s="207"/>
      <c r="O97" s="207"/>
      <c r="P97" s="207"/>
      <c r="Q97" s="207"/>
      <c r="R97" s="207"/>
      <c r="S97" s="207"/>
      <c r="T97" s="207"/>
      <c r="U97" s="207"/>
      <c r="V97" s="207"/>
      <c r="W97" s="207"/>
      <c r="X97" s="207"/>
      <c r="Y97" s="207"/>
      <c r="Z97" s="207"/>
      <c r="AA97" s="207"/>
      <c r="AB97" s="207"/>
      <c r="AC97" s="207"/>
      <c r="AD97" s="207"/>
      <c r="AE97" s="207"/>
      <c r="AF97" s="207"/>
      <c r="AG97" s="207"/>
      <c r="AH97" s="207"/>
      <c r="AI97" s="207"/>
      <c r="AJ97" s="207"/>
      <c r="AK97" s="207"/>
      <c r="AL97" s="207"/>
      <c r="AM97" s="207"/>
      <c r="AN97" s="207"/>
      <c r="AO97" s="207"/>
      <c r="AP97" s="207"/>
      <c r="AQ97" s="207"/>
      <c r="AR97" s="207"/>
      <c r="AS97" s="207"/>
      <c r="AT97" s="207"/>
      <c r="AU97" s="207"/>
      <c r="AV97" s="207"/>
      <c r="AW97" s="207"/>
      <c r="AX97" s="207"/>
      <c r="AY97" s="207"/>
      <c r="AZ97" s="207"/>
      <c r="BA97" s="207"/>
      <c r="BB97" s="207"/>
      <c r="BC97" s="207"/>
      <c r="BD97" s="207"/>
      <c r="BE97" s="207"/>
      <c r="BF97" s="207"/>
      <c r="BG97" s="207"/>
      <c r="BH97" s="207"/>
      <c r="BI97" s="207"/>
      <c r="BJ97" s="207"/>
      <c r="BK97" s="207"/>
      <c r="BL97" s="207"/>
      <c r="BM97" s="207"/>
      <c r="BN97" s="207"/>
      <c r="BO97" s="207"/>
      <c r="BP97" s="207"/>
      <c r="BQ97" s="84"/>
      <c r="BR97" s="84"/>
    </row>
    <row r="98" spans="1:70" ht="14.25" customHeight="1" x14ac:dyDescent="0.25">
      <c r="A98" s="31" t="s">
        <v>18</v>
      </c>
      <c r="B98" s="207" t="s">
        <v>199</v>
      </c>
      <c r="C98" s="207"/>
      <c r="D98" s="207"/>
      <c r="E98" s="207"/>
      <c r="F98" s="207"/>
      <c r="G98" s="207"/>
      <c r="H98" s="207"/>
      <c r="I98" s="207"/>
      <c r="J98" s="207"/>
      <c r="K98" s="207"/>
      <c r="L98" s="207"/>
      <c r="M98" s="207"/>
      <c r="N98" s="207"/>
      <c r="O98" s="207"/>
      <c r="P98" s="207"/>
      <c r="Q98" s="207"/>
      <c r="R98" s="207"/>
      <c r="S98" s="207"/>
      <c r="T98" s="207"/>
      <c r="U98" s="207"/>
      <c r="V98" s="207"/>
      <c r="W98" s="207"/>
      <c r="X98" s="207"/>
      <c r="Y98" s="207"/>
      <c r="Z98" s="207"/>
      <c r="AA98" s="207"/>
      <c r="AB98" s="207"/>
      <c r="AC98" s="207"/>
      <c r="AD98" s="207"/>
      <c r="AE98" s="207"/>
      <c r="AF98" s="207"/>
      <c r="AG98" s="207"/>
      <c r="AH98" s="207"/>
      <c r="AI98" s="207"/>
      <c r="AJ98" s="207"/>
      <c r="AK98" s="207"/>
      <c r="AL98" s="207"/>
      <c r="AM98" s="207"/>
      <c r="AN98" s="207"/>
      <c r="AO98" s="207"/>
      <c r="AP98" s="207"/>
      <c r="AQ98" s="207"/>
      <c r="AR98" s="207"/>
      <c r="AS98" s="207"/>
      <c r="AT98" s="207"/>
      <c r="AU98" s="207"/>
      <c r="AV98" s="207"/>
      <c r="AW98" s="207"/>
      <c r="AX98" s="207"/>
      <c r="AY98" s="207"/>
      <c r="AZ98" s="207"/>
      <c r="BA98" s="207"/>
      <c r="BB98" s="207"/>
      <c r="BC98" s="207"/>
      <c r="BD98" s="207"/>
      <c r="BE98" s="207"/>
      <c r="BF98" s="207"/>
      <c r="BG98" s="207"/>
      <c r="BH98" s="207"/>
      <c r="BI98" s="207"/>
      <c r="BJ98" s="207"/>
      <c r="BK98" s="207"/>
      <c r="BL98" s="207"/>
      <c r="BM98" s="207"/>
      <c r="BN98" s="207"/>
      <c r="BO98" s="207"/>
      <c r="BP98" s="207"/>
      <c r="BQ98" s="84"/>
      <c r="BR98" s="84"/>
    </row>
    <row r="99" spans="1:70" ht="14.25" customHeight="1" x14ac:dyDescent="0.25">
      <c r="A99" s="31"/>
      <c r="B99" s="207" t="s">
        <v>251</v>
      </c>
      <c r="C99" s="207"/>
      <c r="D99" s="207"/>
      <c r="E99" s="207"/>
      <c r="F99" s="207"/>
      <c r="G99" s="207"/>
      <c r="H99" s="207"/>
      <c r="I99" s="207"/>
      <c r="J99" s="207"/>
      <c r="K99" s="207"/>
      <c r="L99" s="207"/>
      <c r="M99" s="207"/>
      <c r="N99" s="207"/>
      <c r="O99" s="207"/>
      <c r="P99" s="207"/>
      <c r="Q99" s="207"/>
      <c r="R99" s="207"/>
      <c r="S99" s="207"/>
      <c r="T99" s="207"/>
      <c r="U99" s="207"/>
      <c r="V99" s="207"/>
      <c r="W99" s="207"/>
      <c r="X99" s="207"/>
      <c r="Y99" s="207"/>
      <c r="Z99" s="207"/>
      <c r="AA99" s="207"/>
      <c r="AB99" s="207"/>
      <c r="AC99" s="207"/>
      <c r="AD99" s="207"/>
      <c r="AE99" s="207"/>
      <c r="AF99" s="207"/>
      <c r="AG99" s="207"/>
      <c r="AH99" s="207"/>
      <c r="AI99" s="207"/>
      <c r="AJ99" s="207"/>
      <c r="AK99" s="207"/>
      <c r="AL99" s="207"/>
      <c r="AM99" s="207"/>
      <c r="AN99" s="207"/>
      <c r="AO99" s="207"/>
      <c r="AP99" s="207"/>
      <c r="AQ99" s="207"/>
      <c r="AR99" s="207"/>
      <c r="AS99" s="207"/>
      <c r="AT99" s="207"/>
      <c r="AU99" s="207"/>
      <c r="AV99" s="207"/>
      <c r="AW99" s="207"/>
      <c r="AX99" s="207"/>
      <c r="AY99" s="207"/>
      <c r="AZ99" s="207"/>
      <c r="BA99" s="207"/>
      <c r="BB99" s="207"/>
      <c r="BC99" s="207"/>
      <c r="BD99" s="207"/>
      <c r="BE99" s="207"/>
      <c r="BF99" s="207"/>
      <c r="BG99" s="207"/>
      <c r="BH99" s="207"/>
      <c r="BI99" s="207"/>
      <c r="BJ99" s="207"/>
      <c r="BK99" s="207"/>
      <c r="BL99" s="207"/>
      <c r="BM99" s="207"/>
      <c r="BN99" s="207"/>
      <c r="BO99" s="207"/>
      <c r="BP99" s="207"/>
      <c r="BQ99" s="84"/>
      <c r="BR99" s="84"/>
    </row>
    <row r="100" spans="1:70" ht="14.25" customHeight="1" x14ac:dyDescent="0.25">
      <c r="A100" s="31" t="s">
        <v>19</v>
      </c>
      <c r="B100" s="207" t="s">
        <v>158</v>
      </c>
      <c r="C100" s="207"/>
      <c r="D100" s="207"/>
      <c r="E100" s="207"/>
      <c r="F100" s="207"/>
      <c r="G100" s="207"/>
      <c r="H100" s="207"/>
      <c r="I100" s="207"/>
      <c r="J100" s="207"/>
      <c r="K100" s="207"/>
      <c r="L100" s="207"/>
      <c r="M100" s="207"/>
      <c r="N100" s="207"/>
      <c r="O100" s="207"/>
      <c r="P100" s="207"/>
      <c r="Q100" s="207"/>
      <c r="R100" s="207"/>
      <c r="S100" s="207"/>
      <c r="T100" s="207"/>
      <c r="U100" s="207"/>
      <c r="V100" s="207"/>
      <c r="W100" s="207"/>
      <c r="X100" s="207"/>
      <c r="Y100" s="207"/>
      <c r="Z100" s="207"/>
      <c r="AA100" s="207"/>
      <c r="AB100" s="207"/>
      <c r="AC100" s="207"/>
      <c r="AD100" s="207"/>
      <c r="AE100" s="207"/>
      <c r="AF100" s="207"/>
      <c r="AG100" s="207"/>
      <c r="AH100" s="207"/>
      <c r="AI100" s="207"/>
      <c r="AJ100" s="207"/>
      <c r="AK100" s="207"/>
      <c r="AL100" s="207"/>
      <c r="AM100" s="207"/>
      <c r="AN100" s="207"/>
      <c r="AO100" s="207"/>
      <c r="AP100" s="207"/>
      <c r="AQ100" s="207"/>
      <c r="AR100" s="207"/>
      <c r="AS100" s="207"/>
      <c r="AT100" s="207"/>
      <c r="AU100" s="207"/>
      <c r="AV100" s="207"/>
      <c r="AW100" s="207"/>
      <c r="AX100" s="207"/>
      <c r="AY100" s="207"/>
      <c r="AZ100" s="207"/>
      <c r="BA100" s="207"/>
      <c r="BB100" s="207"/>
      <c r="BC100" s="207"/>
      <c r="BD100" s="207"/>
      <c r="BE100" s="207"/>
      <c r="BF100" s="207"/>
      <c r="BG100" s="207"/>
      <c r="BH100" s="207"/>
      <c r="BI100" s="207"/>
      <c r="BJ100" s="207"/>
      <c r="BK100" s="207"/>
      <c r="BL100" s="207"/>
      <c r="BM100" s="207"/>
      <c r="BN100" s="207"/>
      <c r="BO100" s="207"/>
      <c r="BP100" s="207"/>
      <c r="BQ100" s="84"/>
      <c r="BR100" s="84"/>
    </row>
    <row r="101" spans="1:70" ht="14.25" customHeight="1" x14ac:dyDescent="0.25">
      <c r="A101" s="31" t="s">
        <v>20</v>
      </c>
      <c r="B101" s="207" t="s">
        <v>167</v>
      </c>
      <c r="C101" s="207"/>
      <c r="D101" s="207"/>
      <c r="E101" s="207"/>
      <c r="F101" s="207"/>
      <c r="G101" s="207"/>
      <c r="H101" s="207"/>
      <c r="I101" s="207"/>
      <c r="J101" s="207"/>
      <c r="K101" s="207"/>
      <c r="L101" s="207"/>
      <c r="M101" s="207"/>
      <c r="N101" s="207"/>
      <c r="O101" s="207"/>
      <c r="P101" s="207"/>
      <c r="Q101" s="207"/>
      <c r="R101" s="207"/>
      <c r="S101" s="207"/>
      <c r="T101" s="207"/>
      <c r="U101" s="207"/>
      <c r="V101" s="207"/>
      <c r="W101" s="207"/>
      <c r="X101" s="207"/>
      <c r="Y101" s="207"/>
      <c r="Z101" s="207"/>
      <c r="AA101" s="207"/>
      <c r="AB101" s="207"/>
      <c r="AC101" s="207"/>
      <c r="AD101" s="207"/>
      <c r="AE101" s="207"/>
      <c r="AF101" s="207"/>
      <c r="AG101" s="207"/>
      <c r="AH101" s="207"/>
      <c r="AI101" s="207"/>
      <c r="AJ101" s="207"/>
      <c r="AK101" s="207"/>
      <c r="AL101" s="207"/>
      <c r="AM101" s="207"/>
      <c r="AN101" s="207"/>
      <c r="AO101" s="207"/>
      <c r="AP101" s="207"/>
      <c r="AQ101" s="207"/>
      <c r="AR101" s="207"/>
      <c r="AS101" s="207"/>
      <c r="AT101" s="207"/>
      <c r="AU101" s="207"/>
      <c r="AV101" s="207"/>
      <c r="AW101" s="207"/>
      <c r="AX101" s="207"/>
      <c r="AY101" s="207"/>
      <c r="AZ101" s="207"/>
      <c r="BA101" s="207"/>
      <c r="BB101" s="207"/>
      <c r="BC101" s="207"/>
      <c r="BD101" s="207"/>
      <c r="BE101" s="207"/>
      <c r="BF101" s="207"/>
      <c r="BG101" s="207"/>
      <c r="BH101" s="207"/>
      <c r="BI101" s="207"/>
      <c r="BJ101" s="207"/>
      <c r="BK101" s="207"/>
      <c r="BL101" s="207"/>
      <c r="BM101" s="207"/>
      <c r="BN101" s="207"/>
      <c r="BO101" s="207"/>
      <c r="BP101" s="207"/>
      <c r="BQ101" s="84"/>
      <c r="BR101" s="84"/>
    </row>
    <row r="102" spans="1:70" ht="14.25" customHeight="1" x14ac:dyDescent="0.25">
      <c r="A102" s="31"/>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row>
    <row r="103" spans="1:70" ht="14.25" customHeight="1" x14ac:dyDescent="0.25">
      <c r="A103" s="31"/>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row>
    <row r="104" spans="1:70" ht="14.25" customHeight="1" x14ac:dyDescent="0.25">
      <c r="A104" s="143"/>
      <c r="B104" s="143"/>
      <c r="C104" s="143"/>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32"/>
      <c r="Z104" s="32"/>
      <c r="AA104" s="32"/>
      <c r="AB104" s="32"/>
      <c r="AC104" s="32"/>
      <c r="AD104" s="32"/>
      <c r="AE104" s="32"/>
      <c r="AF104" s="32"/>
      <c r="AG104" s="32"/>
      <c r="AH104" s="32"/>
      <c r="AI104" s="32"/>
      <c r="AJ104" s="142" t="s">
        <v>71</v>
      </c>
      <c r="AK104" s="142"/>
      <c r="AL104" s="142"/>
      <c r="AM104" s="142"/>
      <c r="AN104" s="142"/>
      <c r="AO104" s="142"/>
      <c r="AP104" s="142"/>
      <c r="AQ104" s="142"/>
      <c r="AR104" s="142"/>
      <c r="AS104" s="142"/>
      <c r="AT104" s="142"/>
      <c r="AU104" s="142"/>
      <c r="AV104" s="142"/>
      <c r="AW104" s="142"/>
      <c r="AX104" s="142"/>
      <c r="AY104" s="142"/>
      <c r="AZ104" s="142"/>
      <c r="BA104" s="142"/>
      <c r="BB104" s="142"/>
      <c r="BC104" s="142"/>
      <c r="BD104" s="142"/>
      <c r="BE104" s="142"/>
      <c r="BF104" s="142"/>
      <c r="BG104" s="142"/>
      <c r="BH104" s="142"/>
      <c r="BI104" s="142"/>
      <c r="BJ104" s="142"/>
      <c r="BK104" s="142"/>
      <c r="BL104" s="142"/>
      <c r="BM104" s="142"/>
      <c r="BN104" s="142"/>
      <c r="BO104" s="142"/>
      <c r="BP104" s="142"/>
      <c r="BQ104" s="142"/>
      <c r="BR104" s="142"/>
    </row>
    <row r="105" spans="1:70" ht="14.25" customHeight="1" x14ac:dyDescent="0.25">
      <c r="A105" s="33"/>
      <c r="B105" s="34"/>
      <c r="C105" s="34"/>
      <c r="D105" s="33"/>
      <c r="E105" s="33"/>
      <c r="F105" s="33"/>
      <c r="G105" s="33"/>
      <c r="H105" s="33"/>
      <c r="I105" s="33"/>
      <c r="J105" s="33"/>
      <c r="K105" s="33"/>
      <c r="L105" s="33"/>
      <c r="M105" s="33"/>
      <c r="N105" s="33"/>
      <c r="O105" s="33"/>
      <c r="P105" s="33"/>
      <c r="Q105" s="33"/>
      <c r="R105" s="33"/>
      <c r="S105" s="33"/>
      <c r="T105" s="35"/>
      <c r="U105" s="35"/>
      <c r="V105" s="35"/>
      <c r="W105" s="35"/>
      <c r="X105" s="35"/>
      <c r="Y105" s="36"/>
      <c r="Z105" s="36"/>
      <c r="AA105" s="36"/>
      <c r="AB105" s="36"/>
      <c r="AC105" s="36"/>
      <c r="AD105" s="36"/>
      <c r="AE105" s="36"/>
      <c r="AF105" s="36"/>
      <c r="AG105" s="36"/>
      <c r="AH105" s="36"/>
      <c r="AI105" s="36"/>
      <c r="AJ105" s="142"/>
      <c r="AK105" s="142"/>
      <c r="AL105" s="142"/>
      <c r="AM105" s="142"/>
      <c r="AN105" s="142"/>
      <c r="AO105" s="142"/>
      <c r="AP105" s="142"/>
      <c r="AQ105" s="142"/>
      <c r="AR105" s="142"/>
      <c r="AS105" s="142"/>
      <c r="AT105" s="142"/>
      <c r="AU105" s="142"/>
      <c r="AV105" s="142"/>
      <c r="AW105" s="142"/>
      <c r="AX105" s="142"/>
      <c r="AY105" s="142"/>
      <c r="AZ105" s="142"/>
      <c r="BA105" s="142"/>
      <c r="BB105" s="142"/>
      <c r="BC105" s="142"/>
      <c r="BD105" s="142"/>
      <c r="BE105" s="142"/>
      <c r="BF105" s="142"/>
      <c r="BG105" s="142"/>
      <c r="BH105" s="142"/>
      <c r="BI105" s="142"/>
      <c r="BJ105" s="142"/>
      <c r="BK105" s="142"/>
      <c r="BL105" s="142"/>
      <c r="BM105" s="142"/>
      <c r="BN105" s="142"/>
      <c r="BO105" s="142"/>
      <c r="BP105" s="142"/>
      <c r="BQ105" s="142"/>
      <c r="BR105" s="142"/>
    </row>
    <row r="106" spans="1:70" ht="14.25" customHeight="1" x14ac:dyDescent="0.25">
      <c r="A106" s="33"/>
      <c r="B106" s="34"/>
      <c r="C106" s="34"/>
      <c r="D106" s="33"/>
      <c r="E106" s="33"/>
      <c r="F106" s="33"/>
      <c r="G106" s="33"/>
      <c r="H106" s="33"/>
      <c r="I106" s="33"/>
      <c r="J106" s="33"/>
      <c r="K106" s="33"/>
      <c r="L106" s="33"/>
      <c r="M106" s="33"/>
      <c r="N106" s="33"/>
      <c r="O106" s="33"/>
      <c r="P106" s="33"/>
      <c r="Q106" s="33"/>
      <c r="R106" s="33"/>
      <c r="S106" s="33"/>
      <c r="T106" s="35"/>
      <c r="U106" s="35"/>
      <c r="V106" s="35"/>
      <c r="W106" s="35"/>
      <c r="X106" s="35"/>
      <c r="Y106" s="36"/>
      <c r="Z106" s="36"/>
      <c r="AA106" s="36"/>
      <c r="AB106" s="36"/>
      <c r="AC106" s="36"/>
      <c r="AD106" s="36"/>
      <c r="AE106" s="36"/>
      <c r="AF106" s="36"/>
      <c r="AG106" s="36"/>
      <c r="AH106" s="36"/>
      <c r="AI106" s="36"/>
      <c r="AJ106" s="142"/>
      <c r="AK106" s="142"/>
      <c r="AL106" s="142"/>
      <c r="AM106" s="142"/>
      <c r="AN106" s="142"/>
      <c r="AO106" s="142"/>
      <c r="AP106" s="142"/>
      <c r="AQ106" s="142"/>
      <c r="AR106" s="142"/>
      <c r="AS106" s="142"/>
      <c r="AT106" s="142"/>
      <c r="AU106" s="142"/>
      <c r="AV106" s="142"/>
      <c r="AW106" s="142"/>
      <c r="AX106" s="142"/>
      <c r="AY106" s="142"/>
      <c r="AZ106" s="142"/>
      <c r="BA106" s="142"/>
      <c r="BB106" s="142"/>
      <c r="BC106" s="142"/>
      <c r="BD106" s="142"/>
      <c r="BE106" s="142"/>
      <c r="BF106" s="142"/>
      <c r="BG106" s="142"/>
      <c r="BH106" s="142"/>
      <c r="BI106" s="142"/>
      <c r="BJ106" s="142"/>
      <c r="BK106" s="142"/>
      <c r="BL106" s="142"/>
      <c r="BM106" s="142"/>
      <c r="BN106" s="142"/>
      <c r="BO106" s="142"/>
      <c r="BP106" s="142"/>
      <c r="BQ106" s="142"/>
      <c r="BR106" s="142"/>
    </row>
    <row r="107" spans="1:70" ht="14.25" customHeight="1" x14ac:dyDescent="0.25">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6"/>
      <c r="AG107" s="36"/>
      <c r="AH107" s="36"/>
      <c r="AI107" s="36"/>
      <c r="AJ107" s="142"/>
      <c r="AK107" s="142"/>
      <c r="AL107" s="142"/>
      <c r="AM107" s="142"/>
      <c r="AN107" s="142"/>
      <c r="AO107" s="142"/>
      <c r="AP107" s="142"/>
      <c r="AQ107" s="142"/>
      <c r="AR107" s="142"/>
      <c r="AS107" s="142"/>
      <c r="AT107" s="142"/>
      <c r="AU107" s="142"/>
      <c r="AV107" s="142"/>
      <c r="AW107" s="142"/>
      <c r="AX107" s="142"/>
      <c r="AY107" s="142"/>
      <c r="AZ107" s="142"/>
      <c r="BA107" s="142"/>
      <c r="BB107" s="142"/>
      <c r="BC107" s="142"/>
      <c r="BD107" s="142"/>
      <c r="BE107" s="142"/>
      <c r="BF107" s="142"/>
      <c r="BG107" s="142"/>
      <c r="BH107" s="142"/>
      <c r="BI107" s="142"/>
      <c r="BJ107" s="142"/>
      <c r="BK107" s="142"/>
      <c r="BL107" s="142"/>
      <c r="BM107" s="142"/>
      <c r="BN107" s="142"/>
      <c r="BO107" s="142"/>
      <c r="BP107" s="142"/>
      <c r="BQ107" s="142"/>
      <c r="BR107" s="142"/>
    </row>
    <row r="108" spans="1:70" ht="14.25" customHeight="1" x14ac:dyDescent="0.25">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6"/>
      <c r="AG108" s="36"/>
      <c r="AH108" s="36"/>
      <c r="AI108" s="36"/>
      <c r="AJ108" s="142"/>
      <c r="AK108" s="142"/>
      <c r="AL108" s="142"/>
      <c r="AM108" s="142"/>
      <c r="AN108" s="142"/>
      <c r="AO108" s="142"/>
      <c r="AP108" s="142"/>
      <c r="AQ108" s="142"/>
      <c r="AR108" s="142"/>
      <c r="AS108" s="142"/>
      <c r="AT108" s="142"/>
      <c r="AU108" s="142"/>
      <c r="AV108" s="142"/>
      <c r="AW108" s="142"/>
      <c r="AX108" s="142"/>
      <c r="AY108" s="142"/>
      <c r="AZ108" s="142"/>
      <c r="BA108" s="142"/>
      <c r="BB108" s="142"/>
      <c r="BC108" s="142"/>
      <c r="BD108" s="142"/>
      <c r="BE108" s="142"/>
      <c r="BF108" s="142"/>
      <c r="BG108" s="142"/>
      <c r="BH108" s="142"/>
      <c r="BI108" s="142"/>
      <c r="BJ108" s="142"/>
      <c r="BK108" s="142"/>
      <c r="BL108" s="142"/>
      <c r="BM108" s="142"/>
      <c r="BN108" s="142"/>
      <c r="BO108" s="142"/>
      <c r="BP108" s="142"/>
      <c r="BQ108" s="142"/>
      <c r="BR108" s="142"/>
    </row>
    <row r="109" spans="1:70" ht="14.25" customHeight="1" x14ac:dyDescent="0.25">
      <c r="A109" s="38"/>
      <c r="B109" s="16"/>
      <c r="C109" s="16"/>
      <c r="D109" s="38"/>
      <c r="E109" s="38"/>
      <c r="F109" s="38"/>
      <c r="G109" s="38"/>
      <c r="H109" s="38"/>
      <c r="I109" s="38"/>
      <c r="J109" s="38"/>
      <c r="K109" s="38"/>
      <c r="L109" s="38"/>
      <c r="M109" s="38"/>
      <c r="N109" s="38"/>
      <c r="O109" s="38"/>
      <c r="P109" s="38"/>
      <c r="Q109" s="38"/>
      <c r="R109" s="38"/>
      <c r="S109" s="38"/>
      <c r="T109" s="39"/>
      <c r="U109" s="39"/>
      <c r="V109" s="39"/>
      <c r="W109" s="39"/>
      <c r="X109" s="39"/>
      <c r="Y109" s="38"/>
      <c r="Z109" s="38"/>
      <c r="AA109" s="38"/>
      <c r="AB109" s="38"/>
      <c r="AC109" s="38"/>
      <c r="AD109" s="38"/>
      <c r="AE109" s="38"/>
      <c r="AF109" s="36"/>
      <c r="AG109" s="36"/>
      <c r="AH109" s="36"/>
      <c r="AI109" s="36"/>
      <c r="AJ109" s="142"/>
      <c r="AK109" s="142"/>
      <c r="AL109" s="142"/>
      <c r="AM109" s="142"/>
      <c r="AN109" s="142"/>
      <c r="AO109" s="142"/>
      <c r="AP109" s="142"/>
      <c r="AQ109" s="142"/>
      <c r="AR109" s="142"/>
      <c r="AS109" s="142"/>
      <c r="AT109" s="142"/>
      <c r="AU109" s="142"/>
      <c r="AV109" s="142"/>
      <c r="AW109" s="142"/>
      <c r="AX109" s="142"/>
      <c r="AY109" s="142"/>
      <c r="AZ109" s="142"/>
      <c r="BA109" s="142"/>
      <c r="BB109" s="142"/>
      <c r="BC109" s="142"/>
      <c r="BD109" s="142"/>
      <c r="BE109" s="142"/>
      <c r="BF109" s="142"/>
      <c r="BG109" s="142"/>
      <c r="BH109" s="142"/>
      <c r="BI109" s="142"/>
      <c r="BJ109" s="142"/>
      <c r="BK109" s="142"/>
      <c r="BL109" s="142"/>
      <c r="BM109" s="142"/>
      <c r="BN109" s="142"/>
      <c r="BO109" s="142"/>
      <c r="BP109" s="142"/>
      <c r="BQ109" s="142"/>
      <c r="BR109" s="142"/>
    </row>
    <row r="110" spans="1:70" ht="14.25" customHeight="1" x14ac:dyDescent="0.25">
      <c r="A110" s="70"/>
      <c r="B110" s="16"/>
      <c r="C110" s="16"/>
      <c r="D110" s="70"/>
      <c r="E110" s="70"/>
      <c r="F110" s="70"/>
      <c r="G110" s="70"/>
      <c r="H110" s="70"/>
      <c r="I110" s="70"/>
      <c r="J110" s="70"/>
      <c r="K110" s="70"/>
      <c r="L110" s="70"/>
      <c r="M110" s="70"/>
      <c r="N110" s="70"/>
      <c r="O110" s="70"/>
      <c r="P110" s="70"/>
      <c r="Q110" s="70"/>
      <c r="R110" s="70"/>
      <c r="S110" s="70"/>
      <c r="T110" s="40"/>
      <c r="U110" s="40"/>
      <c r="V110" s="40"/>
      <c r="W110" s="40"/>
      <c r="X110" s="40"/>
      <c r="Y110" s="38"/>
      <c r="Z110" s="38"/>
      <c r="AA110" s="38"/>
      <c r="AB110" s="38"/>
      <c r="AC110" s="38"/>
      <c r="AD110" s="38"/>
      <c r="AE110" s="38"/>
      <c r="AF110" s="36"/>
      <c r="AG110" s="36"/>
      <c r="AH110" s="36"/>
      <c r="AI110" s="36"/>
      <c r="AJ110" s="142"/>
      <c r="AK110" s="142"/>
      <c r="AL110" s="142"/>
      <c r="AM110" s="142"/>
      <c r="AN110" s="142"/>
      <c r="AO110" s="142"/>
      <c r="AP110" s="142"/>
      <c r="AQ110" s="142"/>
      <c r="AR110" s="142"/>
      <c r="AS110" s="142"/>
      <c r="AT110" s="142"/>
      <c r="AU110" s="142"/>
      <c r="AV110" s="142"/>
      <c r="AW110" s="142"/>
      <c r="AX110" s="142"/>
      <c r="AY110" s="142"/>
      <c r="AZ110" s="142"/>
      <c r="BA110" s="142"/>
      <c r="BB110" s="142"/>
      <c r="BC110" s="142"/>
      <c r="BD110" s="142"/>
      <c r="BE110" s="142"/>
      <c r="BF110" s="142"/>
      <c r="BG110" s="142"/>
      <c r="BH110" s="142"/>
      <c r="BI110" s="142"/>
      <c r="BJ110" s="142"/>
      <c r="BK110" s="142"/>
      <c r="BL110" s="142"/>
      <c r="BM110" s="142"/>
      <c r="BN110" s="142"/>
      <c r="BO110" s="142"/>
      <c r="BP110" s="142"/>
      <c r="BQ110" s="142"/>
      <c r="BR110" s="142"/>
    </row>
    <row r="111" spans="1:70" ht="14.25" customHeight="1" x14ac:dyDescent="0.3">
      <c r="A111" s="70"/>
      <c r="B111" s="16"/>
      <c r="C111" s="16"/>
      <c r="D111" s="70"/>
      <c r="E111" s="70"/>
      <c r="F111" s="70"/>
      <c r="G111" s="70"/>
      <c r="H111" s="70"/>
      <c r="I111" s="70"/>
      <c r="J111" s="70"/>
      <c r="K111" s="70"/>
      <c r="L111" s="70"/>
      <c r="M111" s="70"/>
      <c r="N111" s="70"/>
      <c r="O111" s="70"/>
      <c r="P111" s="70"/>
      <c r="Q111" s="70"/>
      <c r="R111" s="70"/>
      <c r="S111" s="70"/>
      <c r="T111" s="40"/>
      <c r="U111" s="40"/>
      <c r="V111" s="40"/>
      <c r="W111" s="40"/>
      <c r="X111" s="40"/>
      <c r="Y111" s="38"/>
      <c r="Z111" s="38"/>
      <c r="AA111" s="38"/>
      <c r="AB111" s="38"/>
      <c r="AC111" s="38"/>
      <c r="AD111" s="38"/>
      <c r="AE111" s="38"/>
      <c r="AF111" s="36"/>
      <c r="AG111" s="36"/>
      <c r="AH111" s="36"/>
      <c r="AI111" s="36"/>
      <c r="AJ111" s="36"/>
      <c r="AK111" s="41"/>
      <c r="AL111" s="69"/>
      <c r="AM111" s="69"/>
      <c r="AN111" s="69"/>
      <c r="AO111" s="69"/>
      <c r="AP111" s="69"/>
      <c r="AQ111" s="69"/>
      <c r="AR111" s="69"/>
      <c r="AS111" s="69"/>
      <c r="AT111" s="69"/>
      <c r="AU111" s="69"/>
      <c r="AV111" s="69"/>
      <c r="AW111" s="69"/>
      <c r="AX111" s="69"/>
      <c r="AY111" s="69"/>
      <c r="AZ111" s="69"/>
      <c r="BA111" s="69"/>
      <c r="BB111" s="69"/>
      <c r="BC111" s="69"/>
      <c r="BD111" s="69"/>
      <c r="BE111" s="69"/>
      <c r="BF111" s="69"/>
      <c r="BG111" s="69"/>
      <c r="BH111" s="69"/>
      <c r="BI111" s="69"/>
      <c r="BJ111" s="69"/>
      <c r="BK111" s="69"/>
      <c r="BL111" s="69"/>
      <c r="BM111" s="69"/>
      <c r="BN111" s="69"/>
      <c r="BO111" s="69"/>
      <c r="BP111" s="69"/>
    </row>
    <row r="112" spans="1:70" ht="14.25" customHeight="1" x14ac:dyDescent="0.3">
      <c r="A112" s="70"/>
      <c r="B112" s="16"/>
      <c r="C112" s="16"/>
      <c r="D112" s="70"/>
      <c r="E112" s="70"/>
      <c r="F112" s="70"/>
      <c r="G112" s="70"/>
      <c r="H112" s="70"/>
      <c r="I112" s="70"/>
      <c r="J112" s="70"/>
      <c r="K112" s="70"/>
      <c r="L112" s="70"/>
      <c r="M112" s="70"/>
      <c r="N112" s="70"/>
      <c r="O112" s="70"/>
      <c r="P112" s="70"/>
      <c r="Q112" s="70"/>
      <c r="R112" s="70"/>
      <c r="S112" s="70"/>
      <c r="T112" s="40"/>
      <c r="U112" s="40"/>
      <c r="V112" s="40"/>
      <c r="W112" s="40"/>
      <c r="X112" s="40"/>
      <c r="Y112" s="38"/>
      <c r="Z112" s="38"/>
      <c r="AA112" s="38"/>
      <c r="AB112" s="38"/>
      <c r="AC112" s="38"/>
      <c r="AD112" s="38"/>
      <c r="AE112" s="38"/>
      <c r="AF112" s="36"/>
      <c r="AG112" s="36"/>
      <c r="AH112" s="36"/>
      <c r="AI112" s="36"/>
      <c r="AJ112" s="36"/>
      <c r="AK112" s="41"/>
      <c r="AL112" s="69"/>
      <c r="AM112" s="69"/>
      <c r="AN112" s="69"/>
      <c r="AO112" s="69"/>
      <c r="AP112" s="69"/>
      <c r="AQ112" s="69"/>
      <c r="AR112" s="69"/>
      <c r="AS112" s="69"/>
      <c r="AT112" s="69"/>
      <c r="AU112" s="69"/>
      <c r="AV112" s="69"/>
      <c r="AW112" s="69"/>
      <c r="AX112" s="69"/>
      <c r="AY112" s="69"/>
      <c r="AZ112" s="69"/>
      <c r="BA112" s="69"/>
      <c r="BB112" s="69"/>
      <c r="BC112" s="69"/>
      <c r="BD112" s="69"/>
      <c r="BE112" s="69"/>
      <c r="BF112" s="69"/>
      <c r="BG112" s="69"/>
      <c r="BH112" s="69"/>
      <c r="BI112" s="69"/>
      <c r="BJ112" s="69"/>
      <c r="BK112" s="69"/>
      <c r="BL112" s="69"/>
      <c r="BM112" s="69"/>
      <c r="BN112" s="69"/>
      <c r="BO112" s="69"/>
      <c r="BP112" s="69"/>
    </row>
    <row r="113" spans="1:70" ht="14.25" customHeight="1" x14ac:dyDescent="0.25">
      <c r="A113" s="141" t="s">
        <v>67</v>
      </c>
      <c r="B113" s="141"/>
      <c r="C113" s="141"/>
      <c r="D113" s="141"/>
      <c r="E113" s="141"/>
      <c r="F113" s="141"/>
      <c r="G113" s="141"/>
      <c r="H113" s="141"/>
      <c r="I113" s="141"/>
      <c r="J113" s="141"/>
      <c r="K113" s="141"/>
      <c r="L113" s="141"/>
      <c r="M113" s="141"/>
      <c r="N113" s="141"/>
      <c r="O113" s="141"/>
      <c r="P113" s="142" t="s">
        <v>21</v>
      </c>
      <c r="Q113" s="142"/>
      <c r="R113" s="142"/>
      <c r="S113" s="142"/>
      <c r="T113" s="142"/>
      <c r="U113" s="142"/>
      <c r="V113" s="142"/>
      <c r="W113" s="142"/>
      <c r="X113" s="142"/>
      <c r="Y113" s="141" t="s">
        <v>68</v>
      </c>
      <c r="Z113" s="141"/>
      <c r="AA113" s="141"/>
      <c r="AB113" s="141"/>
      <c r="AC113" s="141"/>
      <c r="AD113" s="141"/>
      <c r="AE113" s="141"/>
      <c r="AF113" s="42"/>
      <c r="AG113" s="42"/>
      <c r="AH113" s="43"/>
      <c r="AI113" s="43"/>
      <c r="AJ113" s="203" t="s">
        <v>238</v>
      </c>
      <c r="AK113" s="203"/>
      <c r="AL113" s="203"/>
      <c r="AM113" s="203"/>
      <c r="AN113" s="203"/>
      <c r="AO113" s="203"/>
      <c r="AP113" s="203"/>
      <c r="AQ113" s="203"/>
      <c r="AR113" s="203"/>
      <c r="AS113" s="203"/>
      <c r="AT113" s="203"/>
      <c r="AU113" s="203"/>
      <c r="AV113" s="203"/>
      <c r="AW113" s="203"/>
      <c r="AX113" s="203"/>
      <c r="AY113" s="142" t="s">
        <v>21</v>
      </c>
      <c r="AZ113" s="142"/>
      <c r="BA113" s="142"/>
      <c r="BB113" s="142"/>
      <c r="BC113" s="142"/>
      <c r="BD113" s="142"/>
      <c r="BE113" s="142"/>
      <c r="BF113" s="142"/>
      <c r="BG113" s="142"/>
      <c r="BH113" s="203" t="s">
        <v>244</v>
      </c>
      <c r="BI113" s="203"/>
      <c r="BJ113" s="203"/>
      <c r="BK113" s="203"/>
      <c r="BL113" s="203"/>
      <c r="BM113" s="203"/>
      <c r="BN113" s="203"/>
      <c r="BO113" s="203"/>
      <c r="BP113" s="203"/>
      <c r="BQ113" s="203"/>
      <c r="BR113" s="203"/>
    </row>
    <row r="114" spans="1:70" ht="14.25" customHeight="1" x14ac:dyDescent="0.25">
      <c r="A114" s="141"/>
      <c r="B114" s="141"/>
      <c r="C114" s="141"/>
      <c r="D114" s="141"/>
      <c r="E114" s="141"/>
      <c r="F114" s="141"/>
      <c r="G114" s="141"/>
      <c r="H114" s="141"/>
      <c r="I114" s="141"/>
      <c r="J114" s="141"/>
      <c r="K114" s="141"/>
      <c r="L114" s="141"/>
      <c r="M114" s="141"/>
      <c r="N114" s="141"/>
      <c r="O114" s="141"/>
      <c r="P114" s="142"/>
      <c r="Q114" s="142"/>
      <c r="R114" s="142"/>
      <c r="S114" s="142"/>
      <c r="T114" s="142"/>
      <c r="U114" s="142"/>
      <c r="V114" s="142"/>
      <c r="W114" s="142"/>
      <c r="X114" s="142"/>
      <c r="Y114" s="141"/>
      <c r="Z114" s="141"/>
      <c r="AA114" s="141"/>
      <c r="AB114" s="141"/>
      <c r="AC114" s="141"/>
      <c r="AD114" s="141"/>
      <c r="AE114" s="141"/>
      <c r="AF114" s="42"/>
      <c r="AG114" s="42"/>
      <c r="AH114" s="43"/>
      <c r="AI114" s="43"/>
      <c r="AJ114" s="203"/>
      <c r="AK114" s="203"/>
      <c r="AL114" s="203"/>
      <c r="AM114" s="203"/>
      <c r="AN114" s="203"/>
      <c r="AO114" s="203"/>
      <c r="AP114" s="203"/>
      <c r="AQ114" s="203"/>
      <c r="AR114" s="203"/>
      <c r="AS114" s="203"/>
      <c r="AT114" s="203"/>
      <c r="AU114" s="203"/>
      <c r="AV114" s="203"/>
      <c r="AW114" s="203"/>
      <c r="AX114" s="203"/>
      <c r="AY114" s="142"/>
      <c r="AZ114" s="142"/>
      <c r="BA114" s="142"/>
      <c r="BB114" s="142"/>
      <c r="BC114" s="142"/>
      <c r="BD114" s="142"/>
      <c r="BE114" s="142"/>
      <c r="BF114" s="142"/>
      <c r="BG114" s="142"/>
      <c r="BH114" s="203"/>
      <c r="BI114" s="203"/>
      <c r="BJ114" s="203"/>
      <c r="BK114" s="203"/>
      <c r="BL114" s="203"/>
      <c r="BM114" s="203"/>
      <c r="BN114" s="203"/>
      <c r="BO114" s="203"/>
      <c r="BP114" s="203"/>
      <c r="BQ114" s="203"/>
      <c r="BR114" s="203"/>
    </row>
    <row r="115" spans="1:70" ht="14.25" customHeight="1" x14ac:dyDescent="0.25">
      <c r="A115" s="141"/>
      <c r="B115" s="141"/>
      <c r="C115" s="141"/>
      <c r="D115" s="141"/>
      <c r="E115" s="141"/>
      <c r="F115" s="141"/>
      <c r="G115" s="141"/>
      <c r="H115" s="141"/>
      <c r="I115" s="141"/>
      <c r="J115" s="141"/>
      <c r="K115" s="141"/>
      <c r="L115" s="141"/>
      <c r="M115" s="141"/>
      <c r="N115" s="141"/>
      <c r="O115" s="141"/>
      <c r="P115" s="142"/>
      <c r="Q115" s="142"/>
      <c r="R115" s="142"/>
      <c r="S115" s="142"/>
      <c r="T115" s="142"/>
      <c r="U115" s="142"/>
      <c r="V115" s="142"/>
      <c r="W115" s="142"/>
      <c r="X115" s="142"/>
      <c r="Y115" s="141"/>
      <c r="Z115" s="141"/>
      <c r="AA115" s="141"/>
      <c r="AB115" s="141"/>
      <c r="AC115" s="141"/>
      <c r="AD115" s="141"/>
      <c r="AE115" s="141"/>
      <c r="AF115" s="42"/>
      <c r="AG115" s="42"/>
      <c r="AH115" s="43"/>
      <c r="AI115" s="43"/>
      <c r="AJ115" s="203"/>
      <c r="AK115" s="203"/>
      <c r="AL115" s="203"/>
      <c r="AM115" s="203"/>
      <c r="AN115" s="203"/>
      <c r="AO115" s="203"/>
      <c r="AP115" s="203"/>
      <c r="AQ115" s="203"/>
      <c r="AR115" s="203"/>
      <c r="AS115" s="203"/>
      <c r="AT115" s="203"/>
      <c r="AU115" s="203"/>
      <c r="AV115" s="203"/>
      <c r="AW115" s="203"/>
      <c r="AX115" s="203"/>
      <c r="AY115" s="142"/>
      <c r="AZ115" s="142"/>
      <c r="BA115" s="142"/>
      <c r="BB115" s="142"/>
      <c r="BC115" s="142"/>
      <c r="BD115" s="142"/>
      <c r="BE115" s="142"/>
      <c r="BF115" s="142"/>
      <c r="BG115" s="142"/>
      <c r="BH115" s="203"/>
      <c r="BI115" s="203"/>
      <c r="BJ115" s="203"/>
      <c r="BK115" s="203"/>
      <c r="BL115" s="203"/>
      <c r="BM115" s="203"/>
      <c r="BN115" s="203"/>
      <c r="BO115" s="203"/>
      <c r="BP115" s="203"/>
      <c r="BQ115" s="203"/>
      <c r="BR115" s="203"/>
    </row>
    <row r="116" spans="1:70" ht="14.25" customHeight="1" x14ac:dyDescent="0.25">
      <c r="A116" s="141"/>
      <c r="B116" s="141"/>
      <c r="C116" s="141"/>
      <c r="D116" s="141"/>
      <c r="E116" s="141"/>
      <c r="F116" s="141"/>
      <c r="G116" s="141"/>
      <c r="H116" s="141"/>
      <c r="I116" s="141"/>
      <c r="J116" s="141"/>
      <c r="K116" s="141"/>
      <c r="L116" s="141"/>
      <c r="M116" s="141"/>
      <c r="N116" s="141"/>
      <c r="O116" s="141"/>
      <c r="P116" s="142"/>
      <c r="Q116" s="142"/>
      <c r="R116" s="142"/>
      <c r="S116" s="142"/>
      <c r="T116" s="142"/>
      <c r="U116" s="142"/>
      <c r="V116" s="142"/>
      <c r="W116" s="142"/>
      <c r="X116" s="142"/>
      <c r="Y116" s="141"/>
      <c r="Z116" s="141"/>
      <c r="AA116" s="141"/>
      <c r="AB116" s="141"/>
      <c r="AC116" s="141"/>
      <c r="AD116" s="141"/>
      <c r="AE116" s="141"/>
      <c r="AF116" s="42"/>
      <c r="AG116" s="42"/>
      <c r="AH116" s="43"/>
      <c r="AI116" s="43"/>
      <c r="AJ116" s="203"/>
      <c r="AK116" s="203"/>
      <c r="AL116" s="203"/>
      <c r="AM116" s="203"/>
      <c r="AN116" s="203"/>
      <c r="AO116" s="203"/>
      <c r="AP116" s="203"/>
      <c r="AQ116" s="203"/>
      <c r="AR116" s="203"/>
      <c r="AS116" s="203"/>
      <c r="AT116" s="203"/>
      <c r="AU116" s="203"/>
      <c r="AV116" s="203"/>
      <c r="AW116" s="203"/>
      <c r="AX116" s="203"/>
      <c r="AY116" s="142"/>
      <c r="AZ116" s="142"/>
      <c r="BA116" s="142"/>
      <c r="BB116" s="142"/>
      <c r="BC116" s="142"/>
      <c r="BD116" s="142"/>
      <c r="BE116" s="142"/>
      <c r="BF116" s="142"/>
      <c r="BG116" s="142"/>
      <c r="BH116" s="203"/>
      <c r="BI116" s="203"/>
      <c r="BJ116" s="203"/>
      <c r="BK116" s="203"/>
      <c r="BL116" s="203"/>
      <c r="BM116" s="203"/>
      <c r="BN116" s="203"/>
      <c r="BO116" s="203"/>
      <c r="BP116" s="203"/>
      <c r="BQ116" s="203"/>
      <c r="BR116" s="203"/>
    </row>
    <row r="117" spans="1:70" ht="14.25" customHeight="1" x14ac:dyDescent="0.25">
      <c r="A117" s="68"/>
      <c r="B117" s="68"/>
      <c r="C117" s="68"/>
      <c r="D117" s="68"/>
      <c r="E117" s="68"/>
      <c r="F117" s="68"/>
      <c r="G117" s="68"/>
      <c r="H117" s="68"/>
      <c r="I117" s="68"/>
      <c r="J117" s="68"/>
      <c r="K117" s="68"/>
      <c r="L117" s="68"/>
      <c r="M117" s="68"/>
      <c r="N117" s="68"/>
      <c r="O117" s="68"/>
      <c r="P117" s="69"/>
      <c r="Q117" s="69"/>
      <c r="R117" s="69"/>
      <c r="S117" s="69"/>
      <c r="T117" s="69"/>
      <c r="U117" s="69"/>
      <c r="V117" s="69"/>
      <c r="W117" s="69"/>
      <c r="X117" s="69"/>
      <c r="Y117" s="68"/>
      <c r="Z117" s="68"/>
      <c r="AA117" s="68"/>
      <c r="AB117" s="68"/>
      <c r="AC117" s="68"/>
      <c r="AD117" s="68"/>
      <c r="AE117" s="68"/>
      <c r="AF117" s="42"/>
      <c r="AG117" s="42"/>
      <c r="AH117" s="43"/>
      <c r="AI117" s="43"/>
      <c r="AJ117" s="68"/>
      <c r="AK117" s="68"/>
      <c r="AL117" s="68"/>
      <c r="AM117" s="68"/>
      <c r="AN117" s="68"/>
      <c r="AO117" s="68"/>
      <c r="AP117" s="68"/>
      <c r="AQ117" s="68"/>
      <c r="AR117" s="68"/>
      <c r="AS117" s="68"/>
      <c r="AT117" s="68"/>
      <c r="AU117" s="68"/>
      <c r="AV117" s="68"/>
      <c r="AW117" s="68"/>
      <c r="AX117" s="68"/>
      <c r="AY117" s="69"/>
      <c r="AZ117" s="69"/>
      <c r="BA117" s="69"/>
      <c r="BB117" s="69"/>
      <c r="BC117" s="69"/>
      <c r="BD117" s="69"/>
      <c r="BE117" s="69"/>
      <c r="BF117" s="69"/>
      <c r="BG117" s="69"/>
      <c r="BH117" s="81"/>
      <c r="BI117" s="81"/>
      <c r="BJ117" s="81"/>
      <c r="BK117" s="81"/>
      <c r="BL117" s="81"/>
      <c r="BM117" s="81"/>
      <c r="BN117" s="81"/>
      <c r="BO117" s="81"/>
      <c r="BP117" s="81"/>
      <c r="BQ117" s="81"/>
      <c r="BR117" s="81"/>
    </row>
    <row r="118" spans="1:70" ht="14.25" customHeight="1" x14ac:dyDescent="0.3">
      <c r="A118" s="68"/>
      <c r="B118" s="68"/>
      <c r="C118" s="68"/>
      <c r="D118" s="68"/>
      <c r="E118" s="68"/>
      <c r="F118" s="68"/>
      <c r="G118" s="68"/>
      <c r="H118" s="68"/>
      <c r="I118" s="68"/>
      <c r="J118" s="68"/>
      <c r="K118" s="68"/>
      <c r="L118" s="68"/>
      <c r="M118" s="68"/>
      <c r="N118" s="68"/>
      <c r="O118" s="68"/>
      <c r="P118" s="68"/>
      <c r="Q118" s="42"/>
      <c r="R118" s="42"/>
      <c r="S118" s="42"/>
      <c r="T118" s="68"/>
      <c r="U118" s="68"/>
      <c r="V118" s="44"/>
      <c r="W118" s="44"/>
      <c r="X118" s="44"/>
      <c r="Y118" s="81"/>
      <c r="Z118" s="81"/>
      <c r="AA118" s="81"/>
      <c r="AB118" s="81"/>
      <c r="AC118" s="81"/>
      <c r="AD118" s="81"/>
      <c r="AE118" s="81"/>
      <c r="AF118" s="81"/>
      <c r="AG118" s="81"/>
      <c r="AH118" s="81"/>
      <c r="AI118" s="43"/>
      <c r="AJ118" s="68"/>
      <c r="AK118" s="68"/>
      <c r="AL118" s="68"/>
      <c r="AM118" s="68"/>
      <c r="AN118" s="68"/>
      <c r="AO118" s="68"/>
      <c r="AP118" s="68"/>
      <c r="AQ118" s="68"/>
      <c r="AR118" s="68"/>
      <c r="AS118" s="68"/>
      <c r="AT118" s="68"/>
      <c r="AU118" s="68"/>
      <c r="AV118" s="68"/>
      <c r="AW118" s="68"/>
      <c r="AX118" s="68"/>
      <c r="AY118" s="68"/>
      <c r="AZ118" s="42"/>
      <c r="BA118" s="42"/>
      <c r="BB118" s="42"/>
      <c r="BC118" s="68"/>
      <c r="BD118" s="68"/>
      <c r="BE118" s="44"/>
      <c r="BF118" s="44"/>
      <c r="BG118" s="44"/>
      <c r="BH118" s="81"/>
      <c r="BI118" s="81"/>
      <c r="BJ118" s="81"/>
      <c r="BK118" s="81"/>
      <c r="BL118" s="81"/>
      <c r="BM118" s="81"/>
      <c r="BN118" s="81"/>
      <c r="BO118" s="45"/>
      <c r="BP118" s="45"/>
    </row>
    <row r="119" spans="1:70" ht="14.25" customHeight="1" x14ac:dyDescent="0.25">
      <c r="A119" s="141" t="s">
        <v>254</v>
      </c>
      <c r="B119" s="141"/>
      <c r="C119" s="141"/>
      <c r="D119" s="141"/>
      <c r="E119" s="141"/>
      <c r="F119" s="141"/>
      <c r="G119" s="141"/>
      <c r="H119" s="141"/>
      <c r="I119" s="141"/>
      <c r="J119" s="141"/>
      <c r="K119" s="141"/>
      <c r="L119" s="141"/>
      <c r="M119" s="141"/>
      <c r="N119" s="141"/>
      <c r="O119" s="141"/>
      <c r="P119" s="142" t="s">
        <v>21</v>
      </c>
      <c r="Q119" s="142"/>
      <c r="R119" s="142"/>
      <c r="S119" s="142"/>
      <c r="T119" s="142"/>
      <c r="U119" s="142"/>
      <c r="V119" s="142"/>
      <c r="W119" s="142"/>
      <c r="X119" s="142"/>
      <c r="Y119" s="141" t="s">
        <v>69</v>
      </c>
      <c r="Z119" s="141"/>
      <c r="AA119" s="141"/>
      <c r="AB119" s="141"/>
      <c r="AC119" s="141"/>
      <c r="AD119" s="141"/>
      <c r="AE119" s="141"/>
      <c r="AF119" s="42"/>
      <c r="AG119" s="42"/>
      <c r="AH119" s="43"/>
      <c r="AI119" s="43"/>
      <c r="AJ119" s="141" t="s">
        <v>70</v>
      </c>
      <c r="AK119" s="141"/>
      <c r="AL119" s="141"/>
      <c r="AM119" s="141"/>
      <c r="AN119" s="141"/>
      <c r="AO119" s="141"/>
      <c r="AP119" s="141"/>
      <c r="AQ119" s="141"/>
      <c r="AR119" s="141"/>
      <c r="AS119" s="141"/>
      <c r="AT119" s="141"/>
      <c r="AU119" s="141"/>
      <c r="AV119" s="141"/>
      <c r="AW119" s="141"/>
      <c r="AX119" s="141"/>
      <c r="AY119" s="142" t="s">
        <v>21</v>
      </c>
      <c r="AZ119" s="142"/>
      <c r="BA119" s="142"/>
      <c r="BB119" s="142"/>
      <c r="BC119" s="142"/>
      <c r="BD119" s="142"/>
      <c r="BE119" s="142"/>
      <c r="BF119" s="142"/>
      <c r="BG119" s="142"/>
      <c r="BH119" s="203" t="s">
        <v>246</v>
      </c>
      <c r="BI119" s="203"/>
      <c r="BJ119" s="203"/>
      <c r="BK119" s="203"/>
      <c r="BL119" s="203"/>
      <c r="BM119" s="203"/>
      <c r="BN119" s="203"/>
      <c r="BO119" s="203"/>
      <c r="BP119" s="203"/>
      <c r="BQ119" s="203"/>
      <c r="BR119" s="203"/>
    </row>
    <row r="120" spans="1:70" ht="14.25" customHeight="1" x14ac:dyDescent="0.25">
      <c r="A120" s="141"/>
      <c r="B120" s="141"/>
      <c r="C120" s="141"/>
      <c r="D120" s="141"/>
      <c r="E120" s="141"/>
      <c r="F120" s="141"/>
      <c r="G120" s="141"/>
      <c r="H120" s="141"/>
      <c r="I120" s="141"/>
      <c r="J120" s="141"/>
      <c r="K120" s="141"/>
      <c r="L120" s="141"/>
      <c r="M120" s="141"/>
      <c r="N120" s="141"/>
      <c r="O120" s="141"/>
      <c r="P120" s="142"/>
      <c r="Q120" s="142"/>
      <c r="R120" s="142"/>
      <c r="S120" s="142"/>
      <c r="T120" s="142"/>
      <c r="U120" s="142"/>
      <c r="V120" s="142"/>
      <c r="W120" s="142"/>
      <c r="X120" s="142"/>
      <c r="Y120" s="141"/>
      <c r="Z120" s="141"/>
      <c r="AA120" s="141"/>
      <c r="AB120" s="141"/>
      <c r="AC120" s="141"/>
      <c r="AD120" s="141"/>
      <c r="AE120" s="141"/>
      <c r="AF120" s="42"/>
      <c r="AG120" s="42"/>
      <c r="AH120" s="43"/>
      <c r="AI120" s="43"/>
      <c r="AJ120" s="141"/>
      <c r="AK120" s="141"/>
      <c r="AL120" s="141"/>
      <c r="AM120" s="141"/>
      <c r="AN120" s="141"/>
      <c r="AO120" s="141"/>
      <c r="AP120" s="141"/>
      <c r="AQ120" s="141"/>
      <c r="AR120" s="141"/>
      <c r="AS120" s="141"/>
      <c r="AT120" s="141"/>
      <c r="AU120" s="141"/>
      <c r="AV120" s="141"/>
      <c r="AW120" s="141"/>
      <c r="AX120" s="141"/>
      <c r="AY120" s="142"/>
      <c r="AZ120" s="142"/>
      <c r="BA120" s="142"/>
      <c r="BB120" s="142"/>
      <c r="BC120" s="142"/>
      <c r="BD120" s="142"/>
      <c r="BE120" s="142"/>
      <c r="BF120" s="142"/>
      <c r="BG120" s="142"/>
      <c r="BH120" s="203"/>
      <c r="BI120" s="203"/>
      <c r="BJ120" s="203"/>
      <c r="BK120" s="203"/>
      <c r="BL120" s="203"/>
      <c r="BM120" s="203"/>
      <c r="BN120" s="203"/>
      <c r="BO120" s="203"/>
      <c r="BP120" s="203"/>
      <c r="BQ120" s="203"/>
      <c r="BR120" s="203"/>
    </row>
    <row r="121" spans="1:70" ht="14.25" customHeight="1" x14ac:dyDescent="0.25">
      <c r="A121" s="141"/>
      <c r="B121" s="141"/>
      <c r="C121" s="141"/>
      <c r="D121" s="141"/>
      <c r="E121" s="141"/>
      <c r="F121" s="141"/>
      <c r="G121" s="141"/>
      <c r="H121" s="141"/>
      <c r="I121" s="141"/>
      <c r="J121" s="141"/>
      <c r="K121" s="141"/>
      <c r="L121" s="141"/>
      <c r="M121" s="141"/>
      <c r="N121" s="141"/>
      <c r="O121" s="141"/>
      <c r="P121" s="142"/>
      <c r="Q121" s="142"/>
      <c r="R121" s="142"/>
      <c r="S121" s="142"/>
      <c r="T121" s="142"/>
      <c r="U121" s="142"/>
      <c r="V121" s="142"/>
      <c r="W121" s="142"/>
      <c r="X121" s="142"/>
      <c r="Y121" s="141"/>
      <c r="Z121" s="141"/>
      <c r="AA121" s="141"/>
      <c r="AB121" s="141"/>
      <c r="AC121" s="141"/>
      <c r="AD121" s="141"/>
      <c r="AE121" s="141"/>
      <c r="AF121" s="42"/>
      <c r="AG121" s="42"/>
      <c r="AH121" s="43"/>
      <c r="AI121" s="43"/>
      <c r="AJ121" s="141"/>
      <c r="AK121" s="141"/>
      <c r="AL121" s="141"/>
      <c r="AM121" s="141"/>
      <c r="AN121" s="141"/>
      <c r="AO121" s="141"/>
      <c r="AP121" s="141"/>
      <c r="AQ121" s="141"/>
      <c r="AR121" s="141"/>
      <c r="AS121" s="141"/>
      <c r="AT121" s="141"/>
      <c r="AU121" s="141"/>
      <c r="AV121" s="141"/>
      <c r="AW121" s="141"/>
      <c r="AX121" s="141"/>
      <c r="AY121" s="142"/>
      <c r="AZ121" s="142"/>
      <c r="BA121" s="142"/>
      <c r="BB121" s="142"/>
      <c r="BC121" s="142"/>
      <c r="BD121" s="142"/>
      <c r="BE121" s="142"/>
      <c r="BF121" s="142"/>
      <c r="BG121" s="142"/>
      <c r="BH121" s="203"/>
      <c r="BI121" s="203"/>
      <c r="BJ121" s="203"/>
      <c r="BK121" s="203"/>
      <c r="BL121" s="203"/>
      <c r="BM121" s="203"/>
      <c r="BN121" s="203"/>
      <c r="BO121" s="203"/>
      <c r="BP121" s="203"/>
      <c r="BQ121" s="203"/>
      <c r="BR121" s="203"/>
    </row>
    <row r="122" spans="1:70" ht="14.25" customHeight="1" x14ac:dyDescent="0.25">
      <c r="A122" s="141"/>
      <c r="B122" s="141"/>
      <c r="C122" s="141"/>
      <c r="D122" s="141"/>
      <c r="E122" s="141"/>
      <c r="F122" s="141"/>
      <c r="G122" s="141"/>
      <c r="H122" s="141"/>
      <c r="I122" s="141"/>
      <c r="J122" s="141"/>
      <c r="K122" s="141"/>
      <c r="L122" s="141"/>
      <c r="M122" s="141"/>
      <c r="N122" s="141"/>
      <c r="O122" s="141"/>
      <c r="P122" s="142"/>
      <c r="Q122" s="142"/>
      <c r="R122" s="142"/>
      <c r="S122" s="142"/>
      <c r="T122" s="142"/>
      <c r="U122" s="142"/>
      <c r="V122" s="142"/>
      <c r="W122" s="142"/>
      <c r="X122" s="142"/>
      <c r="Y122" s="141"/>
      <c r="Z122" s="141"/>
      <c r="AA122" s="141"/>
      <c r="AB122" s="141"/>
      <c r="AC122" s="141"/>
      <c r="AD122" s="141"/>
      <c r="AE122" s="141"/>
      <c r="AF122" s="42"/>
      <c r="AG122" s="42"/>
      <c r="AH122" s="43"/>
      <c r="AI122" s="81"/>
      <c r="AJ122" s="141"/>
      <c r="AK122" s="141"/>
      <c r="AL122" s="141"/>
      <c r="AM122" s="141"/>
      <c r="AN122" s="141"/>
      <c r="AO122" s="141"/>
      <c r="AP122" s="141"/>
      <c r="AQ122" s="141"/>
      <c r="AR122" s="141"/>
      <c r="AS122" s="141"/>
      <c r="AT122" s="141"/>
      <c r="AU122" s="141"/>
      <c r="AV122" s="141"/>
      <c r="AW122" s="141"/>
      <c r="AX122" s="141"/>
      <c r="AY122" s="142"/>
      <c r="AZ122" s="142"/>
      <c r="BA122" s="142"/>
      <c r="BB122" s="142"/>
      <c r="BC122" s="142"/>
      <c r="BD122" s="142"/>
      <c r="BE122" s="142"/>
      <c r="BF122" s="142"/>
      <c r="BG122" s="142"/>
      <c r="BH122" s="203"/>
      <c r="BI122" s="203"/>
      <c r="BJ122" s="203"/>
      <c r="BK122" s="203"/>
      <c r="BL122" s="203"/>
      <c r="BM122" s="203"/>
      <c r="BN122" s="203"/>
      <c r="BO122" s="203"/>
      <c r="BP122" s="203"/>
      <c r="BQ122" s="203"/>
      <c r="BR122" s="203"/>
    </row>
    <row r="123" spans="1:70" ht="14.25" customHeight="1" x14ac:dyDescent="0.25">
      <c r="A123" s="68"/>
      <c r="B123" s="68"/>
      <c r="C123" s="68"/>
      <c r="D123" s="68"/>
      <c r="E123" s="68"/>
      <c r="F123" s="68"/>
      <c r="G123" s="68"/>
      <c r="H123" s="68"/>
      <c r="I123" s="68"/>
      <c r="J123" s="68"/>
      <c r="K123" s="68"/>
      <c r="L123" s="68"/>
      <c r="M123" s="68"/>
      <c r="N123" s="68"/>
      <c r="O123" s="68"/>
      <c r="P123" s="43"/>
      <c r="Q123" s="43"/>
      <c r="R123" s="43"/>
      <c r="S123" s="43"/>
      <c r="T123" s="43"/>
      <c r="U123" s="43"/>
      <c r="V123" s="43"/>
      <c r="W123" s="43"/>
      <c r="X123" s="43"/>
      <c r="Y123" s="81"/>
      <c r="Z123" s="81"/>
      <c r="AA123" s="81"/>
      <c r="AB123" s="81"/>
      <c r="AC123" s="81"/>
      <c r="AD123" s="81"/>
      <c r="AE123" s="81"/>
      <c r="AF123" s="81"/>
      <c r="AG123" s="81"/>
      <c r="AH123" s="43"/>
      <c r="AI123" s="81"/>
      <c r="AJ123" s="68"/>
      <c r="AK123" s="68"/>
      <c r="AL123" s="68"/>
      <c r="AM123" s="68"/>
      <c r="AN123" s="68"/>
      <c r="AO123" s="68"/>
      <c r="AP123" s="68"/>
      <c r="AQ123" s="68"/>
      <c r="AR123" s="68"/>
      <c r="AS123" s="68"/>
      <c r="AT123" s="68"/>
      <c r="AU123" s="68"/>
      <c r="AV123" s="68"/>
      <c r="AW123" s="68"/>
      <c r="AX123" s="68"/>
      <c r="AY123" s="43"/>
      <c r="AZ123" s="43"/>
      <c r="BA123" s="43"/>
      <c r="BB123" s="43"/>
      <c r="BC123" s="43"/>
      <c r="BD123" s="43"/>
      <c r="BE123" s="43"/>
      <c r="BF123" s="43"/>
      <c r="BG123" s="43"/>
      <c r="BH123" s="81"/>
      <c r="BI123" s="81"/>
      <c r="BJ123" s="81"/>
      <c r="BK123" s="81"/>
      <c r="BL123" s="81"/>
      <c r="BM123" s="81"/>
      <c r="BN123" s="81"/>
      <c r="BO123" s="61"/>
      <c r="BP123" s="61"/>
    </row>
    <row r="124" spans="1:70" ht="14.25" customHeight="1" x14ac:dyDescent="0.25">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3"/>
      <c r="Z124" s="43"/>
      <c r="AA124" s="43"/>
      <c r="AB124" s="43"/>
      <c r="AC124" s="43"/>
      <c r="AD124" s="43"/>
      <c r="AE124" s="43"/>
      <c r="AF124" s="42"/>
      <c r="AG124" s="42"/>
      <c r="AH124" s="43"/>
      <c r="AI124" s="43"/>
      <c r="AJ124" s="42"/>
      <c r="AK124" s="42"/>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42"/>
      <c r="BH124" s="42"/>
      <c r="BI124" s="42"/>
      <c r="BJ124" s="42"/>
      <c r="BK124" s="42"/>
      <c r="BL124" s="42"/>
      <c r="BM124" s="42"/>
      <c r="BN124" s="42"/>
      <c r="BO124" s="61"/>
      <c r="BP124" s="61"/>
    </row>
    <row r="125" spans="1:70" ht="14.25" customHeight="1" x14ac:dyDescent="0.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3"/>
      <c r="Z125" s="43"/>
      <c r="AA125" s="43"/>
      <c r="AB125" s="43"/>
      <c r="AC125" s="43"/>
      <c r="AD125" s="43"/>
      <c r="AE125" s="43"/>
      <c r="AF125" s="42"/>
      <c r="AG125" s="42"/>
      <c r="AH125" s="43"/>
      <c r="AI125" s="43"/>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c r="BO125" s="61"/>
      <c r="BP125" s="61"/>
    </row>
    <row r="126" spans="1:70" ht="14.25" customHeight="1" x14ac:dyDescent="0.25">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3"/>
      <c r="Z126" s="43"/>
      <c r="AA126" s="43"/>
      <c r="AB126" s="43"/>
      <c r="AC126" s="43"/>
      <c r="AD126" s="43"/>
      <c r="AE126" s="43"/>
      <c r="AF126" s="42"/>
      <c r="AG126" s="42"/>
      <c r="AH126" s="43"/>
      <c r="AI126" s="43"/>
      <c r="AJ126" s="42"/>
      <c r="AK126" s="42"/>
      <c r="AL126" s="42"/>
      <c r="AM126" s="42"/>
      <c r="AN126" s="42"/>
      <c r="AO126" s="42"/>
      <c r="AP126" s="42"/>
      <c r="AQ126" s="42"/>
      <c r="AR126" s="42"/>
      <c r="AS126" s="42"/>
      <c r="AT126" s="42"/>
      <c r="AU126" s="42"/>
      <c r="AV126" s="42"/>
      <c r="AW126" s="42"/>
      <c r="AX126" s="42"/>
      <c r="AY126" s="42"/>
      <c r="AZ126" s="42"/>
      <c r="BA126" s="42"/>
      <c r="BB126" s="42"/>
      <c r="BC126" s="42"/>
      <c r="BD126" s="42"/>
      <c r="BE126" s="42"/>
      <c r="BF126" s="42"/>
      <c r="BG126" s="42"/>
      <c r="BH126" s="42"/>
      <c r="BI126" s="42"/>
      <c r="BJ126" s="42"/>
      <c r="BK126" s="42"/>
      <c r="BL126" s="42"/>
      <c r="BM126" s="42"/>
      <c r="BN126" s="42"/>
      <c r="BO126" s="61"/>
      <c r="BP126" s="61"/>
    </row>
    <row r="127" spans="1:70" ht="14.25" customHeight="1" x14ac:dyDescent="0.25">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3"/>
      <c r="Z127" s="43"/>
      <c r="AA127" s="43"/>
      <c r="AB127" s="43"/>
      <c r="AC127" s="43"/>
      <c r="AD127" s="43"/>
      <c r="AE127" s="43"/>
      <c r="AF127" s="42"/>
      <c r="AG127" s="42"/>
      <c r="AH127" s="43"/>
      <c r="AI127" s="37"/>
      <c r="AJ127" s="42"/>
      <c r="AK127" s="42"/>
      <c r="AL127" s="42"/>
      <c r="AM127" s="42"/>
      <c r="AN127" s="42"/>
      <c r="AO127" s="42"/>
      <c r="AP127" s="42"/>
      <c r="AQ127" s="42"/>
      <c r="AR127" s="42"/>
      <c r="AS127" s="42"/>
      <c r="AT127" s="42"/>
      <c r="AU127" s="42"/>
      <c r="AV127" s="42"/>
      <c r="AW127" s="42"/>
      <c r="AX127" s="42"/>
      <c r="AY127" s="42"/>
      <c r="AZ127" s="42"/>
      <c r="BA127" s="42"/>
      <c r="BB127" s="42"/>
      <c r="BC127" s="42"/>
      <c r="BD127" s="42"/>
      <c r="BE127" s="42"/>
      <c r="BF127" s="42"/>
      <c r="BG127" s="42"/>
      <c r="BH127" s="42"/>
      <c r="BI127" s="42"/>
      <c r="BJ127" s="42"/>
      <c r="BK127" s="42"/>
      <c r="BL127" s="42"/>
      <c r="BM127" s="42"/>
      <c r="BN127" s="42"/>
    </row>
    <row r="128" spans="1:70" ht="14.25" customHeight="1" x14ac:dyDescent="0.3">
      <c r="A128" s="68"/>
      <c r="B128" s="46"/>
      <c r="C128" s="46"/>
      <c r="D128" s="68"/>
      <c r="E128" s="68"/>
      <c r="F128" s="68"/>
      <c r="G128" s="68"/>
      <c r="H128" s="68"/>
      <c r="I128" s="68"/>
      <c r="J128" s="68"/>
      <c r="K128" s="68"/>
      <c r="L128" s="68"/>
      <c r="M128" s="68"/>
      <c r="N128" s="68"/>
      <c r="O128" s="68"/>
      <c r="P128" s="42"/>
      <c r="Q128" s="42"/>
      <c r="R128" s="42"/>
      <c r="S128" s="42"/>
      <c r="T128" s="42"/>
      <c r="U128" s="42"/>
      <c r="V128" s="42"/>
      <c r="W128" s="42"/>
      <c r="X128" s="42"/>
      <c r="Y128" s="43"/>
      <c r="Z128" s="43"/>
      <c r="AA128" s="43"/>
      <c r="AB128" s="43"/>
      <c r="AC128" s="43"/>
      <c r="AD128" s="43"/>
      <c r="AE128" s="43"/>
      <c r="AF128" s="47"/>
      <c r="AG128" s="47"/>
      <c r="AH128" s="48"/>
      <c r="AI128" s="47"/>
      <c r="AJ128" s="68"/>
      <c r="AK128" s="68"/>
      <c r="AL128" s="68"/>
      <c r="AM128" s="68"/>
      <c r="AN128" s="68"/>
      <c r="AO128" s="68"/>
      <c r="AP128" s="68"/>
      <c r="AQ128" s="68"/>
      <c r="AR128" s="68"/>
      <c r="AS128" s="68"/>
      <c r="AT128" s="68"/>
      <c r="AU128" s="68"/>
      <c r="AV128" s="68"/>
      <c r="AW128" s="68"/>
      <c r="AX128" s="68"/>
      <c r="AY128" s="187"/>
      <c r="AZ128" s="187"/>
      <c r="BA128" s="187"/>
      <c r="BB128" s="187"/>
      <c r="BC128" s="187"/>
      <c r="BD128" s="187"/>
      <c r="BE128" s="187"/>
      <c r="BF128" s="187"/>
      <c r="BG128" s="187"/>
      <c r="BH128" s="187"/>
      <c r="BI128" s="187"/>
      <c r="BJ128" s="187"/>
      <c r="BK128" s="187"/>
      <c r="BL128" s="187"/>
      <c r="BM128" s="187"/>
      <c r="BN128" s="187"/>
      <c r="BO128" s="187"/>
      <c r="BP128" s="187"/>
    </row>
    <row r="129" spans="1:68" ht="14.25" customHeight="1" x14ac:dyDescent="0.3">
      <c r="A129" s="68"/>
      <c r="B129" s="46"/>
      <c r="C129" s="46"/>
      <c r="D129" s="68"/>
      <c r="E129" s="68"/>
      <c r="F129" s="68"/>
      <c r="G129" s="68"/>
      <c r="H129" s="68"/>
      <c r="I129" s="68"/>
      <c r="J129" s="68"/>
      <c r="K129" s="68"/>
      <c r="L129" s="68"/>
      <c r="M129" s="68"/>
      <c r="N129" s="68"/>
      <c r="O129" s="68"/>
      <c r="P129" s="42"/>
      <c r="Q129" s="42"/>
      <c r="R129" s="42"/>
      <c r="S129" s="42"/>
      <c r="T129" s="42"/>
      <c r="U129" s="42"/>
      <c r="V129" s="42"/>
      <c r="W129" s="42"/>
      <c r="X129" s="42"/>
      <c r="Y129" s="43"/>
      <c r="Z129" s="43"/>
      <c r="AA129" s="43"/>
      <c r="AB129" s="43"/>
      <c r="AC129" s="43"/>
      <c r="AD129" s="43"/>
      <c r="AE129" s="43"/>
      <c r="AF129" s="47"/>
      <c r="AG129" s="47"/>
      <c r="AH129" s="48"/>
      <c r="AI129" s="47"/>
      <c r="AJ129" s="68"/>
      <c r="AK129" s="68"/>
      <c r="AL129" s="68"/>
      <c r="AM129" s="68"/>
      <c r="AN129" s="68"/>
      <c r="AO129" s="68"/>
      <c r="AP129" s="68"/>
      <c r="AQ129" s="68"/>
      <c r="AR129" s="68"/>
      <c r="AS129" s="68"/>
      <c r="AT129" s="68"/>
      <c r="AU129" s="68"/>
      <c r="AV129" s="68"/>
      <c r="AW129" s="68"/>
      <c r="AX129" s="68"/>
      <c r="AY129" s="78"/>
      <c r="AZ129" s="78"/>
      <c r="BA129" s="78"/>
      <c r="BB129" s="78"/>
      <c r="BC129" s="78"/>
      <c r="BD129" s="78"/>
      <c r="BE129" s="78"/>
      <c r="BF129" s="78"/>
      <c r="BG129" s="78"/>
      <c r="BH129" s="78"/>
      <c r="BI129" s="78"/>
      <c r="BJ129" s="78"/>
      <c r="BK129" s="78"/>
      <c r="BL129" s="78"/>
      <c r="BM129" s="78"/>
      <c r="BN129" s="78"/>
      <c r="BO129" s="78"/>
      <c r="BP129" s="78"/>
    </row>
    <row r="130" spans="1:68" ht="14.25" customHeight="1" x14ac:dyDescent="0.3">
      <c r="A130" s="68"/>
      <c r="B130" s="46"/>
      <c r="C130" s="46"/>
      <c r="D130" s="68"/>
      <c r="E130" s="68"/>
      <c r="F130" s="68"/>
      <c r="G130" s="68"/>
      <c r="H130" s="68"/>
      <c r="I130" s="68"/>
      <c r="J130" s="68"/>
      <c r="K130" s="68"/>
      <c r="L130" s="68"/>
      <c r="M130" s="68"/>
      <c r="N130" s="68"/>
      <c r="O130" s="68"/>
      <c r="P130" s="42"/>
      <c r="Q130" s="42"/>
      <c r="R130" s="42"/>
      <c r="S130" s="42"/>
      <c r="T130" s="42"/>
      <c r="U130" s="42"/>
      <c r="V130" s="42"/>
      <c r="W130" s="42"/>
      <c r="X130" s="42"/>
      <c r="Y130" s="43"/>
      <c r="Z130" s="43"/>
      <c r="AA130" s="43"/>
      <c r="AB130" s="43"/>
      <c r="AC130" s="43"/>
      <c r="AD130" s="43"/>
      <c r="AE130" s="43"/>
      <c r="AF130" s="47"/>
      <c r="AG130" s="47"/>
      <c r="AH130" s="48"/>
      <c r="AI130" s="47"/>
      <c r="AJ130" s="68"/>
      <c r="AK130" s="68"/>
      <c r="AL130" s="68"/>
      <c r="AM130" s="68"/>
      <c r="AN130" s="68"/>
      <c r="AO130" s="68"/>
      <c r="AP130" s="68"/>
      <c r="AQ130" s="68"/>
      <c r="AR130" s="68"/>
      <c r="AS130" s="68"/>
      <c r="AT130" s="68"/>
      <c r="AU130" s="68"/>
      <c r="AV130" s="68"/>
      <c r="AW130" s="68"/>
      <c r="AX130" s="68"/>
      <c r="AY130" s="78"/>
      <c r="AZ130" s="78"/>
      <c r="BA130" s="78"/>
      <c r="BB130" s="78"/>
      <c r="BC130" s="78"/>
      <c r="BD130" s="78"/>
      <c r="BE130" s="78"/>
      <c r="BF130" s="78"/>
      <c r="BG130" s="78"/>
      <c r="BH130" s="78"/>
      <c r="BI130" s="78"/>
      <c r="BJ130" s="78"/>
      <c r="BK130" s="78"/>
      <c r="BL130" s="78"/>
      <c r="BM130" s="78"/>
      <c r="BN130" s="78"/>
      <c r="BO130" s="78"/>
      <c r="BP130" s="78"/>
    </row>
    <row r="131" spans="1:68" ht="14.25" customHeight="1" x14ac:dyDescent="0.3">
      <c r="A131" s="45"/>
      <c r="B131" s="45"/>
      <c r="C131" s="45"/>
      <c r="D131" s="45"/>
      <c r="E131" s="45"/>
      <c r="F131" s="45"/>
      <c r="G131" s="45"/>
      <c r="H131" s="45"/>
      <c r="I131" s="45"/>
      <c r="J131" s="45"/>
      <c r="K131" s="45"/>
      <c r="L131" s="45"/>
      <c r="M131" s="45"/>
      <c r="N131" s="45"/>
      <c r="O131" s="45"/>
      <c r="P131" s="42"/>
      <c r="Q131" s="42"/>
      <c r="R131" s="42"/>
      <c r="S131" s="42"/>
      <c r="T131" s="42"/>
      <c r="U131" s="42"/>
      <c r="V131" s="42"/>
      <c r="W131" s="42"/>
      <c r="X131" s="42"/>
      <c r="Y131" s="43"/>
      <c r="Z131" s="43"/>
      <c r="AA131" s="43"/>
      <c r="AB131" s="43"/>
      <c r="AC131" s="43"/>
      <c r="AD131" s="43"/>
      <c r="AE131" s="43"/>
      <c r="AF131" s="45"/>
      <c r="AG131" s="45"/>
      <c r="AH131" s="48"/>
      <c r="AI131" s="48"/>
      <c r="AJ131" s="206"/>
      <c r="AK131" s="206"/>
      <c r="AL131" s="206"/>
      <c r="AM131" s="206"/>
      <c r="AN131" s="206"/>
      <c r="AO131" s="206"/>
      <c r="AP131" s="206"/>
      <c r="AQ131" s="206"/>
      <c r="AR131" s="206"/>
      <c r="AS131" s="206"/>
      <c r="AT131" s="206"/>
      <c r="AU131" s="206"/>
      <c r="AV131" s="206"/>
      <c r="AW131" s="206"/>
      <c r="AX131" s="206"/>
      <c r="AY131" s="187"/>
      <c r="AZ131" s="187"/>
      <c r="BA131" s="187"/>
      <c r="BB131" s="187"/>
      <c r="BC131" s="187"/>
      <c r="BD131" s="187"/>
      <c r="BE131" s="187"/>
      <c r="BF131" s="187"/>
      <c r="BG131" s="187"/>
      <c r="BH131" s="187"/>
      <c r="BI131" s="187"/>
      <c r="BJ131" s="187"/>
      <c r="BK131" s="187"/>
      <c r="BL131" s="187"/>
      <c r="BM131" s="187"/>
      <c r="BN131" s="187"/>
      <c r="BO131" s="187"/>
      <c r="BP131" s="187"/>
    </row>
    <row r="132" spans="1:68" ht="14.25" customHeight="1" x14ac:dyDescent="0.3">
      <c r="A132" s="45"/>
      <c r="B132" s="45"/>
      <c r="C132" s="45"/>
      <c r="D132" s="45"/>
      <c r="E132" s="45"/>
      <c r="F132" s="45"/>
      <c r="G132" s="45"/>
      <c r="H132" s="45"/>
      <c r="I132" s="45"/>
      <c r="J132" s="45"/>
      <c r="K132" s="45"/>
      <c r="L132" s="45"/>
      <c r="M132" s="45"/>
      <c r="N132" s="45"/>
      <c r="O132" s="45"/>
      <c r="P132" s="42"/>
      <c r="Q132" s="42"/>
      <c r="R132" s="42"/>
      <c r="S132" s="42"/>
      <c r="T132" s="42"/>
      <c r="U132" s="42"/>
      <c r="V132" s="42"/>
      <c r="W132" s="42"/>
      <c r="X132" s="42"/>
      <c r="Y132" s="43"/>
      <c r="Z132" s="43"/>
      <c r="AA132" s="43"/>
      <c r="AB132" s="43"/>
      <c r="AC132" s="43"/>
      <c r="AD132" s="43"/>
      <c r="AE132" s="43"/>
      <c r="AF132" s="45"/>
      <c r="AG132" s="45"/>
      <c r="AH132" s="48"/>
      <c r="AI132" s="37"/>
      <c r="AJ132" s="206"/>
      <c r="AK132" s="206"/>
      <c r="AL132" s="206"/>
      <c r="AM132" s="206"/>
      <c r="AN132" s="206"/>
      <c r="AO132" s="206"/>
      <c r="AP132" s="206"/>
      <c r="AQ132" s="206"/>
      <c r="AR132" s="206"/>
      <c r="AS132" s="206"/>
      <c r="AT132" s="206"/>
      <c r="AU132" s="206"/>
      <c r="AV132" s="206"/>
      <c r="AW132" s="206"/>
      <c r="AX132" s="206"/>
      <c r="AY132" s="45"/>
      <c r="AZ132" s="45"/>
      <c r="BA132" s="45"/>
      <c r="BB132" s="45"/>
      <c r="BC132" s="45"/>
      <c r="BD132" s="45"/>
      <c r="BE132" s="45"/>
      <c r="BF132" s="45"/>
      <c r="BG132" s="45"/>
    </row>
    <row r="133" spans="1:68" ht="14.25" customHeight="1" x14ac:dyDescent="0.3">
      <c r="A133" s="45"/>
      <c r="B133" s="45"/>
      <c r="C133" s="45"/>
      <c r="D133" s="45"/>
      <c r="E133" s="45"/>
      <c r="F133" s="45"/>
      <c r="G133" s="45"/>
      <c r="H133" s="45"/>
      <c r="I133" s="45"/>
      <c r="J133" s="45"/>
      <c r="K133" s="45"/>
      <c r="L133" s="45"/>
      <c r="M133" s="45"/>
      <c r="N133" s="45"/>
      <c r="O133" s="45"/>
      <c r="P133" s="42"/>
      <c r="Q133" s="42"/>
      <c r="R133" s="42"/>
      <c r="S133" s="42"/>
      <c r="T133" s="42"/>
      <c r="U133" s="42"/>
      <c r="V133" s="42"/>
      <c r="W133" s="42"/>
      <c r="X133" s="42"/>
      <c r="Y133" s="43"/>
      <c r="Z133" s="43"/>
      <c r="AA133" s="43"/>
      <c r="AB133" s="43"/>
      <c r="AC133" s="43"/>
      <c r="AD133" s="43"/>
      <c r="AE133" s="43"/>
      <c r="AF133" s="45"/>
      <c r="AG133" s="45"/>
      <c r="AH133" s="48"/>
      <c r="AI133" s="37"/>
      <c r="AJ133" s="83"/>
      <c r="AK133" s="83"/>
      <c r="AL133" s="83"/>
      <c r="AM133" s="83"/>
      <c r="AN133" s="83"/>
      <c r="AO133" s="83"/>
      <c r="AP133" s="83"/>
      <c r="AQ133" s="83"/>
      <c r="AR133" s="83"/>
      <c r="AS133" s="83"/>
      <c r="AT133" s="83"/>
      <c r="AU133" s="83"/>
      <c r="AV133" s="83"/>
      <c r="AW133" s="83"/>
      <c r="AX133" s="83"/>
      <c r="AY133" s="45"/>
      <c r="AZ133" s="45"/>
      <c r="BA133" s="45"/>
      <c r="BB133" s="45"/>
      <c r="BC133" s="45"/>
      <c r="BD133" s="45"/>
      <c r="BE133" s="45"/>
      <c r="BF133" s="45"/>
      <c r="BG133" s="45"/>
    </row>
    <row r="134" spans="1:68" ht="14.25" customHeight="1" x14ac:dyDescent="0.3">
      <c r="A134" s="49"/>
      <c r="B134" s="49"/>
      <c r="C134" s="49"/>
      <c r="D134" s="49"/>
      <c r="E134" s="49"/>
      <c r="F134" s="49"/>
      <c r="G134" s="49"/>
      <c r="H134" s="49"/>
      <c r="I134" s="49"/>
      <c r="J134" s="49"/>
      <c r="K134" s="49"/>
      <c r="L134" s="49"/>
      <c r="M134" s="49"/>
      <c r="N134" s="49"/>
      <c r="O134" s="49"/>
      <c r="P134" s="42"/>
      <c r="Q134" s="42"/>
      <c r="R134" s="42"/>
      <c r="S134" s="42"/>
      <c r="T134" s="42"/>
      <c r="U134" s="42"/>
      <c r="V134" s="42"/>
      <c r="W134" s="42"/>
      <c r="X134" s="42"/>
      <c r="Y134" s="43"/>
      <c r="Z134" s="43"/>
      <c r="AA134" s="43"/>
      <c r="AB134" s="43"/>
      <c r="AC134" s="43"/>
      <c r="AD134" s="43"/>
      <c r="AE134" s="43"/>
      <c r="AF134" s="49"/>
      <c r="AG134" s="49"/>
      <c r="AH134" s="50"/>
      <c r="AI134" s="50"/>
      <c r="AJ134" s="62"/>
      <c r="AK134" s="62"/>
      <c r="AL134" s="62"/>
      <c r="AM134" s="62"/>
      <c r="AN134" s="62"/>
      <c r="AO134" s="62"/>
      <c r="AP134" s="62"/>
      <c r="AQ134" s="41"/>
      <c r="AR134" s="41"/>
      <c r="AS134" s="41"/>
      <c r="AT134" s="41"/>
      <c r="AU134" s="41"/>
      <c r="AV134" s="41"/>
      <c r="AW134" s="41"/>
      <c r="AX134" s="41"/>
      <c r="AY134" s="41"/>
      <c r="AZ134" s="41"/>
      <c r="BA134" s="41"/>
      <c r="BB134" s="41"/>
    </row>
    <row r="135" spans="1:68" ht="14.25" customHeight="1" x14ac:dyDescent="0.3">
      <c r="A135" s="49"/>
      <c r="B135" s="49"/>
      <c r="C135" s="49"/>
      <c r="D135" s="49"/>
      <c r="E135" s="49"/>
      <c r="F135" s="49"/>
      <c r="G135" s="49"/>
      <c r="H135" s="49"/>
      <c r="I135" s="49"/>
      <c r="J135" s="49"/>
      <c r="K135" s="49"/>
      <c r="L135" s="49"/>
      <c r="M135" s="49"/>
      <c r="N135" s="49"/>
      <c r="O135" s="49"/>
      <c r="P135" s="49"/>
      <c r="Q135" s="49"/>
      <c r="R135" s="49"/>
      <c r="S135" s="49"/>
      <c r="T135" s="82"/>
      <c r="U135" s="82"/>
      <c r="V135" s="82"/>
      <c r="W135" s="49"/>
      <c r="X135" s="49"/>
      <c r="Y135" s="49"/>
      <c r="Z135" s="49"/>
      <c r="AA135" s="49"/>
      <c r="AB135" s="49"/>
      <c r="AC135" s="49"/>
      <c r="AD135" s="49"/>
      <c r="AE135" s="49"/>
      <c r="AF135" s="49"/>
      <c r="AG135" s="49"/>
      <c r="AH135" s="50"/>
      <c r="AI135" s="50"/>
      <c r="AJ135" s="62"/>
      <c r="AK135" s="62"/>
      <c r="AL135" s="62"/>
      <c r="AM135" s="62"/>
      <c r="AN135" s="62"/>
      <c r="AO135" s="62"/>
      <c r="AP135" s="62"/>
    </row>
    <row r="136" spans="1:68" ht="14.25" customHeight="1" x14ac:dyDescent="0.25">
      <c r="A136" s="82"/>
      <c r="B136" s="51"/>
      <c r="C136" s="51"/>
      <c r="D136" s="82"/>
      <c r="E136" s="82"/>
      <c r="F136" s="82"/>
      <c r="G136" s="82"/>
      <c r="H136" s="82"/>
      <c r="I136" s="82"/>
      <c r="J136" s="82"/>
      <c r="K136" s="82"/>
      <c r="L136" s="82"/>
      <c r="M136" s="82"/>
      <c r="N136" s="82"/>
      <c r="O136" s="82"/>
      <c r="P136" s="82"/>
      <c r="Q136" s="82"/>
      <c r="R136" s="82"/>
      <c r="S136" s="82"/>
      <c r="T136" s="82"/>
      <c r="U136" s="82"/>
      <c r="V136" s="82"/>
      <c r="W136" s="82"/>
      <c r="X136" s="82"/>
      <c r="Y136" s="52"/>
      <c r="Z136" s="52"/>
      <c r="AA136" s="52"/>
      <c r="AB136" s="52"/>
      <c r="AC136" s="52"/>
      <c r="AD136" s="52"/>
      <c r="AE136" s="52"/>
      <c r="AF136" s="52"/>
      <c r="AG136" s="52"/>
      <c r="AH136" s="52"/>
      <c r="AI136" s="52"/>
      <c r="AJ136" s="52"/>
      <c r="AK136" s="52"/>
      <c r="AL136" s="52"/>
      <c r="AM136" s="52"/>
      <c r="AN136" s="52"/>
      <c r="AO136" s="52"/>
      <c r="AP136" s="52"/>
    </row>
    <row r="137" spans="1:68" ht="14.25" customHeight="1" x14ac:dyDescent="0.3">
      <c r="A137" s="49"/>
      <c r="B137" s="49"/>
      <c r="C137" s="49"/>
      <c r="D137" s="49"/>
      <c r="E137" s="49"/>
      <c r="F137" s="49"/>
      <c r="G137" s="49"/>
      <c r="H137" s="49"/>
      <c r="I137" s="49"/>
      <c r="J137" s="49"/>
      <c r="K137" s="49"/>
      <c r="L137" s="49"/>
      <c r="M137" s="49"/>
      <c r="N137" s="49"/>
      <c r="O137" s="49"/>
      <c r="P137" s="49"/>
      <c r="Q137" s="49"/>
      <c r="R137" s="49"/>
      <c r="S137" s="49"/>
      <c r="T137" s="53"/>
      <c r="U137" s="53"/>
      <c r="V137" s="54"/>
      <c r="W137" s="49"/>
      <c r="X137" s="49"/>
      <c r="Y137" s="49"/>
      <c r="Z137" s="49"/>
      <c r="AA137" s="49"/>
      <c r="AB137" s="49"/>
      <c r="AC137" s="49"/>
      <c r="AD137" s="49"/>
      <c r="AE137" s="49"/>
      <c r="AF137" s="49"/>
      <c r="AG137" s="49"/>
      <c r="AH137" s="55"/>
      <c r="AI137" s="55"/>
      <c r="AJ137" s="62"/>
      <c r="AK137" s="62"/>
      <c r="AL137" s="62"/>
      <c r="AM137" s="62"/>
      <c r="AN137" s="62"/>
      <c r="AO137" s="62"/>
      <c r="AP137" s="62"/>
    </row>
    <row r="138" spans="1:68" ht="14.25" customHeight="1" x14ac:dyDescent="0.25">
      <c r="A138" s="82"/>
      <c r="B138" s="51"/>
      <c r="C138" s="51"/>
      <c r="D138" s="82"/>
      <c r="E138" s="82"/>
      <c r="F138" s="82"/>
      <c r="G138" s="82"/>
      <c r="H138" s="82"/>
      <c r="I138" s="82"/>
      <c r="J138" s="82"/>
      <c r="K138" s="82"/>
      <c r="L138" s="82"/>
      <c r="M138" s="82"/>
      <c r="N138" s="82"/>
      <c r="O138" s="82"/>
      <c r="P138" s="82"/>
      <c r="Q138" s="49"/>
      <c r="R138" s="49"/>
      <c r="S138" s="49"/>
      <c r="T138" s="53"/>
      <c r="U138" s="53"/>
      <c r="V138" s="54"/>
      <c r="W138" s="54"/>
      <c r="X138" s="54"/>
      <c r="Y138" s="56"/>
      <c r="Z138" s="56"/>
      <c r="AA138" s="56"/>
      <c r="AB138" s="56"/>
      <c r="AC138" s="56"/>
      <c r="AD138" s="56"/>
      <c r="AE138" s="56"/>
      <c r="AF138" s="56"/>
      <c r="AG138" s="56"/>
      <c r="AH138" s="56"/>
      <c r="AI138" s="55"/>
      <c r="AJ138" s="56"/>
      <c r="AK138" s="56"/>
      <c r="AL138" s="56"/>
      <c r="AM138" s="56"/>
      <c r="AN138" s="56"/>
      <c r="AO138" s="56"/>
      <c r="AP138" s="56"/>
    </row>
    <row r="139" spans="1:68" ht="14.25" customHeight="1" x14ac:dyDescent="0.3">
      <c r="A139" s="49"/>
      <c r="B139" s="49"/>
      <c r="C139" s="49"/>
      <c r="D139" s="49"/>
      <c r="E139" s="49"/>
      <c r="F139" s="49"/>
      <c r="G139" s="49"/>
      <c r="H139" s="49"/>
      <c r="I139" s="49"/>
      <c r="J139" s="49"/>
      <c r="K139" s="49"/>
      <c r="L139" s="49"/>
      <c r="M139" s="49"/>
      <c r="N139" s="49"/>
      <c r="O139" s="49"/>
      <c r="P139" s="49"/>
      <c r="Q139" s="49"/>
      <c r="R139" s="49"/>
      <c r="S139" s="49"/>
      <c r="T139" s="52"/>
      <c r="U139" s="52"/>
      <c r="V139" s="54"/>
      <c r="W139" s="49"/>
      <c r="X139" s="49"/>
      <c r="Y139" s="49"/>
      <c r="Z139" s="49"/>
      <c r="AA139" s="49"/>
      <c r="AB139" s="49"/>
      <c r="AC139" s="49"/>
      <c r="AD139" s="49"/>
      <c r="AE139" s="49"/>
      <c r="AF139" s="49"/>
      <c r="AG139" s="49"/>
      <c r="AH139" s="55"/>
      <c r="AI139" s="55"/>
      <c r="AJ139" s="62"/>
      <c r="AK139" s="62"/>
      <c r="AL139" s="62"/>
      <c r="AM139" s="62"/>
      <c r="AN139" s="62"/>
      <c r="AO139" s="62"/>
      <c r="AP139" s="62"/>
    </row>
    <row r="140" spans="1:68" ht="14.25" customHeight="1" x14ac:dyDescent="0.25">
      <c r="A140" s="82"/>
      <c r="B140" s="51"/>
      <c r="C140" s="51"/>
      <c r="D140" s="82"/>
      <c r="E140" s="82"/>
      <c r="F140" s="82"/>
      <c r="G140" s="82"/>
      <c r="H140" s="82"/>
      <c r="I140" s="82"/>
      <c r="J140" s="82"/>
      <c r="K140" s="82"/>
      <c r="L140" s="82"/>
      <c r="M140" s="82"/>
      <c r="N140" s="82"/>
      <c r="O140" s="82"/>
      <c r="P140" s="82"/>
      <c r="Q140" s="82"/>
      <c r="R140" s="82"/>
      <c r="S140" s="82"/>
      <c r="T140" s="52"/>
      <c r="U140" s="52"/>
      <c r="V140" s="54"/>
      <c r="W140" s="54"/>
      <c r="X140" s="57"/>
      <c r="Y140" s="56"/>
      <c r="Z140" s="56"/>
      <c r="AA140" s="56"/>
      <c r="AB140" s="56"/>
      <c r="AC140" s="56"/>
      <c r="AD140" s="56"/>
      <c r="AE140" s="56"/>
      <c r="AF140" s="56"/>
      <c r="AG140" s="56"/>
      <c r="AH140" s="56"/>
      <c r="AI140" s="56"/>
      <c r="AJ140" s="56"/>
      <c r="AK140" s="56"/>
      <c r="AL140" s="56"/>
      <c r="AM140" s="56"/>
      <c r="AN140" s="56"/>
      <c r="AO140" s="56"/>
      <c r="AP140" s="56"/>
    </row>
    <row r="141" spans="1:68" ht="14.25" customHeight="1" x14ac:dyDescent="0.3">
      <c r="A141" s="49"/>
      <c r="B141" s="55"/>
      <c r="C141" s="55"/>
      <c r="D141" s="55"/>
      <c r="E141" s="55"/>
      <c r="F141" s="55"/>
      <c r="G141" s="55"/>
      <c r="H141" s="55"/>
      <c r="I141" s="55"/>
      <c r="J141" s="55"/>
      <c r="K141" s="55"/>
      <c r="L141" s="55"/>
      <c r="M141" s="55"/>
      <c r="N141" s="55"/>
      <c r="O141" s="55"/>
      <c r="P141" s="55"/>
      <c r="Q141" s="55"/>
      <c r="R141" s="55"/>
      <c r="S141" s="55"/>
      <c r="T141" s="55"/>
      <c r="U141" s="52"/>
      <c r="V141" s="54"/>
      <c r="W141" s="49"/>
      <c r="X141" s="49"/>
      <c r="Y141" s="49"/>
      <c r="Z141" s="49"/>
      <c r="AA141" s="49"/>
      <c r="AB141" s="49"/>
      <c r="AC141" s="49"/>
      <c r="AD141" s="49"/>
      <c r="AE141" s="49"/>
      <c r="AF141" s="49"/>
      <c r="AG141" s="49"/>
      <c r="AH141" s="56"/>
      <c r="AI141" s="56"/>
      <c r="AJ141" s="62"/>
      <c r="AK141" s="62"/>
      <c r="AL141" s="62"/>
      <c r="AM141" s="62"/>
      <c r="AN141" s="62"/>
      <c r="AO141" s="62"/>
      <c r="AP141" s="62"/>
    </row>
    <row r="142" spans="1:68" ht="14.25" customHeight="1" x14ac:dyDescent="0.25">
      <c r="A142" s="55"/>
      <c r="B142" s="55"/>
      <c r="C142" s="55"/>
      <c r="D142" s="55"/>
      <c r="E142" s="55"/>
      <c r="F142" s="55"/>
      <c r="G142" s="55"/>
      <c r="H142" s="55"/>
      <c r="I142" s="55"/>
      <c r="J142" s="55"/>
      <c r="K142" s="55"/>
      <c r="L142" s="55"/>
      <c r="M142" s="55"/>
      <c r="N142" s="55"/>
      <c r="O142" s="55"/>
      <c r="P142" s="55"/>
      <c r="Q142" s="55"/>
      <c r="R142" s="55"/>
      <c r="S142" s="56"/>
      <c r="T142" s="52"/>
      <c r="U142" s="52"/>
      <c r="V142" s="54"/>
      <c r="W142" s="54"/>
      <c r="X142" s="57"/>
      <c r="Y142" s="56"/>
      <c r="Z142" s="55"/>
      <c r="AA142" s="55"/>
      <c r="AB142" s="55"/>
      <c r="AC142" s="55"/>
      <c r="AD142" s="55"/>
      <c r="AE142" s="55"/>
      <c r="AF142" s="55"/>
      <c r="AG142" s="55"/>
      <c r="AH142" s="56"/>
      <c r="AI142" s="56"/>
      <c r="AJ142" s="55"/>
      <c r="AK142" s="55"/>
      <c r="AL142" s="55"/>
      <c r="AM142" s="55"/>
      <c r="AN142" s="55"/>
      <c r="AO142" s="55"/>
      <c r="AP142" s="55"/>
    </row>
    <row r="143" spans="1:68" ht="14.25" customHeight="1" x14ac:dyDescent="0.25">
      <c r="A143" s="55"/>
      <c r="B143" s="55"/>
      <c r="C143" s="55"/>
      <c r="D143" s="55"/>
      <c r="E143" s="55"/>
      <c r="F143" s="55"/>
      <c r="G143" s="55"/>
      <c r="H143" s="55"/>
      <c r="I143" s="55"/>
      <c r="J143" s="55"/>
      <c r="K143" s="55"/>
      <c r="L143" s="55"/>
      <c r="M143" s="55"/>
      <c r="N143" s="55"/>
      <c r="O143" s="55"/>
      <c r="P143" s="55"/>
      <c r="Q143" s="55"/>
      <c r="R143" s="55"/>
      <c r="S143" s="55"/>
      <c r="T143" s="56"/>
      <c r="U143" s="52"/>
      <c r="V143" s="54"/>
      <c r="W143" s="54"/>
      <c r="X143" s="52"/>
      <c r="Y143" s="55"/>
      <c r="Z143" s="55"/>
      <c r="AA143" s="55"/>
      <c r="AB143" s="55"/>
      <c r="AC143" s="55"/>
      <c r="AD143" s="55"/>
      <c r="AE143" s="55"/>
      <c r="AF143" s="55"/>
      <c r="AG143" s="55"/>
      <c r="AH143" s="55"/>
      <c r="AI143" s="55"/>
      <c r="AJ143" s="55"/>
      <c r="AK143" s="55"/>
      <c r="AL143" s="55"/>
      <c r="AM143" s="55"/>
      <c r="AN143" s="55"/>
      <c r="AO143" s="55"/>
      <c r="AP143" s="55"/>
    </row>
    <row r="144" spans="1:68" ht="14.25" customHeight="1" x14ac:dyDescent="0.3">
      <c r="A144" s="49"/>
      <c r="B144" s="49"/>
      <c r="C144" s="49"/>
      <c r="D144" s="49"/>
      <c r="E144" s="49"/>
      <c r="F144" s="49"/>
      <c r="G144" s="49"/>
      <c r="H144" s="49"/>
      <c r="I144" s="49"/>
      <c r="J144" s="49"/>
      <c r="K144" s="49"/>
      <c r="L144" s="49"/>
      <c r="M144" s="49"/>
      <c r="N144" s="49"/>
      <c r="O144" s="49"/>
      <c r="P144" s="49"/>
      <c r="Q144" s="49"/>
      <c r="R144" s="49"/>
      <c r="S144" s="49"/>
      <c r="T144" s="49"/>
      <c r="U144" s="49"/>
      <c r="V144" s="54"/>
      <c r="W144" s="49"/>
      <c r="X144" s="49"/>
      <c r="Y144" s="49"/>
      <c r="Z144" s="49"/>
      <c r="AA144" s="49"/>
      <c r="AB144" s="49"/>
      <c r="AC144" s="49"/>
      <c r="AD144" s="49"/>
      <c r="AE144" s="49"/>
      <c r="AF144" s="49"/>
      <c r="AG144" s="49"/>
      <c r="AH144" s="50"/>
      <c r="AI144" s="50"/>
      <c r="AJ144" s="62"/>
      <c r="AK144" s="62"/>
      <c r="AL144" s="62"/>
      <c r="AM144" s="62"/>
      <c r="AN144" s="62"/>
      <c r="AO144" s="62"/>
      <c r="AP144" s="62"/>
    </row>
    <row r="145" spans="1:42" ht="14.25" customHeight="1" x14ac:dyDescent="0.25">
      <c r="A145" s="82"/>
      <c r="B145" s="51"/>
      <c r="C145" s="51"/>
      <c r="D145" s="82"/>
      <c r="E145" s="82"/>
      <c r="F145" s="82"/>
      <c r="G145" s="82"/>
      <c r="H145" s="82"/>
      <c r="I145" s="82"/>
      <c r="J145" s="82"/>
      <c r="K145" s="82"/>
      <c r="L145" s="82"/>
      <c r="M145" s="82"/>
      <c r="N145" s="82"/>
      <c r="O145" s="82"/>
      <c r="P145" s="82"/>
      <c r="Q145" s="82"/>
      <c r="R145" s="82"/>
      <c r="S145" s="82"/>
      <c r="T145" s="82"/>
      <c r="U145" s="82"/>
      <c r="V145" s="54"/>
      <c r="W145" s="54"/>
      <c r="X145" s="52"/>
      <c r="Y145" s="50"/>
      <c r="Z145" s="50"/>
      <c r="AA145" s="50"/>
      <c r="AB145" s="77"/>
      <c r="AC145" s="77"/>
      <c r="AD145" s="77"/>
      <c r="AE145" s="77"/>
      <c r="AF145" s="77"/>
      <c r="AG145" s="77"/>
      <c r="AH145" s="77"/>
      <c r="AI145" s="77"/>
      <c r="AJ145" s="50"/>
      <c r="AK145" s="77"/>
      <c r="AL145" s="77"/>
      <c r="AM145" s="77"/>
      <c r="AN145" s="77"/>
      <c r="AO145" s="77"/>
      <c r="AP145" s="77"/>
    </row>
    <row r="146" spans="1:42" ht="14.25" customHeight="1" x14ac:dyDescent="0.3">
      <c r="A146" s="49"/>
      <c r="B146" s="49"/>
      <c r="C146" s="49"/>
      <c r="D146" s="49"/>
      <c r="E146" s="49"/>
      <c r="F146" s="49"/>
      <c r="G146" s="49"/>
      <c r="H146" s="49"/>
      <c r="I146" s="49"/>
      <c r="J146" s="49"/>
      <c r="K146" s="49"/>
      <c r="L146" s="49"/>
      <c r="M146" s="49"/>
      <c r="N146" s="49"/>
      <c r="O146" s="49"/>
      <c r="P146" s="49"/>
      <c r="Q146" s="49"/>
      <c r="R146" s="49"/>
      <c r="S146" s="49"/>
      <c r="T146" s="49"/>
      <c r="U146" s="49"/>
      <c r="V146" s="54"/>
      <c r="W146" s="49"/>
      <c r="X146" s="49"/>
      <c r="Y146" s="49"/>
      <c r="Z146" s="49"/>
      <c r="AA146" s="49"/>
      <c r="AB146" s="49"/>
      <c r="AC146" s="49"/>
      <c r="AD146" s="49"/>
      <c r="AE146" s="49"/>
      <c r="AF146" s="49"/>
      <c r="AG146" s="49"/>
      <c r="AH146" s="50"/>
      <c r="AI146" s="50"/>
      <c r="AJ146" s="62"/>
      <c r="AK146" s="62"/>
      <c r="AL146" s="62"/>
      <c r="AM146" s="62"/>
      <c r="AN146" s="62"/>
      <c r="AO146" s="62"/>
      <c r="AP146" s="62"/>
    </row>
    <row r="147" spans="1:42" ht="14.25" customHeight="1" x14ac:dyDescent="0.25"/>
    <row r="148" spans="1:42" ht="14.25" customHeight="1" x14ac:dyDescent="0.25"/>
    <row r="149" spans="1:42" ht="14.25" customHeight="1" x14ac:dyDescent="0.25"/>
    <row r="150" spans="1:42" ht="14.25" customHeight="1" x14ac:dyDescent="0.25"/>
    <row r="151" spans="1:42" ht="14.25" customHeight="1" x14ac:dyDescent="0.25"/>
    <row r="152" spans="1:42" ht="14.25" customHeight="1" x14ac:dyDescent="0.25"/>
    <row r="153" spans="1:42" ht="14.25" customHeight="1" x14ac:dyDescent="0.25"/>
    <row r="154" spans="1:42" ht="18" customHeight="1" x14ac:dyDescent="0.25"/>
    <row r="155" spans="1:42" ht="18" customHeight="1" x14ac:dyDescent="0.25"/>
    <row r="156" spans="1:42" ht="18" customHeight="1" x14ac:dyDescent="0.25"/>
    <row r="157" spans="1:42" ht="18" customHeight="1" x14ac:dyDescent="0.25"/>
    <row r="158" spans="1:42" ht="18" customHeight="1" x14ac:dyDescent="0.25"/>
    <row r="159" spans="1:42" ht="18" customHeight="1" x14ac:dyDescent="0.25"/>
    <row r="160" spans="1:42"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row r="172" ht="18" customHeight="1" x14ac:dyDescent="0.25"/>
  </sheetData>
  <mergeCells count="743">
    <mergeCell ref="A19:Q22"/>
    <mergeCell ref="R19:AY22"/>
    <mergeCell ref="AZ19:BR22"/>
    <mergeCell ref="A23:Q26"/>
    <mergeCell ref="R23:AY26"/>
    <mergeCell ref="AZ23:BR26"/>
    <mergeCell ref="BL67:BN67"/>
    <mergeCell ref="BO67:BR67"/>
    <mergeCell ref="B93:BP93"/>
    <mergeCell ref="BQ93:BR94"/>
    <mergeCell ref="B94:BP94"/>
    <mergeCell ref="AE84:AG84"/>
    <mergeCell ref="AT83:AV83"/>
    <mergeCell ref="AW83:AY83"/>
    <mergeCell ref="AZ83:BB83"/>
    <mergeCell ref="BC83:BE83"/>
    <mergeCell ref="BF83:BH83"/>
    <mergeCell ref="BI83:BK83"/>
    <mergeCell ref="AB83:AD83"/>
    <mergeCell ref="AE83:AG83"/>
    <mergeCell ref="AH83:AJ83"/>
    <mergeCell ref="AK83:AM83"/>
    <mergeCell ref="AN83:AP83"/>
    <mergeCell ref="AQ83:AS83"/>
    <mergeCell ref="B67:C67"/>
    <mergeCell ref="D67:O67"/>
    <mergeCell ref="P67:R67"/>
    <mergeCell ref="S67:U67"/>
    <mergeCell ref="V67:X67"/>
    <mergeCell ref="Y67:AA67"/>
    <mergeCell ref="AB67:AD67"/>
    <mergeCell ref="AE67:AG67"/>
    <mergeCell ref="AH67:AJ67"/>
    <mergeCell ref="Y113:AE116"/>
    <mergeCell ref="B95:BP95"/>
    <mergeCell ref="B96:BP96"/>
    <mergeCell ref="B99:BP99"/>
    <mergeCell ref="B98:BP98"/>
    <mergeCell ref="AZ84:BB84"/>
    <mergeCell ref="BC84:BE84"/>
    <mergeCell ref="BF84:BH84"/>
    <mergeCell ref="BI84:BK84"/>
    <mergeCell ref="BL84:BN84"/>
    <mergeCell ref="BO84:BR84"/>
    <mergeCell ref="AH84:AJ84"/>
    <mergeCell ref="AK84:AM84"/>
    <mergeCell ref="AN84:AP84"/>
    <mergeCell ref="AQ84:AS84"/>
    <mergeCell ref="AT84:AV84"/>
    <mergeCell ref="AW84:AY84"/>
    <mergeCell ref="AB84:AD84"/>
    <mergeCell ref="B97:BP97"/>
    <mergeCell ref="B83:C83"/>
    <mergeCell ref="D83:O83"/>
    <mergeCell ref="P83:R83"/>
    <mergeCell ref="S83:U83"/>
    <mergeCell ref="V83:X83"/>
    <mergeCell ref="Y83:AA83"/>
    <mergeCell ref="B84:C84"/>
    <mergeCell ref="D84:O84"/>
    <mergeCell ref="P84:R84"/>
    <mergeCell ref="S84:U84"/>
    <mergeCell ref="V84:X84"/>
    <mergeCell ref="Y84:AA84"/>
    <mergeCell ref="AZ82:BB82"/>
    <mergeCell ref="BC82:BE82"/>
    <mergeCell ref="BF82:BH82"/>
    <mergeCell ref="BI82:BK82"/>
    <mergeCell ref="BL82:BN82"/>
    <mergeCell ref="BL83:BN83"/>
    <mergeCell ref="BO82:BR82"/>
    <mergeCell ref="AH82:AJ82"/>
    <mergeCell ref="AK82:AM82"/>
    <mergeCell ref="AN82:AP82"/>
    <mergeCell ref="AQ82:AS82"/>
    <mergeCell ref="AT82:AV82"/>
    <mergeCell ref="AW82:AY82"/>
    <mergeCell ref="BO83:BR83"/>
    <mergeCell ref="B82:C82"/>
    <mergeCell ref="D82:O82"/>
    <mergeCell ref="P82:R82"/>
    <mergeCell ref="S82:U82"/>
    <mergeCell ref="V82:X82"/>
    <mergeCell ref="Y82:AA82"/>
    <mergeCell ref="AB82:AD82"/>
    <mergeCell ref="AE82:AG82"/>
    <mergeCell ref="AT81:AV81"/>
    <mergeCell ref="AB81:AD81"/>
    <mergeCell ref="AE81:AG81"/>
    <mergeCell ref="AH81:AJ81"/>
    <mergeCell ref="AK81:AM81"/>
    <mergeCell ref="AN81:AP81"/>
    <mergeCell ref="AQ81:AS81"/>
    <mergeCell ref="B81:C81"/>
    <mergeCell ref="D81:O81"/>
    <mergeCell ref="P81:R81"/>
    <mergeCell ref="S81:U81"/>
    <mergeCell ref="V81:X81"/>
    <mergeCell ref="Y81:AA81"/>
    <mergeCell ref="AB79:AD79"/>
    <mergeCell ref="AE79:AG79"/>
    <mergeCell ref="BC80:BE80"/>
    <mergeCell ref="BF80:BH80"/>
    <mergeCell ref="BI80:BK80"/>
    <mergeCell ref="BL80:BN80"/>
    <mergeCell ref="BO80:BR80"/>
    <mergeCell ref="AH80:AJ80"/>
    <mergeCell ref="AK80:AM80"/>
    <mergeCell ref="AN80:AP80"/>
    <mergeCell ref="AQ80:AS80"/>
    <mergeCell ref="AT80:AV80"/>
    <mergeCell ref="AW80:AY80"/>
    <mergeCell ref="B79:C79"/>
    <mergeCell ref="D79:O79"/>
    <mergeCell ref="AZ80:BB80"/>
    <mergeCell ref="P79:R79"/>
    <mergeCell ref="S79:U79"/>
    <mergeCell ref="V79:X79"/>
    <mergeCell ref="Y79:AA79"/>
    <mergeCell ref="BL81:BN81"/>
    <mergeCell ref="BO81:BR81"/>
    <mergeCell ref="AW81:AY81"/>
    <mergeCell ref="AZ81:BB81"/>
    <mergeCell ref="BC81:BE81"/>
    <mergeCell ref="BF81:BH81"/>
    <mergeCell ref="BI81:BK81"/>
    <mergeCell ref="BO79:BR79"/>
    <mergeCell ref="B80:C80"/>
    <mergeCell ref="D80:O80"/>
    <mergeCell ref="P80:R80"/>
    <mergeCell ref="S80:U80"/>
    <mergeCell ref="V80:X80"/>
    <mergeCell ref="Y80:AA80"/>
    <mergeCell ref="AB80:AD80"/>
    <mergeCell ref="AE80:AG80"/>
    <mergeCell ref="AT79:AV79"/>
    <mergeCell ref="AZ78:BB78"/>
    <mergeCell ref="BC78:BE78"/>
    <mergeCell ref="BF78:BH78"/>
    <mergeCell ref="BI78:BK78"/>
    <mergeCell ref="BL78:BN78"/>
    <mergeCell ref="BL79:BN79"/>
    <mergeCell ref="BO78:BR78"/>
    <mergeCell ref="AH78:AJ78"/>
    <mergeCell ref="AK78:AM78"/>
    <mergeCell ref="AN78:AP78"/>
    <mergeCell ref="AQ78:AS78"/>
    <mergeCell ref="AT78:AV78"/>
    <mergeCell ref="AW78:AY78"/>
    <mergeCell ref="AH79:AJ79"/>
    <mergeCell ref="AK79:AM79"/>
    <mergeCell ref="AN79:AP79"/>
    <mergeCell ref="AQ79:AS79"/>
    <mergeCell ref="AW79:AY79"/>
    <mergeCell ref="AZ79:BB79"/>
    <mergeCell ref="BC79:BE79"/>
    <mergeCell ref="BF79:BH79"/>
    <mergeCell ref="BI79:BK79"/>
    <mergeCell ref="B78:C78"/>
    <mergeCell ref="D78:O78"/>
    <mergeCell ref="P78:R78"/>
    <mergeCell ref="S78:U78"/>
    <mergeCell ref="V78:X78"/>
    <mergeCell ref="Y78:AA78"/>
    <mergeCell ref="AB78:AD78"/>
    <mergeCell ref="AE78:AG78"/>
    <mergeCell ref="AT77:AV77"/>
    <mergeCell ref="AB77:AD77"/>
    <mergeCell ref="AE77:AG77"/>
    <mergeCell ref="AH77:AJ77"/>
    <mergeCell ref="AK77:AM77"/>
    <mergeCell ref="AN77:AP77"/>
    <mergeCell ref="AQ77:AS77"/>
    <mergeCell ref="B77:C77"/>
    <mergeCell ref="D77:O77"/>
    <mergeCell ref="P77:R77"/>
    <mergeCell ref="S77:U77"/>
    <mergeCell ref="V77:X77"/>
    <mergeCell ref="Y77:AA77"/>
    <mergeCell ref="AB75:AD75"/>
    <mergeCell ref="AE75:AG75"/>
    <mergeCell ref="BC76:BE76"/>
    <mergeCell ref="BF76:BH76"/>
    <mergeCell ref="BI76:BK76"/>
    <mergeCell ref="BL76:BN76"/>
    <mergeCell ref="BO76:BR76"/>
    <mergeCell ref="AH76:AJ76"/>
    <mergeCell ref="AK76:AM76"/>
    <mergeCell ref="AN76:AP76"/>
    <mergeCell ref="AQ76:AS76"/>
    <mergeCell ref="AT76:AV76"/>
    <mergeCell ref="AW76:AY76"/>
    <mergeCell ref="B75:C75"/>
    <mergeCell ref="D75:O75"/>
    <mergeCell ref="AZ76:BB76"/>
    <mergeCell ref="P75:R75"/>
    <mergeCell ref="S75:U75"/>
    <mergeCell ref="V75:X75"/>
    <mergeCell ref="Y75:AA75"/>
    <mergeCell ref="BL77:BN77"/>
    <mergeCell ref="BO77:BR77"/>
    <mergeCell ref="AW77:AY77"/>
    <mergeCell ref="AZ77:BB77"/>
    <mergeCell ref="BC77:BE77"/>
    <mergeCell ref="BF77:BH77"/>
    <mergeCell ref="BI77:BK77"/>
    <mergeCell ref="BO75:BR75"/>
    <mergeCell ref="B76:C76"/>
    <mergeCell ref="D76:O76"/>
    <mergeCell ref="P76:R76"/>
    <mergeCell ref="S76:U76"/>
    <mergeCell ref="V76:X76"/>
    <mergeCell ref="Y76:AA76"/>
    <mergeCell ref="AB76:AD76"/>
    <mergeCell ref="AE76:AG76"/>
    <mergeCell ref="AT75:AV75"/>
    <mergeCell ref="AZ74:BB74"/>
    <mergeCell ref="BC74:BE74"/>
    <mergeCell ref="BF74:BH74"/>
    <mergeCell ref="BI74:BK74"/>
    <mergeCell ref="BL74:BN74"/>
    <mergeCell ref="BL75:BN75"/>
    <mergeCell ref="BO74:BR74"/>
    <mergeCell ref="AH74:AJ74"/>
    <mergeCell ref="AK74:AM74"/>
    <mergeCell ref="AN74:AP74"/>
    <mergeCell ref="AQ74:AS74"/>
    <mergeCell ref="AT74:AV74"/>
    <mergeCell ref="AW74:AY74"/>
    <mergeCell ref="AH75:AJ75"/>
    <mergeCell ref="AK75:AM75"/>
    <mergeCell ref="AN75:AP75"/>
    <mergeCell ref="AQ75:AS75"/>
    <mergeCell ref="AW75:AY75"/>
    <mergeCell ref="AZ75:BB75"/>
    <mergeCell ref="BC75:BE75"/>
    <mergeCell ref="BF75:BH75"/>
    <mergeCell ref="BI75:BK75"/>
    <mergeCell ref="B74:C74"/>
    <mergeCell ref="D74:O74"/>
    <mergeCell ref="P74:R74"/>
    <mergeCell ref="S74:U74"/>
    <mergeCell ref="V74:X74"/>
    <mergeCell ref="Y74:AA74"/>
    <mergeCell ref="AB74:AD74"/>
    <mergeCell ref="AE74:AG74"/>
    <mergeCell ref="AT73:AV73"/>
    <mergeCell ref="AB73:AD73"/>
    <mergeCell ref="AE73:AG73"/>
    <mergeCell ref="AH73:AJ73"/>
    <mergeCell ref="AK73:AM73"/>
    <mergeCell ref="AN73:AP73"/>
    <mergeCell ref="AQ73:AS73"/>
    <mergeCell ref="B73:C73"/>
    <mergeCell ref="D73:O73"/>
    <mergeCell ref="P73:R73"/>
    <mergeCell ref="S73:U73"/>
    <mergeCell ref="V73:X73"/>
    <mergeCell ref="Y73:AA73"/>
    <mergeCell ref="AB71:AD71"/>
    <mergeCell ref="AE71:AG71"/>
    <mergeCell ref="BC72:BE72"/>
    <mergeCell ref="BF72:BH72"/>
    <mergeCell ref="BI72:BK72"/>
    <mergeCell ref="BL72:BN72"/>
    <mergeCell ref="BO72:BR72"/>
    <mergeCell ref="AH72:AJ72"/>
    <mergeCell ref="AK72:AM72"/>
    <mergeCell ref="AN72:AP72"/>
    <mergeCell ref="AQ72:AS72"/>
    <mergeCell ref="AT72:AV72"/>
    <mergeCell ref="AW72:AY72"/>
    <mergeCell ref="B71:C71"/>
    <mergeCell ref="D71:O71"/>
    <mergeCell ref="AZ72:BB72"/>
    <mergeCell ref="P71:R71"/>
    <mergeCell ref="S71:U71"/>
    <mergeCell ref="V71:X71"/>
    <mergeCell ref="Y71:AA71"/>
    <mergeCell ref="BL73:BN73"/>
    <mergeCell ref="BO73:BR73"/>
    <mergeCell ref="AW73:AY73"/>
    <mergeCell ref="AZ73:BB73"/>
    <mergeCell ref="BC73:BE73"/>
    <mergeCell ref="BF73:BH73"/>
    <mergeCell ref="BI73:BK73"/>
    <mergeCell ref="BO71:BR71"/>
    <mergeCell ref="B72:C72"/>
    <mergeCell ref="D72:O72"/>
    <mergeCell ref="P72:R72"/>
    <mergeCell ref="S72:U72"/>
    <mergeCell ref="V72:X72"/>
    <mergeCell ref="Y72:AA72"/>
    <mergeCell ref="AB72:AD72"/>
    <mergeCell ref="AE72:AG72"/>
    <mergeCell ref="AT71:AV71"/>
    <mergeCell ref="AZ70:BB70"/>
    <mergeCell ref="BC70:BE70"/>
    <mergeCell ref="BF70:BH70"/>
    <mergeCell ref="BI70:BK70"/>
    <mergeCell ref="BL70:BN70"/>
    <mergeCell ref="BL71:BN71"/>
    <mergeCell ref="BO70:BR70"/>
    <mergeCell ref="AH70:AJ70"/>
    <mergeCell ref="AK70:AM70"/>
    <mergeCell ref="AN70:AP70"/>
    <mergeCell ref="AQ70:AS70"/>
    <mergeCell ref="AT70:AV70"/>
    <mergeCell ref="AW70:AY70"/>
    <mergeCell ref="AH71:AJ71"/>
    <mergeCell ref="AK71:AM71"/>
    <mergeCell ref="AN71:AP71"/>
    <mergeCell ref="AQ71:AS71"/>
    <mergeCell ref="AW71:AY71"/>
    <mergeCell ref="AZ71:BB71"/>
    <mergeCell ref="BC71:BE71"/>
    <mergeCell ref="BF71:BH71"/>
    <mergeCell ref="BI71:BK71"/>
    <mergeCell ref="B70:C70"/>
    <mergeCell ref="D70:O70"/>
    <mergeCell ref="P70:R70"/>
    <mergeCell ref="S70:U70"/>
    <mergeCell ref="V70:X70"/>
    <mergeCell ref="Y70:AA70"/>
    <mergeCell ref="AB70:AD70"/>
    <mergeCell ref="AE70:AG70"/>
    <mergeCell ref="AT69:AV69"/>
    <mergeCell ref="AB69:AD69"/>
    <mergeCell ref="AE69:AG69"/>
    <mergeCell ref="AH69:AJ69"/>
    <mergeCell ref="AK69:AM69"/>
    <mergeCell ref="AN69:AP69"/>
    <mergeCell ref="AQ69:AS69"/>
    <mergeCell ref="B69:C69"/>
    <mergeCell ref="D69:O69"/>
    <mergeCell ref="P69:R69"/>
    <mergeCell ref="S69:U69"/>
    <mergeCell ref="V69:X69"/>
    <mergeCell ref="Y69:AA69"/>
    <mergeCell ref="AB66:AD66"/>
    <mergeCell ref="AE66:AG66"/>
    <mergeCell ref="BC68:BE68"/>
    <mergeCell ref="BF68:BH68"/>
    <mergeCell ref="BI68:BK68"/>
    <mergeCell ref="BL68:BN68"/>
    <mergeCell ref="BO68:BR68"/>
    <mergeCell ref="AH68:AJ68"/>
    <mergeCell ref="AK68:AM68"/>
    <mergeCell ref="AN68:AP68"/>
    <mergeCell ref="AQ68:AS68"/>
    <mergeCell ref="AT68:AV68"/>
    <mergeCell ref="AW68:AY68"/>
    <mergeCell ref="AK67:AM67"/>
    <mergeCell ref="AN67:AP67"/>
    <mergeCell ref="AQ67:AS67"/>
    <mergeCell ref="AT67:AV67"/>
    <mergeCell ref="AW67:AY67"/>
    <mergeCell ref="AZ67:BB67"/>
    <mergeCell ref="BC67:BE67"/>
    <mergeCell ref="BF67:BH67"/>
    <mergeCell ref="BI67:BK67"/>
    <mergeCell ref="B66:C66"/>
    <mergeCell ref="D66:O66"/>
    <mergeCell ref="AZ68:BB68"/>
    <mergeCell ref="P66:R66"/>
    <mergeCell ref="S66:U66"/>
    <mergeCell ref="V66:X66"/>
    <mergeCell ref="Y66:AA66"/>
    <mergeCell ref="BL69:BN69"/>
    <mergeCell ref="BO69:BR69"/>
    <mergeCell ref="AW69:AY69"/>
    <mergeCell ref="AZ69:BB69"/>
    <mergeCell ref="BC69:BE69"/>
    <mergeCell ref="BF69:BH69"/>
    <mergeCell ref="BI69:BK69"/>
    <mergeCell ref="BO66:BR66"/>
    <mergeCell ref="B68:C68"/>
    <mergeCell ref="D68:O68"/>
    <mergeCell ref="P68:R68"/>
    <mergeCell ref="S68:U68"/>
    <mergeCell ref="V68:X68"/>
    <mergeCell ref="Y68:AA68"/>
    <mergeCell ref="AB68:AD68"/>
    <mergeCell ref="AE68:AG68"/>
    <mergeCell ref="AT66:AV66"/>
    <mergeCell ref="AZ65:BB65"/>
    <mergeCell ref="BC65:BE65"/>
    <mergeCell ref="BF65:BH65"/>
    <mergeCell ref="BI65:BK65"/>
    <mergeCell ref="BL65:BN65"/>
    <mergeCell ref="BL66:BN66"/>
    <mergeCell ref="BO65:BR65"/>
    <mergeCell ref="AH65:AJ65"/>
    <mergeCell ref="AK65:AM65"/>
    <mergeCell ref="AN65:AP65"/>
    <mergeCell ref="AQ65:AS65"/>
    <mergeCell ref="AT65:AV65"/>
    <mergeCell ref="AW65:AY65"/>
    <mergeCell ref="AH66:AJ66"/>
    <mergeCell ref="AK66:AM66"/>
    <mergeCell ref="AN66:AP66"/>
    <mergeCell ref="AQ66:AS66"/>
    <mergeCell ref="AW66:AY66"/>
    <mergeCell ref="AZ66:BB66"/>
    <mergeCell ref="BC66:BE66"/>
    <mergeCell ref="BF66:BH66"/>
    <mergeCell ref="BI66:BK66"/>
    <mergeCell ref="B65:C65"/>
    <mergeCell ref="D65:O65"/>
    <mergeCell ref="P65:R65"/>
    <mergeCell ref="S65:U65"/>
    <mergeCell ref="V65:X65"/>
    <mergeCell ref="Y65:AA65"/>
    <mergeCell ref="AB65:AD65"/>
    <mergeCell ref="AE65:AG65"/>
    <mergeCell ref="AT64:AV64"/>
    <mergeCell ref="AB64:AD64"/>
    <mergeCell ref="AE64:AG64"/>
    <mergeCell ref="AH64:AJ64"/>
    <mergeCell ref="AK64:AM64"/>
    <mergeCell ref="AN64:AP64"/>
    <mergeCell ref="AQ64:AS64"/>
    <mergeCell ref="B64:C64"/>
    <mergeCell ref="D64:O64"/>
    <mergeCell ref="P64:R64"/>
    <mergeCell ref="S64:U64"/>
    <mergeCell ref="V64:X64"/>
    <mergeCell ref="Y64:AA64"/>
    <mergeCell ref="AB62:AD62"/>
    <mergeCell ref="AE62:AG62"/>
    <mergeCell ref="BC63:BE63"/>
    <mergeCell ref="BF63:BH63"/>
    <mergeCell ref="BI63:BK63"/>
    <mergeCell ref="BL63:BN63"/>
    <mergeCell ref="BO63:BR63"/>
    <mergeCell ref="AH63:AJ63"/>
    <mergeCell ref="AK63:AM63"/>
    <mergeCell ref="AN63:AP63"/>
    <mergeCell ref="AQ63:AS63"/>
    <mergeCell ref="AT63:AV63"/>
    <mergeCell ref="AW63:AY63"/>
    <mergeCell ref="B62:C62"/>
    <mergeCell ref="D62:O62"/>
    <mergeCell ref="AZ63:BB63"/>
    <mergeCell ref="P62:R62"/>
    <mergeCell ref="S62:U62"/>
    <mergeCell ref="V62:X62"/>
    <mergeCell ref="Y62:AA62"/>
    <mergeCell ref="BL64:BN64"/>
    <mergeCell ref="BO64:BR64"/>
    <mergeCell ref="AW64:AY64"/>
    <mergeCell ref="AZ64:BB64"/>
    <mergeCell ref="BC64:BE64"/>
    <mergeCell ref="BF64:BH64"/>
    <mergeCell ref="BI64:BK64"/>
    <mergeCell ref="BO62:BR62"/>
    <mergeCell ref="B63:C63"/>
    <mergeCell ref="D63:O63"/>
    <mergeCell ref="P63:R63"/>
    <mergeCell ref="S63:U63"/>
    <mergeCell ref="V63:X63"/>
    <mergeCell ref="Y63:AA63"/>
    <mergeCell ref="AB63:AD63"/>
    <mergeCell ref="AE63:AG63"/>
    <mergeCell ref="AT62:AV62"/>
    <mergeCell ref="AZ61:BB61"/>
    <mergeCell ref="BC61:BE61"/>
    <mergeCell ref="BF61:BH61"/>
    <mergeCell ref="BI61:BK61"/>
    <mergeCell ref="BL61:BN61"/>
    <mergeCell ref="BL62:BN62"/>
    <mergeCell ref="BO61:BR61"/>
    <mergeCell ref="AH61:AJ61"/>
    <mergeCell ref="AK61:AM61"/>
    <mergeCell ref="AN61:AP61"/>
    <mergeCell ref="AQ61:AS61"/>
    <mergeCell ref="AT61:AV61"/>
    <mergeCell ref="AW61:AY61"/>
    <mergeCell ref="AH62:AJ62"/>
    <mergeCell ref="AK62:AM62"/>
    <mergeCell ref="AN62:AP62"/>
    <mergeCell ref="AQ62:AS62"/>
    <mergeCell ref="AW62:AY62"/>
    <mergeCell ref="AZ62:BB62"/>
    <mergeCell ref="BC62:BE62"/>
    <mergeCell ref="BF62:BH62"/>
    <mergeCell ref="BI62:BK62"/>
    <mergeCell ref="B61:C61"/>
    <mergeCell ref="D61:O61"/>
    <mergeCell ref="P61:R61"/>
    <mergeCell ref="S61:U61"/>
    <mergeCell ref="V61:X61"/>
    <mergeCell ref="Y61:AA61"/>
    <mergeCell ref="AB61:AD61"/>
    <mergeCell ref="AE61:AG61"/>
    <mergeCell ref="AT60:AV60"/>
    <mergeCell ref="AB60:AD60"/>
    <mergeCell ref="AE60:AG60"/>
    <mergeCell ref="AH60:AJ60"/>
    <mergeCell ref="AK60:AM60"/>
    <mergeCell ref="AN60:AP60"/>
    <mergeCell ref="AQ60:AS60"/>
    <mergeCell ref="B60:C60"/>
    <mergeCell ref="D60:O60"/>
    <mergeCell ref="P60:R60"/>
    <mergeCell ref="S60:U60"/>
    <mergeCell ref="V60:X60"/>
    <mergeCell ref="Y60:AA60"/>
    <mergeCell ref="AB58:AD58"/>
    <mergeCell ref="AE58:AG58"/>
    <mergeCell ref="BC59:BE59"/>
    <mergeCell ref="BF59:BH59"/>
    <mergeCell ref="BI59:BK59"/>
    <mergeCell ref="BL59:BN59"/>
    <mergeCell ref="BO59:BR59"/>
    <mergeCell ref="AH59:AJ59"/>
    <mergeCell ref="AK59:AM59"/>
    <mergeCell ref="AN59:AP59"/>
    <mergeCell ref="AQ59:AS59"/>
    <mergeCell ref="AT59:AV59"/>
    <mergeCell ref="AW59:AY59"/>
    <mergeCell ref="B58:C58"/>
    <mergeCell ref="D58:O58"/>
    <mergeCell ref="AZ59:BB59"/>
    <mergeCell ref="P58:R58"/>
    <mergeCell ref="S58:U58"/>
    <mergeCell ref="V58:X58"/>
    <mergeCell ref="Y58:AA58"/>
    <mergeCell ref="BL60:BN60"/>
    <mergeCell ref="BO60:BR60"/>
    <mergeCell ref="AW60:AY60"/>
    <mergeCell ref="AZ60:BB60"/>
    <mergeCell ref="BC60:BE60"/>
    <mergeCell ref="BF60:BH60"/>
    <mergeCell ref="BI60:BK60"/>
    <mergeCell ref="BO58:BR58"/>
    <mergeCell ref="B59:C59"/>
    <mergeCell ref="D59:O59"/>
    <mergeCell ref="P59:R59"/>
    <mergeCell ref="S59:U59"/>
    <mergeCell ref="V59:X59"/>
    <mergeCell ref="Y59:AA59"/>
    <mergeCell ref="AB59:AD59"/>
    <mergeCell ref="AE59:AG59"/>
    <mergeCell ref="AT58:AV58"/>
    <mergeCell ref="BC57:BE57"/>
    <mergeCell ref="BF57:BH57"/>
    <mergeCell ref="BI57:BK57"/>
    <mergeCell ref="BL57:BN57"/>
    <mergeCell ref="BL58:BN58"/>
    <mergeCell ref="BO57:BR57"/>
    <mergeCell ref="AH57:AJ57"/>
    <mergeCell ref="AK57:AM57"/>
    <mergeCell ref="AN57:AP57"/>
    <mergeCell ref="AQ57:AS57"/>
    <mergeCell ref="AT57:AV57"/>
    <mergeCell ref="AW57:AY57"/>
    <mergeCell ref="AH58:AJ58"/>
    <mergeCell ref="AK58:AM58"/>
    <mergeCell ref="AN58:AP58"/>
    <mergeCell ref="AQ58:AS58"/>
    <mergeCell ref="AW58:AY58"/>
    <mergeCell ref="AZ58:BB58"/>
    <mergeCell ref="BC58:BE58"/>
    <mergeCell ref="BF58:BH58"/>
    <mergeCell ref="BI58:BK58"/>
    <mergeCell ref="BO56:BR56"/>
    <mergeCell ref="AW56:AY56"/>
    <mergeCell ref="AZ56:BB56"/>
    <mergeCell ref="BC56:BE56"/>
    <mergeCell ref="BF56:BH56"/>
    <mergeCell ref="BI56:BK56"/>
    <mergeCell ref="B57:C57"/>
    <mergeCell ref="D57:O57"/>
    <mergeCell ref="P57:R57"/>
    <mergeCell ref="S57:U57"/>
    <mergeCell ref="V57:X57"/>
    <mergeCell ref="Y57:AA57"/>
    <mergeCell ref="AB57:AD57"/>
    <mergeCell ref="AE57:AG57"/>
    <mergeCell ref="AT56:AV56"/>
    <mergeCell ref="AB56:AD56"/>
    <mergeCell ref="AE56:AG56"/>
    <mergeCell ref="AH56:AJ56"/>
    <mergeCell ref="AK56:AM56"/>
    <mergeCell ref="AN56:AP56"/>
    <mergeCell ref="AQ56:AS56"/>
    <mergeCell ref="B56:C56"/>
    <mergeCell ref="D56:O56"/>
    <mergeCell ref="AZ57:BB57"/>
    <mergeCell ref="P56:R56"/>
    <mergeCell ref="S56:U56"/>
    <mergeCell ref="V56:X56"/>
    <mergeCell ref="Y56:AA56"/>
    <mergeCell ref="S55:U55"/>
    <mergeCell ref="BC50:BE51"/>
    <mergeCell ref="BF50:BH51"/>
    <mergeCell ref="BI50:BK51"/>
    <mergeCell ref="BL50:BN51"/>
    <mergeCell ref="AQ52:BB53"/>
    <mergeCell ref="BC52:BN53"/>
    <mergeCell ref="AH50:AJ55"/>
    <mergeCell ref="AK50:AM55"/>
    <mergeCell ref="AQ50:AS51"/>
    <mergeCell ref="AT50:AV51"/>
    <mergeCell ref="AW50:AY51"/>
    <mergeCell ref="AZ50:BB51"/>
    <mergeCell ref="AQ54:AS55"/>
    <mergeCell ref="AT54:AV55"/>
    <mergeCell ref="AW54:AY55"/>
    <mergeCell ref="AZ54:BB55"/>
    <mergeCell ref="BL56:BN56"/>
    <mergeCell ref="A44:BR45"/>
    <mergeCell ref="A46:A55"/>
    <mergeCell ref="B46:C55"/>
    <mergeCell ref="D46:O55"/>
    <mergeCell ref="P46:AP47"/>
    <mergeCell ref="AQ46:BB47"/>
    <mergeCell ref="BC46:BN47"/>
    <mergeCell ref="BO46:BR55"/>
    <mergeCell ref="P48:U54"/>
    <mergeCell ref="V48:AM49"/>
    <mergeCell ref="AN48:AP55"/>
    <mergeCell ref="AQ48:AV49"/>
    <mergeCell ref="AW48:BB49"/>
    <mergeCell ref="BC48:BH49"/>
    <mergeCell ref="BI48:BN49"/>
    <mergeCell ref="V50:X55"/>
    <mergeCell ref="Y50:AA55"/>
    <mergeCell ref="AB50:AD55"/>
    <mergeCell ref="AE50:AG55"/>
    <mergeCell ref="BC54:BE55"/>
    <mergeCell ref="BF54:BH55"/>
    <mergeCell ref="BI54:BK55"/>
    <mergeCell ref="BL54:BN55"/>
    <mergeCell ref="P55:R55"/>
    <mergeCell ref="BM37:BN37"/>
    <mergeCell ref="BO37:BP37"/>
    <mergeCell ref="BQ37:BR37"/>
    <mergeCell ref="B39:C41"/>
    <mergeCell ref="D39:J41"/>
    <mergeCell ref="K39:N41"/>
    <mergeCell ref="O39:R41"/>
    <mergeCell ref="S39:U41"/>
    <mergeCell ref="V39:AA41"/>
    <mergeCell ref="AB39:AD41"/>
    <mergeCell ref="A37:BB37"/>
    <mergeCell ref="BC37:BD37"/>
    <mergeCell ref="BE37:BF37"/>
    <mergeCell ref="BG37:BH37"/>
    <mergeCell ref="BI37:BJ37"/>
    <mergeCell ref="BK37:BL37"/>
    <mergeCell ref="BH39:BN41"/>
    <mergeCell ref="AF39:AM41"/>
    <mergeCell ref="AN39:AP41"/>
    <mergeCell ref="AR39:AU41"/>
    <mergeCell ref="AW39:AY41"/>
    <mergeCell ref="AZ39:BC41"/>
    <mergeCell ref="BD39:BG41"/>
    <mergeCell ref="A36:B36"/>
    <mergeCell ref="BC36:BD36"/>
    <mergeCell ref="BE36:BF36"/>
    <mergeCell ref="BG36:BH36"/>
    <mergeCell ref="BI36:BJ36"/>
    <mergeCell ref="BK36:BL36"/>
    <mergeCell ref="BM36:BN36"/>
    <mergeCell ref="BO36:BP36"/>
    <mergeCell ref="BQ36:BR36"/>
    <mergeCell ref="A35:B35"/>
    <mergeCell ref="BC35:BD35"/>
    <mergeCell ref="BW32:BX34"/>
    <mergeCell ref="BY32:CA34"/>
    <mergeCell ref="C33:F33"/>
    <mergeCell ref="G33:J33"/>
    <mergeCell ref="K33:O33"/>
    <mergeCell ref="P33:S33"/>
    <mergeCell ref="T33:X33"/>
    <mergeCell ref="Y33:AB33"/>
    <mergeCell ref="AC33:AF33"/>
    <mergeCell ref="AG33:AJ33"/>
    <mergeCell ref="BQ31:BR34"/>
    <mergeCell ref="BT31:CA31"/>
    <mergeCell ref="BQ35:BR35"/>
    <mergeCell ref="BE35:BF35"/>
    <mergeCell ref="BG35:BH35"/>
    <mergeCell ref="BI35:BJ35"/>
    <mergeCell ref="BK35:BL35"/>
    <mergeCell ref="BM35:BN35"/>
    <mergeCell ref="BO35:BP35"/>
    <mergeCell ref="CB31:CC34"/>
    <mergeCell ref="CD31:CE34"/>
    <mergeCell ref="CF31:CG34"/>
    <mergeCell ref="BE32:BF34"/>
    <mergeCell ref="BG32:BH34"/>
    <mergeCell ref="BI32:BJ34"/>
    <mergeCell ref="BK32:BL34"/>
    <mergeCell ref="BT32:BV34"/>
    <mergeCell ref="A29:BR30"/>
    <mergeCell ref="A31:B34"/>
    <mergeCell ref="C31:BB32"/>
    <mergeCell ref="BC31:BD34"/>
    <mergeCell ref="BE31:BL31"/>
    <mergeCell ref="BM31:BN34"/>
    <mergeCell ref="BO31:BP34"/>
    <mergeCell ref="AK33:AO33"/>
    <mergeCell ref="AP33:AS33"/>
    <mergeCell ref="AT33:AX33"/>
    <mergeCell ref="AY33:BB33"/>
    <mergeCell ref="A15:Q18"/>
    <mergeCell ref="R15:AY18"/>
    <mergeCell ref="A1:BR2"/>
    <mergeCell ref="A3:BR4"/>
    <mergeCell ref="A7:Q10"/>
    <mergeCell ref="R7:AY10"/>
    <mergeCell ref="AZ7:BR10"/>
    <mergeCell ref="A11:Q14"/>
    <mergeCell ref="R11:AY14"/>
    <mergeCell ref="AZ11:BR14"/>
    <mergeCell ref="AZ15:BR18"/>
    <mergeCell ref="AJ131:AX132"/>
    <mergeCell ref="AY131:BG131"/>
    <mergeCell ref="BH131:BP131"/>
    <mergeCell ref="V87:AZ88"/>
    <mergeCell ref="V89:AZ90"/>
    <mergeCell ref="A104:O104"/>
    <mergeCell ref="P104:S104"/>
    <mergeCell ref="T104:X104"/>
    <mergeCell ref="AJ104:BR110"/>
    <mergeCell ref="AJ113:AX116"/>
    <mergeCell ref="AY113:BG116"/>
    <mergeCell ref="BH113:BR116"/>
    <mergeCell ref="B100:BP100"/>
    <mergeCell ref="B101:BP101"/>
    <mergeCell ref="A119:O122"/>
    <mergeCell ref="P119:X122"/>
    <mergeCell ref="Y119:AE122"/>
    <mergeCell ref="AJ119:AX122"/>
    <mergeCell ref="AY119:BG122"/>
    <mergeCell ref="BH119:BR122"/>
    <mergeCell ref="AY128:BG128"/>
    <mergeCell ref="BH128:BP128"/>
    <mergeCell ref="A113:O116"/>
    <mergeCell ref="P113:X116"/>
  </mergeCells>
  <conditionalFormatting sqref="BW58:BW84">
    <cfRule type="expression" dxfId="11" priority="2">
      <formula>BV58=0</formula>
    </cfRule>
  </conditionalFormatting>
  <conditionalFormatting sqref="BZ58:BZ84">
    <cfRule type="expression" dxfId="10" priority="1">
      <formula>BY58=0</formula>
    </cfRule>
  </conditionalFormatting>
  <pageMargins left="0.19685039370078741" right="0.19685039370078741" top="0.19685039370078741" bottom="0.19685039370078741" header="0.31496062992125984" footer="0.31496062992125984"/>
  <pageSetup paperSize="9" scale="5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163"/>
  <sheetViews>
    <sheetView view="pageBreakPreview" topLeftCell="A33" zoomScale="70" zoomScaleNormal="55" zoomScaleSheetLayoutView="70" zoomScalePageLayoutView="70" workbookViewId="0">
      <selection activeCell="D64" sqref="D64:O64"/>
    </sheetView>
  </sheetViews>
  <sheetFormatPr defaultColWidth="9.140625" defaultRowHeight="15.75" x14ac:dyDescent="0.25"/>
  <cols>
    <col min="1" max="1" width="12.28515625" style="2" customWidth="1"/>
    <col min="2" max="2" width="12.28515625" style="65" customWidth="1"/>
    <col min="3" max="3" width="3.85546875" style="65" customWidth="1"/>
    <col min="4" max="70" width="3.85546875" style="2" customWidth="1"/>
    <col min="71" max="74" width="6.5703125" style="1" customWidth="1"/>
    <col min="75" max="75" width="15.42578125" style="1" customWidth="1"/>
    <col min="76" max="77" width="6.5703125" style="1" customWidth="1"/>
    <col min="78" max="78" width="15.42578125" style="1" customWidth="1"/>
    <col min="79" max="16384" width="9.140625" style="2"/>
  </cols>
  <sheetData>
    <row r="1" spans="1:70" ht="14.25" customHeight="1" x14ac:dyDescent="0.25">
      <c r="A1" s="140" t="s">
        <v>252</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c r="BD1" s="140"/>
      <c r="BE1" s="140"/>
      <c r="BF1" s="140"/>
      <c r="BG1" s="140"/>
      <c r="BH1" s="140"/>
      <c r="BI1" s="140"/>
      <c r="BJ1" s="140"/>
      <c r="BK1" s="140"/>
      <c r="BL1" s="140"/>
      <c r="BM1" s="140"/>
      <c r="BN1" s="140"/>
      <c r="BO1" s="140"/>
      <c r="BP1" s="140"/>
      <c r="BQ1" s="140"/>
      <c r="BR1" s="140"/>
    </row>
    <row r="2" spans="1:70" ht="14.25" customHeight="1" x14ac:dyDescent="0.25">
      <c r="A2" s="140"/>
      <c r="B2" s="140"/>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c r="AH2" s="140"/>
      <c r="AI2" s="140"/>
      <c r="AJ2" s="140"/>
      <c r="AK2" s="140"/>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row>
    <row r="3" spans="1:70" ht="14.25" customHeight="1" x14ac:dyDescent="0.25">
      <c r="A3" s="140" t="s">
        <v>56</v>
      </c>
      <c r="B3" s="140"/>
      <c r="C3" s="140"/>
      <c r="D3" s="140"/>
      <c r="E3" s="140"/>
      <c r="F3" s="140"/>
      <c r="G3" s="140"/>
      <c r="H3" s="140"/>
      <c r="I3" s="140"/>
      <c r="J3" s="140"/>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row>
    <row r="4" spans="1:70" ht="14.25" customHeight="1" x14ac:dyDescent="0.25">
      <c r="A4" s="140"/>
      <c r="B4" s="140"/>
      <c r="C4" s="140"/>
      <c r="D4" s="140"/>
      <c r="E4" s="140"/>
      <c r="F4" s="140"/>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row>
    <row r="5" spans="1:70" ht="14.25" customHeight="1" x14ac:dyDescent="0.25">
      <c r="A5" s="67"/>
      <c r="B5" s="67"/>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row>
    <row r="6" spans="1:70" ht="14.25" customHeight="1" x14ac:dyDescent="0.25">
      <c r="A6" s="67"/>
      <c r="B6" s="67"/>
      <c r="C6" s="67"/>
      <c r="D6" s="67"/>
      <c r="E6" s="67"/>
      <c r="F6" s="67"/>
      <c r="G6" s="67"/>
      <c r="H6" s="67"/>
      <c r="I6" s="67"/>
      <c r="J6" s="67"/>
      <c r="K6" s="67"/>
      <c r="L6" s="67"/>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row>
    <row r="7" spans="1:70" ht="14.25" customHeight="1" x14ac:dyDescent="0.25">
      <c r="A7" s="170" t="s">
        <v>57</v>
      </c>
      <c r="B7" s="170"/>
      <c r="C7" s="170"/>
      <c r="D7" s="170"/>
      <c r="E7" s="170"/>
      <c r="F7" s="170"/>
      <c r="G7" s="170"/>
      <c r="H7" s="170"/>
      <c r="I7" s="170"/>
      <c r="J7" s="170"/>
      <c r="K7" s="170"/>
      <c r="L7" s="170"/>
      <c r="M7" s="170"/>
      <c r="N7" s="170"/>
      <c r="O7" s="170"/>
      <c r="P7" s="170"/>
      <c r="Q7" s="170"/>
      <c r="R7" s="170" t="s">
        <v>239</v>
      </c>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t="s">
        <v>64</v>
      </c>
      <c r="BA7" s="170"/>
      <c r="BB7" s="170"/>
      <c r="BC7" s="170"/>
      <c r="BD7" s="170"/>
      <c r="BE7" s="170"/>
      <c r="BF7" s="170"/>
      <c r="BG7" s="170"/>
      <c r="BH7" s="170"/>
      <c r="BI7" s="170"/>
      <c r="BJ7" s="170"/>
      <c r="BK7" s="170"/>
      <c r="BL7" s="170"/>
      <c r="BM7" s="170"/>
      <c r="BN7" s="170"/>
      <c r="BO7" s="170"/>
      <c r="BP7" s="170"/>
      <c r="BQ7" s="170"/>
      <c r="BR7" s="170"/>
    </row>
    <row r="8" spans="1:70" ht="14.25" customHeight="1" x14ac:dyDescent="0.25">
      <c r="A8" s="170"/>
      <c r="B8" s="170"/>
      <c r="C8" s="170"/>
      <c r="D8" s="170"/>
      <c r="E8" s="170"/>
      <c r="F8" s="170"/>
      <c r="G8" s="170"/>
      <c r="H8" s="170"/>
      <c r="I8" s="170"/>
      <c r="J8" s="170"/>
      <c r="K8" s="170"/>
      <c r="L8" s="170"/>
      <c r="M8" s="170"/>
      <c r="N8" s="170"/>
      <c r="O8" s="170"/>
      <c r="P8" s="170"/>
      <c r="Q8" s="170"/>
      <c r="R8" s="170"/>
      <c r="S8" s="170"/>
      <c r="T8" s="170"/>
      <c r="U8" s="170"/>
      <c r="V8" s="170"/>
      <c r="W8" s="170"/>
      <c r="X8" s="170"/>
      <c r="Y8" s="170"/>
      <c r="Z8" s="170"/>
      <c r="AA8" s="170"/>
      <c r="AB8" s="170"/>
      <c r="AC8" s="170"/>
      <c r="AD8" s="170"/>
      <c r="AE8" s="170"/>
      <c r="AF8" s="170"/>
      <c r="AG8" s="170"/>
      <c r="AH8" s="170"/>
      <c r="AI8" s="170"/>
      <c r="AJ8" s="170"/>
      <c r="AK8" s="170"/>
      <c r="AL8" s="170"/>
      <c r="AM8" s="170"/>
      <c r="AN8" s="170"/>
      <c r="AO8" s="170"/>
      <c r="AP8" s="170"/>
      <c r="AQ8" s="170"/>
      <c r="AR8" s="170"/>
      <c r="AS8" s="170"/>
      <c r="AT8" s="170"/>
      <c r="AU8" s="170"/>
      <c r="AV8" s="170"/>
      <c r="AW8" s="170"/>
      <c r="AX8" s="170"/>
      <c r="AY8" s="170"/>
      <c r="AZ8" s="170"/>
      <c r="BA8" s="170"/>
      <c r="BB8" s="170"/>
      <c r="BC8" s="170"/>
      <c r="BD8" s="170"/>
      <c r="BE8" s="170"/>
      <c r="BF8" s="170"/>
      <c r="BG8" s="170"/>
      <c r="BH8" s="170"/>
      <c r="BI8" s="170"/>
      <c r="BJ8" s="170"/>
      <c r="BK8" s="170"/>
      <c r="BL8" s="170"/>
      <c r="BM8" s="170"/>
      <c r="BN8" s="170"/>
      <c r="BO8" s="170"/>
      <c r="BP8" s="170"/>
      <c r="BQ8" s="170"/>
      <c r="BR8" s="170"/>
    </row>
    <row r="9" spans="1:70" ht="14.25" customHeight="1" x14ac:dyDescent="0.25">
      <c r="A9" s="170"/>
      <c r="B9" s="170"/>
      <c r="C9" s="170"/>
      <c r="D9" s="170"/>
      <c r="E9" s="170"/>
      <c r="F9" s="170"/>
      <c r="G9" s="170"/>
      <c r="H9" s="170"/>
      <c r="I9" s="170"/>
      <c r="J9" s="170"/>
      <c r="K9" s="170"/>
      <c r="L9" s="170"/>
      <c r="M9" s="170"/>
      <c r="N9" s="170"/>
      <c r="O9" s="170"/>
      <c r="P9" s="170"/>
      <c r="Q9" s="170"/>
      <c r="R9" s="170"/>
      <c r="S9" s="170"/>
      <c r="T9" s="170"/>
      <c r="U9" s="170"/>
      <c r="V9" s="170"/>
      <c r="W9" s="170"/>
      <c r="X9" s="170"/>
      <c r="Y9" s="170"/>
      <c r="Z9" s="170"/>
      <c r="AA9" s="170"/>
      <c r="AB9" s="170"/>
      <c r="AC9" s="170"/>
      <c r="AD9" s="170"/>
      <c r="AE9" s="170"/>
      <c r="AF9" s="170"/>
      <c r="AG9" s="170"/>
      <c r="AH9" s="170"/>
      <c r="AI9" s="170"/>
      <c r="AJ9" s="170"/>
      <c r="AK9" s="170"/>
      <c r="AL9" s="170"/>
      <c r="AM9" s="170"/>
      <c r="AN9" s="170"/>
      <c r="AO9" s="170"/>
      <c r="AP9" s="170"/>
      <c r="AQ9" s="170"/>
      <c r="AR9" s="170"/>
      <c r="AS9" s="170"/>
      <c r="AT9" s="170"/>
      <c r="AU9" s="170"/>
      <c r="AV9" s="170"/>
      <c r="AW9" s="170"/>
      <c r="AX9" s="170"/>
      <c r="AY9" s="170"/>
      <c r="AZ9" s="170"/>
      <c r="BA9" s="170"/>
      <c r="BB9" s="170"/>
      <c r="BC9" s="170"/>
      <c r="BD9" s="170"/>
      <c r="BE9" s="170"/>
      <c r="BF9" s="170"/>
      <c r="BG9" s="170"/>
      <c r="BH9" s="170"/>
      <c r="BI9" s="170"/>
      <c r="BJ9" s="170"/>
      <c r="BK9" s="170"/>
      <c r="BL9" s="170"/>
      <c r="BM9" s="170"/>
      <c r="BN9" s="170"/>
      <c r="BO9" s="170"/>
      <c r="BP9" s="170"/>
      <c r="BQ9" s="170"/>
      <c r="BR9" s="170"/>
    </row>
    <row r="10" spans="1:70" ht="14.25" customHeight="1" x14ac:dyDescent="0.25">
      <c r="A10" s="170"/>
      <c r="B10" s="170"/>
      <c r="C10" s="170"/>
      <c r="D10" s="170"/>
      <c r="E10" s="170"/>
      <c r="F10" s="170"/>
      <c r="G10" s="170"/>
      <c r="H10" s="170"/>
      <c r="I10" s="170"/>
      <c r="J10" s="170"/>
      <c r="K10" s="170"/>
      <c r="L10" s="170"/>
      <c r="M10" s="170"/>
      <c r="N10" s="170"/>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0"/>
      <c r="AM10" s="170"/>
      <c r="AN10" s="170"/>
      <c r="AO10" s="170"/>
      <c r="AP10" s="170"/>
      <c r="AQ10" s="170"/>
      <c r="AR10" s="170"/>
      <c r="AS10" s="170"/>
      <c r="AT10" s="170"/>
      <c r="AU10" s="170"/>
      <c r="AV10" s="170"/>
      <c r="AW10" s="170"/>
      <c r="AX10" s="170"/>
      <c r="AY10" s="170"/>
      <c r="AZ10" s="170"/>
      <c r="BA10" s="170"/>
      <c r="BB10" s="170"/>
      <c r="BC10" s="170"/>
      <c r="BD10" s="170"/>
      <c r="BE10" s="170"/>
      <c r="BF10" s="170"/>
      <c r="BG10" s="170"/>
      <c r="BH10" s="170"/>
      <c r="BI10" s="170"/>
      <c r="BJ10" s="170"/>
      <c r="BK10" s="170"/>
      <c r="BL10" s="170"/>
      <c r="BM10" s="170"/>
      <c r="BN10" s="170"/>
      <c r="BO10" s="170"/>
      <c r="BP10" s="170"/>
      <c r="BQ10" s="170"/>
      <c r="BR10" s="170"/>
    </row>
    <row r="11" spans="1:70" ht="14.25" customHeight="1" x14ac:dyDescent="0.25">
      <c r="A11" s="171" t="s">
        <v>58</v>
      </c>
      <c r="B11" s="171"/>
      <c r="C11" s="171"/>
      <c r="D11" s="171"/>
      <c r="E11" s="171"/>
      <c r="F11" s="171"/>
      <c r="G11" s="171"/>
      <c r="H11" s="171"/>
      <c r="I11" s="171"/>
      <c r="J11" s="171"/>
      <c r="K11" s="171"/>
      <c r="L11" s="171"/>
      <c r="M11" s="171"/>
      <c r="N11" s="171"/>
      <c r="O11" s="171"/>
      <c r="P11" s="171"/>
      <c r="Q11" s="171"/>
      <c r="R11" s="174" t="s">
        <v>72</v>
      </c>
      <c r="S11" s="174"/>
      <c r="T11" s="174"/>
      <c r="U11" s="174"/>
      <c r="V11" s="174"/>
      <c r="W11" s="174"/>
      <c r="X11" s="174"/>
      <c r="Y11" s="174"/>
      <c r="Z11" s="174"/>
      <c r="AA11" s="174"/>
      <c r="AB11" s="174"/>
      <c r="AC11" s="174"/>
      <c r="AD11" s="174"/>
      <c r="AE11" s="174"/>
      <c r="AF11" s="174"/>
      <c r="AG11" s="174"/>
      <c r="AH11" s="174"/>
      <c r="AI11" s="174"/>
      <c r="AJ11" s="174"/>
      <c r="AK11" s="174"/>
      <c r="AL11" s="174"/>
      <c r="AM11" s="174"/>
      <c r="AN11" s="174"/>
      <c r="AO11" s="174"/>
      <c r="AP11" s="174"/>
      <c r="AQ11" s="174"/>
      <c r="AR11" s="174"/>
      <c r="AS11" s="174"/>
      <c r="AT11" s="174"/>
      <c r="AU11" s="174"/>
      <c r="AV11" s="174"/>
      <c r="AW11" s="174"/>
      <c r="AX11" s="174"/>
      <c r="AY11" s="174"/>
      <c r="AZ11" s="171" t="s">
        <v>63</v>
      </c>
      <c r="BA11" s="170"/>
      <c r="BB11" s="170"/>
      <c r="BC11" s="170"/>
      <c r="BD11" s="170"/>
      <c r="BE11" s="170"/>
      <c r="BF11" s="170"/>
      <c r="BG11" s="170"/>
      <c r="BH11" s="170"/>
      <c r="BI11" s="170"/>
      <c r="BJ11" s="170"/>
      <c r="BK11" s="170"/>
      <c r="BL11" s="170"/>
      <c r="BM11" s="170"/>
      <c r="BN11" s="170"/>
      <c r="BO11" s="170"/>
      <c r="BP11" s="170"/>
      <c r="BQ11" s="170"/>
      <c r="BR11" s="170"/>
    </row>
    <row r="12" spans="1:70" ht="14.25" customHeight="1" x14ac:dyDescent="0.25">
      <c r="A12" s="171"/>
      <c r="B12" s="171"/>
      <c r="C12" s="171"/>
      <c r="D12" s="171"/>
      <c r="E12" s="171"/>
      <c r="F12" s="171"/>
      <c r="G12" s="171"/>
      <c r="H12" s="171"/>
      <c r="I12" s="171"/>
      <c r="J12" s="171"/>
      <c r="K12" s="171"/>
      <c r="L12" s="171"/>
      <c r="M12" s="171"/>
      <c r="N12" s="171"/>
      <c r="O12" s="171"/>
      <c r="P12" s="171"/>
      <c r="Q12" s="171"/>
      <c r="R12" s="174"/>
      <c r="S12" s="174"/>
      <c r="T12" s="174"/>
      <c r="U12" s="174"/>
      <c r="V12" s="174"/>
      <c r="W12" s="174"/>
      <c r="X12" s="174"/>
      <c r="Y12" s="174"/>
      <c r="Z12" s="174"/>
      <c r="AA12" s="174"/>
      <c r="AB12" s="174"/>
      <c r="AC12" s="174"/>
      <c r="AD12" s="174"/>
      <c r="AE12" s="174"/>
      <c r="AF12" s="174"/>
      <c r="AG12" s="174"/>
      <c r="AH12" s="174"/>
      <c r="AI12" s="174"/>
      <c r="AJ12" s="174"/>
      <c r="AK12" s="174"/>
      <c r="AL12" s="174"/>
      <c r="AM12" s="174"/>
      <c r="AN12" s="174"/>
      <c r="AO12" s="174"/>
      <c r="AP12" s="174"/>
      <c r="AQ12" s="174"/>
      <c r="AR12" s="174"/>
      <c r="AS12" s="174"/>
      <c r="AT12" s="174"/>
      <c r="AU12" s="174"/>
      <c r="AV12" s="174"/>
      <c r="AW12" s="174"/>
      <c r="AX12" s="174"/>
      <c r="AY12" s="174"/>
      <c r="AZ12" s="171"/>
      <c r="BA12" s="170"/>
      <c r="BB12" s="170"/>
      <c r="BC12" s="170"/>
      <c r="BD12" s="170"/>
      <c r="BE12" s="170"/>
      <c r="BF12" s="170"/>
      <c r="BG12" s="170"/>
      <c r="BH12" s="170"/>
      <c r="BI12" s="170"/>
      <c r="BJ12" s="170"/>
      <c r="BK12" s="170"/>
      <c r="BL12" s="170"/>
      <c r="BM12" s="170"/>
      <c r="BN12" s="170"/>
      <c r="BO12" s="170"/>
      <c r="BP12" s="170"/>
      <c r="BQ12" s="170"/>
      <c r="BR12" s="170"/>
    </row>
    <row r="13" spans="1:70" ht="14.25" customHeight="1" x14ac:dyDescent="0.25">
      <c r="A13" s="171"/>
      <c r="B13" s="171"/>
      <c r="C13" s="171"/>
      <c r="D13" s="171"/>
      <c r="E13" s="171"/>
      <c r="F13" s="171"/>
      <c r="G13" s="171"/>
      <c r="H13" s="171"/>
      <c r="I13" s="171"/>
      <c r="J13" s="171"/>
      <c r="K13" s="171"/>
      <c r="L13" s="171"/>
      <c r="M13" s="171"/>
      <c r="N13" s="171"/>
      <c r="O13" s="171"/>
      <c r="P13" s="171"/>
      <c r="Q13" s="171"/>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1"/>
      <c r="BA13" s="170"/>
      <c r="BB13" s="170"/>
      <c r="BC13" s="170"/>
      <c r="BD13" s="170"/>
      <c r="BE13" s="170"/>
      <c r="BF13" s="170"/>
      <c r="BG13" s="170"/>
      <c r="BH13" s="170"/>
      <c r="BI13" s="170"/>
      <c r="BJ13" s="170"/>
      <c r="BK13" s="170"/>
      <c r="BL13" s="170"/>
      <c r="BM13" s="170"/>
      <c r="BN13" s="170"/>
      <c r="BO13" s="170"/>
      <c r="BP13" s="170"/>
      <c r="BQ13" s="170"/>
      <c r="BR13" s="170"/>
    </row>
    <row r="14" spans="1:70" ht="14.25" customHeight="1" x14ac:dyDescent="0.25">
      <c r="A14" s="171"/>
      <c r="B14" s="171"/>
      <c r="C14" s="171"/>
      <c r="D14" s="171"/>
      <c r="E14" s="171"/>
      <c r="F14" s="171"/>
      <c r="G14" s="171"/>
      <c r="H14" s="171"/>
      <c r="I14" s="171"/>
      <c r="J14" s="171"/>
      <c r="K14" s="171"/>
      <c r="L14" s="171"/>
      <c r="M14" s="171"/>
      <c r="N14" s="171"/>
      <c r="O14" s="171"/>
      <c r="P14" s="171"/>
      <c r="Q14" s="171"/>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0"/>
      <c r="BA14" s="170"/>
      <c r="BB14" s="170"/>
      <c r="BC14" s="170"/>
      <c r="BD14" s="170"/>
      <c r="BE14" s="170"/>
      <c r="BF14" s="170"/>
      <c r="BG14" s="170"/>
      <c r="BH14" s="170"/>
      <c r="BI14" s="170"/>
      <c r="BJ14" s="170"/>
      <c r="BK14" s="170"/>
      <c r="BL14" s="170"/>
      <c r="BM14" s="170"/>
      <c r="BN14" s="170"/>
      <c r="BO14" s="170"/>
      <c r="BP14" s="170"/>
      <c r="BQ14" s="170"/>
      <c r="BR14" s="170"/>
    </row>
    <row r="15" spans="1:70" ht="14.25" customHeight="1" x14ac:dyDescent="0.25">
      <c r="A15" s="170" t="s">
        <v>59</v>
      </c>
      <c r="B15" s="170"/>
      <c r="C15" s="170"/>
      <c r="D15" s="170"/>
      <c r="E15" s="170"/>
      <c r="F15" s="170"/>
      <c r="G15" s="170"/>
      <c r="H15" s="170"/>
      <c r="I15" s="170"/>
      <c r="J15" s="170"/>
      <c r="K15" s="170"/>
      <c r="L15" s="170"/>
      <c r="M15" s="170"/>
      <c r="N15" s="170"/>
      <c r="O15" s="170"/>
      <c r="P15" s="170"/>
      <c r="Q15" s="170"/>
      <c r="R15" s="175" t="s">
        <v>230</v>
      </c>
      <c r="S15" s="175"/>
      <c r="T15" s="175"/>
      <c r="U15" s="175"/>
      <c r="V15" s="175"/>
      <c r="W15" s="175"/>
      <c r="X15" s="175"/>
      <c r="Y15" s="175"/>
      <c r="Z15" s="175"/>
      <c r="AA15" s="175"/>
      <c r="AB15" s="175"/>
      <c r="AC15" s="175"/>
      <c r="AD15" s="175"/>
      <c r="AE15" s="175"/>
      <c r="AF15" s="175"/>
      <c r="AG15" s="175"/>
      <c r="AH15" s="175"/>
      <c r="AI15" s="175"/>
      <c r="AJ15" s="175"/>
      <c r="AK15" s="175"/>
      <c r="AL15" s="175"/>
      <c r="AM15" s="175"/>
      <c r="AN15" s="175"/>
      <c r="AO15" s="175"/>
      <c r="AP15" s="175"/>
      <c r="AQ15" s="175"/>
      <c r="AR15" s="175"/>
      <c r="AS15" s="175"/>
      <c r="AT15" s="175"/>
      <c r="AU15" s="175"/>
      <c r="AV15" s="175"/>
      <c r="AW15" s="175"/>
      <c r="AX15" s="175"/>
      <c r="AY15" s="175"/>
      <c r="AZ15" s="170" t="s">
        <v>62</v>
      </c>
      <c r="BA15" s="170"/>
      <c r="BB15" s="170"/>
      <c r="BC15" s="170"/>
      <c r="BD15" s="170"/>
      <c r="BE15" s="170"/>
      <c r="BF15" s="170"/>
      <c r="BG15" s="170"/>
      <c r="BH15" s="170"/>
      <c r="BI15" s="170"/>
      <c r="BJ15" s="170"/>
      <c r="BK15" s="170"/>
      <c r="BL15" s="170"/>
      <c r="BM15" s="170"/>
      <c r="BN15" s="170"/>
      <c r="BO15" s="170"/>
      <c r="BP15" s="170"/>
      <c r="BQ15" s="170"/>
      <c r="BR15" s="170"/>
    </row>
    <row r="16" spans="1:70" ht="14.25" customHeight="1" x14ac:dyDescent="0.25">
      <c r="A16" s="170"/>
      <c r="B16" s="170"/>
      <c r="C16" s="170"/>
      <c r="D16" s="170"/>
      <c r="E16" s="170"/>
      <c r="F16" s="170"/>
      <c r="G16" s="170"/>
      <c r="H16" s="170"/>
      <c r="I16" s="170"/>
      <c r="J16" s="170"/>
      <c r="K16" s="170"/>
      <c r="L16" s="170"/>
      <c r="M16" s="170"/>
      <c r="N16" s="170"/>
      <c r="O16" s="170"/>
      <c r="P16" s="170"/>
      <c r="Q16" s="170"/>
      <c r="R16" s="175"/>
      <c r="S16" s="175"/>
      <c r="T16" s="175"/>
      <c r="U16" s="175"/>
      <c r="V16" s="175"/>
      <c r="W16" s="175"/>
      <c r="X16" s="175"/>
      <c r="Y16" s="175"/>
      <c r="Z16" s="175"/>
      <c r="AA16" s="175"/>
      <c r="AB16" s="175"/>
      <c r="AC16" s="175"/>
      <c r="AD16" s="175"/>
      <c r="AE16" s="175"/>
      <c r="AF16" s="175"/>
      <c r="AG16" s="175"/>
      <c r="AH16" s="175"/>
      <c r="AI16" s="175"/>
      <c r="AJ16" s="175"/>
      <c r="AK16" s="175"/>
      <c r="AL16" s="175"/>
      <c r="AM16" s="175"/>
      <c r="AN16" s="175"/>
      <c r="AO16" s="175"/>
      <c r="AP16" s="175"/>
      <c r="AQ16" s="175"/>
      <c r="AR16" s="175"/>
      <c r="AS16" s="175"/>
      <c r="AT16" s="175"/>
      <c r="AU16" s="175"/>
      <c r="AV16" s="175"/>
      <c r="AW16" s="175"/>
      <c r="AX16" s="175"/>
      <c r="AY16" s="175"/>
      <c r="AZ16" s="170"/>
      <c r="BA16" s="170"/>
      <c r="BB16" s="170"/>
      <c r="BC16" s="170"/>
      <c r="BD16" s="170"/>
      <c r="BE16" s="170"/>
      <c r="BF16" s="170"/>
      <c r="BG16" s="170"/>
      <c r="BH16" s="170"/>
      <c r="BI16" s="170"/>
      <c r="BJ16" s="170"/>
      <c r="BK16" s="170"/>
      <c r="BL16" s="170"/>
      <c r="BM16" s="170"/>
      <c r="BN16" s="170"/>
      <c r="BO16" s="170"/>
      <c r="BP16" s="170"/>
      <c r="BQ16" s="170"/>
      <c r="BR16" s="170"/>
    </row>
    <row r="17" spans="1:85" ht="14.25" customHeight="1" x14ac:dyDescent="0.25">
      <c r="A17" s="170"/>
      <c r="B17" s="170"/>
      <c r="C17" s="170"/>
      <c r="D17" s="170"/>
      <c r="E17" s="170"/>
      <c r="F17" s="170"/>
      <c r="G17" s="170"/>
      <c r="H17" s="170"/>
      <c r="I17" s="170"/>
      <c r="J17" s="170"/>
      <c r="K17" s="170"/>
      <c r="L17" s="170"/>
      <c r="M17" s="170"/>
      <c r="N17" s="170"/>
      <c r="O17" s="170"/>
      <c r="P17" s="170"/>
      <c r="Q17" s="170"/>
      <c r="R17" s="175"/>
      <c r="S17" s="175"/>
      <c r="T17" s="175"/>
      <c r="U17" s="175"/>
      <c r="V17" s="175"/>
      <c r="W17" s="175"/>
      <c r="X17" s="175"/>
      <c r="Y17" s="175"/>
      <c r="Z17" s="175"/>
      <c r="AA17" s="175"/>
      <c r="AB17" s="175"/>
      <c r="AC17" s="175"/>
      <c r="AD17" s="175"/>
      <c r="AE17" s="175"/>
      <c r="AF17" s="175"/>
      <c r="AG17" s="175"/>
      <c r="AH17" s="175"/>
      <c r="AI17" s="175"/>
      <c r="AJ17" s="175"/>
      <c r="AK17" s="175"/>
      <c r="AL17" s="175"/>
      <c r="AM17" s="175"/>
      <c r="AN17" s="175"/>
      <c r="AO17" s="175"/>
      <c r="AP17" s="175"/>
      <c r="AQ17" s="175"/>
      <c r="AR17" s="175"/>
      <c r="AS17" s="175"/>
      <c r="AT17" s="175"/>
      <c r="AU17" s="175"/>
      <c r="AV17" s="175"/>
      <c r="AW17" s="175"/>
      <c r="AX17" s="175"/>
      <c r="AY17" s="175"/>
      <c r="AZ17" s="170"/>
      <c r="BA17" s="170"/>
      <c r="BB17" s="170"/>
      <c r="BC17" s="170"/>
      <c r="BD17" s="170"/>
      <c r="BE17" s="170"/>
      <c r="BF17" s="170"/>
      <c r="BG17" s="170"/>
      <c r="BH17" s="170"/>
      <c r="BI17" s="170"/>
      <c r="BJ17" s="170"/>
      <c r="BK17" s="170"/>
      <c r="BL17" s="170"/>
      <c r="BM17" s="170"/>
      <c r="BN17" s="170"/>
      <c r="BO17" s="170"/>
      <c r="BP17" s="170"/>
      <c r="BQ17" s="170"/>
      <c r="BR17" s="170"/>
    </row>
    <row r="18" spans="1:85" ht="14.25" customHeight="1" x14ac:dyDescent="0.25">
      <c r="A18" s="170"/>
      <c r="B18" s="170"/>
      <c r="C18" s="170"/>
      <c r="D18" s="170"/>
      <c r="E18" s="170"/>
      <c r="F18" s="170"/>
      <c r="G18" s="170"/>
      <c r="H18" s="170"/>
      <c r="I18" s="170"/>
      <c r="J18" s="170"/>
      <c r="K18" s="170"/>
      <c r="L18" s="170"/>
      <c r="M18" s="170"/>
      <c r="N18" s="170"/>
      <c r="O18" s="170"/>
      <c r="P18" s="170"/>
      <c r="Q18" s="170"/>
      <c r="R18" s="175"/>
      <c r="S18" s="175"/>
      <c r="T18" s="175"/>
      <c r="U18" s="175"/>
      <c r="V18" s="175"/>
      <c r="W18" s="175"/>
      <c r="X18" s="175"/>
      <c r="Y18" s="175"/>
      <c r="Z18" s="175"/>
      <c r="AA18" s="175"/>
      <c r="AB18" s="175"/>
      <c r="AC18" s="175"/>
      <c r="AD18" s="175"/>
      <c r="AE18" s="175"/>
      <c r="AF18" s="175"/>
      <c r="AG18" s="175"/>
      <c r="AH18" s="175"/>
      <c r="AI18" s="175"/>
      <c r="AJ18" s="175"/>
      <c r="AK18" s="175"/>
      <c r="AL18" s="175"/>
      <c r="AM18" s="175"/>
      <c r="AN18" s="175"/>
      <c r="AO18" s="175"/>
      <c r="AP18" s="175"/>
      <c r="AQ18" s="175"/>
      <c r="AR18" s="175"/>
      <c r="AS18" s="175"/>
      <c r="AT18" s="175"/>
      <c r="AU18" s="175"/>
      <c r="AV18" s="175"/>
      <c r="AW18" s="175"/>
      <c r="AX18" s="175"/>
      <c r="AY18" s="175"/>
      <c r="AZ18" s="170"/>
      <c r="BA18" s="170"/>
      <c r="BB18" s="170"/>
      <c r="BC18" s="170"/>
      <c r="BD18" s="170"/>
      <c r="BE18" s="170"/>
      <c r="BF18" s="170"/>
      <c r="BG18" s="170"/>
      <c r="BH18" s="170"/>
      <c r="BI18" s="170"/>
      <c r="BJ18" s="170"/>
      <c r="BK18" s="170"/>
      <c r="BL18" s="170"/>
      <c r="BM18" s="170"/>
      <c r="BN18" s="170"/>
      <c r="BO18" s="170"/>
      <c r="BP18" s="170"/>
      <c r="BQ18" s="170"/>
      <c r="BR18" s="170"/>
    </row>
    <row r="19" spans="1:85" ht="14.25" customHeight="1" x14ac:dyDescent="0.25">
      <c r="A19" s="170" t="s">
        <v>60</v>
      </c>
      <c r="B19" s="170"/>
      <c r="C19" s="170"/>
      <c r="D19" s="170"/>
      <c r="E19" s="170"/>
      <c r="F19" s="170"/>
      <c r="G19" s="170"/>
      <c r="H19" s="170"/>
      <c r="I19" s="170"/>
      <c r="J19" s="170"/>
      <c r="K19" s="170"/>
      <c r="L19" s="170"/>
      <c r="M19" s="170"/>
      <c r="N19" s="170"/>
      <c r="O19" s="170"/>
      <c r="P19" s="170"/>
      <c r="Q19" s="170"/>
      <c r="R19" s="170" t="s">
        <v>253</v>
      </c>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1" t="s">
        <v>237</v>
      </c>
      <c r="BA19" s="171"/>
      <c r="BB19" s="171"/>
      <c r="BC19" s="171"/>
      <c r="BD19" s="171"/>
      <c r="BE19" s="171"/>
      <c r="BF19" s="171"/>
      <c r="BG19" s="171"/>
      <c r="BH19" s="171"/>
      <c r="BI19" s="171"/>
      <c r="BJ19" s="171"/>
      <c r="BK19" s="171"/>
      <c r="BL19" s="171"/>
      <c r="BM19" s="171"/>
      <c r="BN19" s="171"/>
      <c r="BO19" s="171"/>
      <c r="BP19" s="171"/>
      <c r="BQ19" s="171"/>
      <c r="BR19" s="171"/>
    </row>
    <row r="20" spans="1:85" ht="14.25" customHeight="1" x14ac:dyDescent="0.25">
      <c r="A20" s="170"/>
      <c r="B20" s="170"/>
      <c r="C20" s="170"/>
      <c r="D20" s="170"/>
      <c r="E20" s="170"/>
      <c r="F20" s="170"/>
      <c r="G20" s="170"/>
      <c r="H20" s="170"/>
      <c r="I20" s="170"/>
      <c r="J20" s="170"/>
      <c r="K20" s="170"/>
      <c r="L20" s="170"/>
      <c r="M20" s="170"/>
      <c r="N20" s="170"/>
      <c r="O20" s="170"/>
      <c r="P20" s="170"/>
      <c r="Q20" s="170"/>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1"/>
      <c r="BA20" s="171"/>
      <c r="BB20" s="171"/>
      <c r="BC20" s="171"/>
      <c r="BD20" s="171"/>
      <c r="BE20" s="171"/>
      <c r="BF20" s="171"/>
      <c r="BG20" s="171"/>
      <c r="BH20" s="171"/>
      <c r="BI20" s="171"/>
      <c r="BJ20" s="171"/>
      <c r="BK20" s="171"/>
      <c r="BL20" s="171"/>
      <c r="BM20" s="171"/>
      <c r="BN20" s="171"/>
      <c r="BO20" s="171"/>
      <c r="BP20" s="171"/>
      <c r="BQ20" s="171"/>
      <c r="BR20" s="171"/>
    </row>
    <row r="21" spans="1:85" ht="14.25" customHeight="1" x14ac:dyDescent="0.25">
      <c r="A21" s="170"/>
      <c r="B21" s="170"/>
      <c r="C21" s="170"/>
      <c r="D21" s="170"/>
      <c r="E21" s="170"/>
      <c r="F21" s="170"/>
      <c r="G21" s="170"/>
      <c r="H21" s="170"/>
      <c r="I21" s="170"/>
      <c r="J21" s="170"/>
      <c r="K21" s="170"/>
      <c r="L21" s="170"/>
      <c r="M21" s="170"/>
      <c r="N21" s="170"/>
      <c r="O21" s="170"/>
      <c r="P21" s="170"/>
      <c r="Q21" s="170"/>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1"/>
      <c r="BA21" s="171"/>
      <c r="BB21" s="171"/>
      <c r="BC21" s="171"/>
      <c r="BD21" s="171"/>
      <c r="BE21" s="171"/>
      <c r="BF21" s="171"/>
      <c r="BG21" s="171"/>
      <c r="BH21" s="171"/>
      <c r="BI21" s="171"/>
      <c r="BJ21" s="171"/>
      <c r="BK21" s="171"/>
      <c r="BL21" s="171"/>
      <c r="BM21" s="171"/>
      <c r="BN21" s="171"/>
      <c r="BO21" s="171"/>
      <c r="BP21" s="171"/>
      <c r="BQ21" s="171"/>
      <c r="BR21" s="171"/>
    </row>
    <row r="22" spans="1:85" ht="14.25" customHeight="1" x14ac:dyDescent="0.25">
      <c r="A22" s="170"/>
      <c r="B22" s="170"/>
      <c r="C22" s="170"/>
      <c r="D22" s="170"/>
      <c r="E22" s="170"/>
      <c r="F22" s="170"/>
      <c r="G22" s="170"/>
      <c r="H22" s="170"/>
      <c r="I22" s="170"/>
      <c r="J22" s="170"/>
      <c r="K22" s="170"/>
      <c r="L22" s="170"/>
      <c r="M22" s="170"/>
      <c r="N22" s="170"/>
      <c r="O22" s="170"/>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1"/>
      <c r="BA22" s="171"/>
      <c r="BB22" s="171"/>
      <c r="BC22" s="171"/>
      <c r="BD22" s="171"/>
      <c r="BE22" s="171"/>
      <c r="BF22" s="171"/>
      <c r="BG22" s="171"/>
      <c r="BH22" s="171"/>
      <c r="BI22" s="171"/>
      <c r="BJ22" s="171"/>
      <c r="BK22" s="171"/>
      <c r="BL22" s="171"/>
      <c r="BM22" s="171"/>
      <c r="BN22" s="171"/>
      <c r="BO22" s="171"/>
      <c r="BP22" s="171"/>
      <c r="BQ22" s="171"/>
      <c r="BR22" s="171"/>
    </row>
    <row r="23" spans="1:85" ht="14.25" customHeight="1" x14ac:dyDescent="0.25">
      <c r="A23" s="173" t="s">
        <v>61</v>
      </c>
      <c r="B23" s="173"/>
      <c r="C23" s="173"/>
      <c r="D23" s="173"/>
      <c r="E23" s="173"/>
      <c r="F23" s="173"/>
      <c r="G23" s="173"/>
      <c r="H23" s="173"/>
      <c r="I23" s="173"/>
      <c r="J23" s="173"/>
      <c r="K23" s="173"/>
      <c r="L23" s="173"/>
      <c r="M23" s="173"/>
      <c r="N23" s="173"/>
      <c r="O23" s="173"/>
      <c r="P23" s="173"/>
      <c r="Q23" s="173"/>
      <c r="R23" s="170" t="s">
        <v>124</v>
      </c>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2"/>
      <c r="BA23" s="172"/>
      <c r="BB23" s="172"/>
      <c r="BC23" s="172"/>
      <c r="BD23" s="172"/>
      <c r="BE23" s="172"/>
      <c r="BF23" s="172"/>
      <c r="BG23" s="172"/>
      <c r="BH23" s="172"/>
      <c r="BI23" s="172"/>
      <c r="BJ23" s="172"/>
      <c r="BK23" s="172"/>
      <c r="BL23" s="172"/>
      <c r="BM23" s="172"/>
      <c r="BN23" s="172"/>
      <c r="BO23" s="172"/>
      <c r="BP23" s="172"/>
      <c r="BQ23" s="172"/>
      <c r="BR23" s="172"/>
    </row>
    <row r="24" spans="1:85" ht="14.25" customHeight="1" x14ac:dyDescent="0.25">
      <c r="A24" s="173"/>
      <c r="B24" s="173"/>
      <c r="C24" s="173"/>
      <c r="D24" s="173"/>
      <c r="E24" s="173"/>
      <c r="F24" s="173"/>
      <c r="G24" s="173"/>
      <c r="H24" s="173"/>
      <c r="I24" s="173"/>
      <c r="J24" s="173"/>
      <c r="K24" s="173"/>
      <c r="L24" s="173"/>
      <c r="M24" s="173"/>
      <c r="N24" s="173"/>
      <c r="O24" s="173"/>
      <c r="P24" s="173"/>
      <c r="Q24" s="173"/>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2"/>
      <c r="BA24" s="172"/>
      <c r="BB24" s="172"/>
      <c r="BC24" s="172"/>
      <c r="BD24" s="172"/>
      <c r="BE24" s="172"/>
      <c r="BF24" s="172"/>
      <c r="BG24" s="172"/>
      <c r="BH24" s="172"/>
      <c r="BI24" s="172"/>
      <c r="BJ24" s="172"/>
      <c r="BK24" s="172"/>
      <c r="BL24" s="172"/>
      <c r="BM24" s="172"/>
      <c r="BN24" s="172"/>
      <c r="BO24" s="172"/>
      <c r="BP24" s="172"/>
      <c r="BQ24" s="172"/>
      <c r="BR24" s="172"/>
    </row>
    <row r="25" spans="1:85" ht="14.25" customHeight="1" x14ac:dyDescent="0.25">
      <c r="A25" s="173"/>
      <c r="B25" s="173"/>
      <c r="C25" s="173"/>
      <c r="D25" s="173"/>
      <c r="E25" s="173"/>
      <c r="F25" s="173"/>
      <c r="G25" s="173"/>
      <c r="H25" s="173"/>
      <c r="I25" s="173"/>
      <c r="J25" s="173"/>
      <c r="K25" s="173"/>
      <c r="L25" s="173"/>
      <c r="M25" s="173"/>
      <c r="N25" s="173"/>
      <c r="O25" s="173"/>
      <c r="P25" s="173"/>
      <c r="Q25" s="173"/>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2"/>
      <c r="BA25" s="172"/>
      <c r="BB25" s="172"/>
      <c r="BC25" s="172"/>
      <c r="BD25" s="172"/>
      <c r="BE25" s="172"/>
      <c r="BF25" s="172"/>
      <c r="BG25" s="172"/>
      <c r="BH25" s="172"/>
      <c r="BI25" s="172"/>
      <c r="BJ25" s="172"/>
      <c r="BK25" s="172"/>
      <c r="BL25" s="172"/>
      <c r="BM25" s="172"/>
      <c r="BN25" s="172"/>
      <c r="BO25" s="172"/>
      <c r="BP25" s="172"/>
      <c r="BQ25" s="172"/>
      <c r="BR25" s="172"/>
    </row>
    <row r="26" spans="1:85" ht="14.25" customHeight="1" x14ac:dyDescent="0.25">
      <c r="A26" s="173"/>
      <c r="B26" s="173"/>
      <c r="C26" s="173"/>
      <c r="D26" s="173"/>
      <c r="E26" s="173"/>
      <c r="F26" s="173"/>
      <c r="G26" s="173"/>
      <c r="H26" s="173"/>
      <c r="I26" s="173"/>
      <c r="J26" s="173"/>
      <c r="K26" s="173"/>
      <c r="L26" s="173"/>
      <c r="M26" s="173"/>
      <c r="N26" s="173"/>
      <c r="O26" s="173"/>
      <c r="P26" s="173"/>
      <c r="Q26" s="173"/>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2"/>
      <c r="BA26" s="172"/>
      <c r="BB26" s="172"/>
      <c r="BC26" s="172"/>
      <c r="BD26" s="172"/>
      <c r="BE26" s="172"/>
      <c r="BF26" s="172"/>
      <c r="BG26" s="172"/>
      <c r="BH26" s="172"/>
      <c r="BI26" s="172"/>
      <c r="BJ26" s="172"/>
      <c r="BK26" s="172"/>
      <c r="BL26" s="172"/>
      <c r="BM26" s="172"/>
      <c r="BN26" s="172"/>
      <c r="BO26" s="172"/>
      <c r="BP26" s="172"/>
      <c r="BQ26" s="172"/>
      <c r="BR26" s="172"/>
    </row>
    <row r="27" spans="1:85" ht="14.25" customHeight="1" x14ac:dyDescent="0.25">
      <c r="A27" s="76"/>
      <c r="B27" s="76"/>
      <c r="C27" s="76"/>
      <c r="D27" s="76"/>
      <c r="E27" s="76"/>
      <c r="F27" s="76"/>
      <c r="G27" s="76"/>
      <c r="H27" s="76"/>
      <c r="I27" s="76"/>
      <c r="J27" s="76"/>
      <c r="K27" s="76"/>
      <c r="L27" s="76"/>
      <c r="M27" s="76"/>
      <c r="N27" s="76"/>
      <c r="O27" s="76"/>
      <c r="P27" s="76"/>
      <c r="Q27" s="76"/>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5"/>
      <c r="BA27" s="75"/>
      <c r="BB27" s="75"/>
      <c r="BC27" s="75"/>
      <c r="BD27" s="75"/>
      <c r="BE27" s="75"/>
      <c r="BF27" s="75"/>
      <c r="BG27" s="75"/>
      <c r="BH27" s="75"/>
      <c r="BI27" s="75"/>
      <c r="BJ27" s="75"/>
      <c r="BK27" s="75"/>
      <c r="BL27" s="75"/>
      <c r="BM27" s="75"/>
      <c r="BN27" s="75"/>
      <c r="BO27" s="75"/>
      <c r="BP27" s="75"/>
      <c r="BQ27" s="75"/>
      <c r="BR27" s="75"/>
    </row>
    <row r="28" spans="1:85" ht="14.25" customHeight="1" x14ac:dyDescent="0.25">
      <c r="A28" s="75"/>
      <c r="B28" s="3"/>
      <c r="C28" s="3"/>
      <c r="D28" s="75"/>
      <c r="E28" s="75"/>
      <c r="F28" s="75"/>
      <c r="G28" s="75"/>
      <c r="H28" s="75"/>
      <c r="I28" s="75"/>
      <c r="J28" s="75"/>
      <c r="K28" s="75"/>
      <c r="L28" s="75"/>
      <c r="M28" s="75"/>
      <c r="N28" s="75"/>
      <c r="O28" s="75"/>
      <c r="P28" s="75"/>
      <c r="Q28" s="75"/>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5"/>
      <c r="BA28" s="75"/>
      <c r="BB28" s="75"/>
      <c r="BC28" s="75"/>
      <c r="BD28" s="75"/>
      <c r="BE28" s="75"/>
      <c r="BF28" s="75"/>
      <c r="BG28" s="75"/>
      <c r="BH28" s="75"/>
      <c r="BI28" s="75"/>
      <c r="BJ28" s="75"/>
      <c r="BK28" s="75"/>
      <c r="BL28" s="75"/>
      <c r="BM28" s="75"/>
      <c r="BN28" s="75"/>
      <c r="BO28" s="75"/>
      <c r="BP28" s="75"/>
      <c r="BQ28" s="75"/>
      <c r="BR28" s="75"/>
    </row>
    <row r="29" spans="1:85" ht="14.25" customHeight="1" x14ac:dyDescent="0.25">
      <c r="A29" s="153" t="s">
        <v>65</v>
      </c>
      <c r="B29" s="153"/>
      <c r="C29" s="153"/>
      <c r="D29" s="153"/>
      <c r="E29" s="153"/>
      <c r="F29" s="153"/>
      <c r="G29" s="153"/>
      <c r="H29" s="153"/>
      <c r="I29" s="153"/>
      <c r="J29" s="153"/>
      <c r="K29" s="153"/>
      <c r="L29" s="153"/>
      <c r="M29" s="153"/>
      <c r="N29" s="153"/>
      <c r="O29" s="153"/>
      <c r="P29" s="153"/>
      <c r="Q29" s="153"/>
      <c r="R29" s="153"/>
      <c r="S29" s="153"/>
      <c r="T29" s="153"/>
      <c r="U29" s="153"/>
      <c r="V29" s="153"/>
      <c r="W29" s="153"/>
      <c r="X29" s="153"/>
      <c r="Y29" s="153"/>
      <c r="Z29" s="153"/>
      <c r="AA29" s="153"/>
      <c r="AB29" s="153"/>
      <c r="AC29" s="153"/>
      <c r="AD29" s="153"/>
      <c r="AE29" s="153"/>
      <c r="AF29" s="153"/>
      <c r="AG29" s="153"/>
      <c r="AH29" s="153"/>
      <c r="AI29" s="153"/>
      <c r="AJ29" s="153"/>
      <c r="AK29" s="153"/>
      <c r="AL29" s="153"/>
      <c r="AM29" s="153"/>
      <c r="AN29" s="153"/>
      <c r="AO29" s="153"/>
      <c r="AP29" s="153"/>
      <c r="AQ29" s="153"/>
      <c r="AR29" s="153"/>
      <c r="AS29" s="153"/>
      <c r="AT29" s="153"/>
      <c r="AU29" s="153"/>
      <c r="AV29" s="153"/>
      <c r="AW29" s="153"/>
      <c r="AX29" s="153"/>
      <c r="AY29" s="153"/>
      <c r="AZ29" s="153"/>
      <c r="BA29" s="153"/>
      <c r="BB29" s="153"/>
      <c r="BC29" s="153"/>
      <c r="BD29" s="153"/>
      <c r="BE29" s="153"/>
      <c r="BF29" s="153"/>
      <c r="BG29" s="153"/>
      <c r="BH29" s="153"/>
      <c r="BI29" s="153"/>
      <c r="BJ29" s="153"/>
      <c r="BK29" s="153"/>
      <c r="BL29" s="153"/>
      <c r="BM29" s="153"/>
      <c r="BN29" s="153"/>
      <c r="BO29" s="153"/>
      <c r="BP29" s="153"/>
      <c r="BQ29" s="153"/>
      <c r="BR29" s="153"/>
    </row>
    <row r="30" spans="1:85" ht="14.25" customHeight="1" x14ac:dyDescent="0.25">
      <c r="A30" s="154"/>
      <c r="B30" s="154"/>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c r="AA30" s="154"/>
      <c r="AB30" s="154"/>
      <c r="AC30" s="154"/>
      <c r="AD30" s="154"/>
      <c r="AE30" s="154"/>
      <c r="AF30" s="154"/>
      <c r="AG30" s="154"/>
      <c r="AH30" s="154"/>
      <c r="AI30" s="154"/>
      <c r="AJ30" s="154"/>
      <c r="AK30" s="154"/>
      <c r="AL30" s="154"/>
      <c r="AM30" s="154"/>
      <c r="AN30" s="154"/>
      <c r="AO30" s="154"/>
      <c r="AP30" s="154"/>
      <c r="AQ30" s="154"/>
      <c r="AR30" s="154"/>
      <c r="AS30" s="154"/>
      <c r="AT30" s="154"/>
      <c r="AU30" s="154"/>
      <c r="AV30" s="154"/>
      <c r="AW30" s="154"/>
      <c r="AX30" s="154"/>
      <c r="AY30" s="154"/>
      <c r="AZ30" s="154"/>
      <c r="BA30" s="154"/>
      <c r="BB30" s="154"/>
      <c r="BC30" s="154"/>
      <c r="BD30" s="154"/>
      <c r="BE30" s="154"/>
      <c r="BF30" s="154"/>
      <c r="BG30" s="154"/>
      <c r="BH30" s="154"/>
      <c r="BI30" s="154"/>
      <c r="BJ30" s="154"/>
      <c r="BK30" s="154"/>
      <c r="BL30" s="154"/>
      <c r="BM30" s="154"/>
      <c r="BN30" s="154"/>
      <c r="BO30" s="154"/>
      <c r="BP30" s="154"/>
      <c r="BQ30" s="154"/>
      <c r="BR30" s="154"/>
    </row>
    <row r="31" spans="1:85" ht="14.25" customHeight="1" x14ac:dyDescent="0.25">
      <c r="A31" s="134" t="s">
        <v>86</v>
      </c>
      <c r="B31" s="134"/>
      <c r="C31" s="106" t="s">
        <v>85</v>
      </c>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6"/>
      <c r="BA31" s="106"/>
      <c r="BB31" s="106"/>
      <c r="BC31" s="236" t="s">
        <v>87</v>
      </c>
      <c r="BD31" s="210"/>
      <c r="BE31" s="233" t="s">
        <v>95</v>
      </c>
      <c r="BF31" s="234"/>
      <c r="BG31" s="234"/>
      <c r="BH31" s="234"/>
      <c r="BI31" s="234"/>
      <c r="BJ31" s="234"/>
      <c r="BK31" s="234"/>
      <c r="BL31" s="235"/>
      <c r="BM31" s="236" t="s">
        <v>92</v>
      </c>
      <c r="BN31" s="210"/>
      <c r="BO31" s="133" t="s">
        <v>93</v>
      </c>
      <c r="BP31" s="133"/>
      <c r="BQ31" s="209" t="s">
        <v>94</v>
      </c>
      <c r="BR31" s="210"/>
      <c r="BT31" s="233"/>
      <c r="BU31" s="234"/>
      <c r="BV31" s="234"/>
      <c r="BW31" s="234"/>
      <c r="BX31" s="234"/>
      <c r="BY31" s="234"/>
      <c r="BZ31" s="234"/>
      <c r="CA31" s="235"/>
      <c r="CB31" s="236"/>
      <c r="CC31" s="210"/>
      <c r="CD31" s="133"/>
      <c r="CE31" s="133"/>
      <c r="CF31" s="209"/>
      <c r="CG31" s="210"/>
    </row>
    <row r="32" spans="1:85" ht="177.75" customHeight="1" x14ac:dyDescent="0.25">
      <c r="A32" s="134"/>
      <c r="B32" s="134"/>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c r="AZ32" s="106"/>
      <c r="BA32" s="106"/>
      <c r="BB32" s="106"/>
      <c r="BC32" s="237"/>
      <c r="BD32" s="212"/>
      <c r="BE32" s="135" t="s">
        <v>88</v>
      </c>
      <c r="BF32" s="135"/>
      <c r="BG32" s="215" t="s">
        <v>89</v>
      </c>
      <c r="BH32" s="217"/>
      <c r="BI32" s="215" t="s">
        <v>90</v>
      </c>
      <c r="BJ32" s="217"/>
      <c r="BK32" s="134" t="s">
        <v>91</v>
      </c>
      <c r="BL32" s="134"/>
      <c r="BM32" s="237"/>
      <c r="BN32" s="212"/>
      <c r="BO32" s="133"/>
      <c r="BP32" s="133"/>
      <c r="BQ32" s="211"/>
      <c r="BR32" s="212"/>
      <c r="BT32" s="215"/>
      <c r="BU32" s="216"/>
      <c r="BV32" s="217"/>
      <c r="BW32" s="215"/>
      <c r="BX32" s="217"/>
      <c r="BY32" s="224"/>
      <c r="BZ32" s="225"/>
      <c r="CA32" s="226"/>
      <c r="CB32" s="237"/>
      <c r="CC32" s="212"/>
      <c r="CD32" s="133"/>
      <c r="CE32" s="133"/>
      <c r="CF32" s="211"/>
      <c r="CG32" s="212"/>
    </row>
    <row r="33" spans="1:85" ht="14.25" customHeight="1" x14ac:dyDescent="0.25">
      <c r="A33" s="134"/>
      <c r="B33" s="134"/>
      <c r="C33" s="167" t="s">
        <v>73</v>
      </c>
      <c r="D33" s="168"/>
      <c r="E33" s="168"/>
      <c r="F33" s="152"/>
      <c r="G33" s="106" t="s">
        <v>74</v>
      </c>
      <c r="H33" s="106"/>
      <c r="I33" s="106"/>
      <c r="J33" s="106"/>
      <c r="K33" s="106" t="s">
        <v>75</v>
      </c>
      <c r="L33" s="106"/>
      <c r="M33" s="106"/>
      <c r="N33" s="106"/>
      <c r="O33" s="106"/>
      <c r="P33" s="167" t="s">
        <v>76</v>
      </c>
      <c r="Q33" s="168"/>
      <c r="R33" s="168"/>
      <c r="S33" s="152"/>
      <c r="T33" s="167" t="s">
        <v>77</v>
      </c>
      <c r="U33" s="168"/>
      <c r="V33" s="168"/>
      <c r="W33" s="168"/>
      <c r="X33" s="152"/>
      <c r="Y33" s="167" t="s">
        <v>78</v>
      </c>
      <c r="Z33" s="168"/>
      <c r="AA33" s="168"/>
      <c r="AB33" s="152"/>
      <c r="AC33" s="167" t="s">
        <v>79</v>
      </c>
      <c r="AD33" s="168"/>
      <c r="AE33" s="168"/>
      <c r="AF33" s="152"/>
      <c r="AG33" s="167" t="s">
        <v>80</v>
      </c>
      <c r="AH33" s="168"/>
      <c r="AI33" s="168"/>
      <c r="AJ33" s="152"/>
      <c r="AK33" s="167" t="s">
        <v>81</v>
      </c>
      <c r="AL33" s="168"/>
      <c r="AM33" s="168"/>
      <c r="AN33" s="168"/>
      <c r="AO33" s="152"/>
      <c r="AP33" s="167" t="s">
        <v>82</v>
      </c>
      <c r="AQ33" s="168"/>
      <c r="AR33" s="168"/>
      <c r="AS33" s="152"/>
      <c r="AT33" s="167" t="s">
        <v>83</v>
      </c>
      <c r="AU33" s="168"/>
      <c r="AV33" s="168"/>
      <c r="AW33" s="168"/>
      <c r="AX33" s="152"/>
      <c r="AY33" s="167" t="s">
        <v>84</v>
      </c>
      <c r="AZ33" s="168"/>
      <c r="BA33" s="168"/>
      <c r="BB33" s="152"/>
      <c r="BC33" s="237"/>
      <c r="BD33" s="212"/>
      <c r="BE33" s="135"/>
      <c r="BF33" s="135"/>
      <c r="BG33" s="218"/>
      <c r="BH33" s="220"/>
      <c r="BI33" s="218"/>
      <c r="BJ33" s="220"/>
      <c r="BK33" s="134"/>
      <c r="BL33" s="134"/>
      <c r="BM33" s="237"/>
      <c r="BN33" s="212"/>
      <c r="BO33" s="133"/>
      <c r="BP33" s="133"/>
      <c r="BQ33" s="211"/>
      <c r="BR33" s="212"/>
      <c r="BT33" s="218"/>
      <c r="BU33" s="219"/>
      <c r="BV33" s="220"/>
      <c r="BW33" s="218"/>
      <c r="BX33" s="220"/>
      <c r="BY33" s="227"/>
      <c r="BZ33" s="228"/>
      <c r="CA33" s="229"/>
      <c r="CB33" s="237"/>
      <c r="CC33" s="212"/>
      <c r="CD33" s="133"/>
      <c r="CE33" s="133"/>
      <c r="CF33" s="211"/>
      <c r="CG33" s="212"/>
    </row>
    <row r="34" spans="1:85" ht="14.25" customHeight="1" x14ac:dyDescent="0.25">
      <c r="A34" s="134"/>
      <c r="B34" s="134"/>
      <c r="C34" s="72">
        <v>1</v>
      </c>
      <c r="D34" s="72">
        <v>2</v>
      </c>
      <c r="E34" s="72">
        <v>3</v>
      </c>
      <c r="F34" s="72">
        <v>4</v>
      </c>
      <c r="G34" s="72">
        <v>5</v>
      </c>
      <c r="H34" s="72">
        <v>6</v>
      </c>
      <c r="I34" s="72">
        <v>7</v>
      </c>
      <c r="J34" s="72">
        <v>8</v>
      </c>
      <c r="K34" s="72">
        <v>9</v>
      </c>
      <c r="L34" s="72">
        <v>10</v>
      </c>
      <c r="M34" s="72">
        <v>11</v>
      </c>
      <c r="N34" s="72">
        <v>12</v>
      </c>
      <c r="O34" s="72">
        <v>13</v>
      </c>
      <c r="P34" s="72">
        <v>14</v>
      </c>
      <c r="Q34" s="72">
        <v>15</v>
      </c>
      <c r="R34" s="72">
        <v>16</v>
      </c>
      <c r="S34" s="72">
        <v>17</v>
      </c>
      <c r="T34" s="72">
        <v>18</v>
      </c>
      <c r="U34" s="72">
        <v>19</v>
      </c>
      <c r="V34" s="72">
        <v>20</v>
      </c>
      <c r="W34" s="72">
        <v>21</v>
      </c>
      <c r="X34" s="72">
        <v>22</v>
      </c>
      <c r="Y34" s="72">
        <v>23</v>
      </c>
      <c r="Z34" s="72">
        <v>24</v>
      </c>
      <c r="AA34" s="72">
        <v>25</v>
      </c>
      <c r="AB34" s="72">
        <v>26</v>
      </c>
      <c r="AC34" s="72">
        <v>27</v>
      </c>
      <c r="AD34" s="72">
        <v>28</v>
      </c>
      <c r="AE34" s="72">
        <v>29</v>
      </c>
      <c r="AF34" s="72">
        <v>30</v>
      </c>
      <c r="AG34" s="72">
        <v>31</v>
      </c>
      <c r="AH34" s="72">
        <v>32</v>
      </c>
      <c r="AI34" s="72">
        <v>33</v>
      </c>
      <c r="AJ34" s="72">
        <v>34</v>
      </c>
      <c r="AK34" s="72">
        <v>35</v>
      </c>
      <c r="AL34" s="72">
        <v>36</v>
      </c>
      <c r="AM34" s="72">
        <v>37</v>
      </c>
      <c r="AN34" s="72">
        <v>38</v>
      </c>
      <c r="AO34" s="72">
        <v>39</v>
      </c>
      <c r="AP34" s="72">
        <v>40</v>
      </c>
      <c r="AQ34" s="72">
        <v>41</v>
      </c>
      <c r="AR34" s="72">
        <v>42</v>
      </c>
      <c r="AS34" s="72">
        <v>43</v>
      </c>
      <c r="AT34" s="72">
        <v>44</v>
      </c>
      <c r="AU34" s="72">
        <v>45</v>
      </c>
      <c r="AV34" s="72">
        <v>46</v>
      </c>
      <c r="AW34" s="72">
        <v>47</v>
      </c>
      <c r="AX34" s="72">
        <v>48</v>
      </c>
      <c r="AY34" s="72">
        <v>49</v>
      </c>
      <c r="AZ34" s="72">
        <v>50</v>
      </c>
      <c r="BA34" s="72">
        <v>51</v>
      </c>
      <c r="BB34" s="72">
        <v>52</v>
      </c>
      <c r="BC34" s="238"/>
      <c r="BD34" s="214"/>
      <c r="BE34" s="135"/>
      <c r="BF34" s="135"/>
      <c r="BG34" s="221"/>
      <c r="BH34" s="223"/>
      <c r="BI34" s="221"/>
      <c r="BJ34" s="223"/>
      <c r="BK34" s="134"/>
      <c r="BL34" s="134"/>
      <c r="BM34" s="238"/>
      <c r="BN34" s="214"/>
      <c r="BO34" s="133"/>
      <c r="BP34" s="133"/>
      <c r="BQ34" s="213"/>
      <c r="BR34" s="214"/>
      <c r="BT34" s="221"/>
      <c r="BU34" s="222"/>
      <c r="BV34" s="223"/>
      <c r="BW34" s="221"/>
      <c r="BX34" s="223"/>
      <c r="BY34" s="230"/>
      <c r="BZ34" s="231"/>
      <c r="CA34" s="232"/>
      <c r="CB34" s="238"/>
      <c r="CC34" s="214"/>
      <c r="CD34" s="133"/>
      <c r="CE34" s="133"/>
      <c r="CF34" s="213"/>
      <c r="CG34" s="214"/>
    </row>
    <row r="35" spans="1:85" ht="14.25" customHeight="1" x14ac:dyDescent="0.25">
      <c r="A35" s="106" t="s">
        <v>0</v>
      </c>
      <c r="B35" s="106"/>
      <c r="C35" s="72" t="s">
        <v>106</v>
      </c>
      <c r="D35" s="72"/>
      <c r="E35" s="72"/>
      <c r="F35" s="72"/>
      <c r="G35" s="72"/>
      <c r="H35" s="72"/>
      <c r="I35" s="72"/>
      <c r="J35" s="72"/>
      <c r="K35" s="72"/>
      <c r="L35" s="72"/>
      <c r="M35" s="72"/>
      <c r="N35" s="72"/>
      <c r="O35" s="72"/>
      <c r="P35" s="72"/>
      <c r="Q35" s="72"/>
      <c r="R35" s="72"/>
      <c r="S35" s="72" t="s">
        <v>2</v>
      </c>
      <c r="T35" s="72" t="s">
        <v>2</v>
      </c>
      <c r="U35" s="72" t="s">
        <v>1</v>
      </c>
      <c r="V35" s="72" t="s">
        <v>1</v>
      </c>
      <c r="W35" s="72" t="s">
        <v>106</v>
      </c>
      <c r="X35" s="72" t="s">
        <v>0</v>
      </c>
      <c r="Y35" s="72" t="s">
        <v>0</v>
      </c>
      <c r="Z35" s="72" t="s">
        <v>0</v>
      </c>
      <c r="AA35" s="72" t="s">
        <v>0</v>
      </c>
      <c r="AB35" s="72" t="s">
        <v>0</v>
      </c>
      <c r="AC35" s="72"/>
      <c r="AD35" s="72"/>
      <c r="AE35" s="72"/>
      <c r="AF35" s="72"/>
      <c r="AG35" s="72"/>
      <c r="AH35" s="72"/>
      <c r="AI35" s="72"/>
      <c r="AJ35" s="72"/>
      <c r="AK35" s="72"/>
      <c r="AL35" s="72"/>
      <c r="AM35" s="72"/>
      <c r="AN35" s="72"/>
      <c r="AO35" s="72"/>
      <c r="AP35" s="72"/>
      <c r="AQ35" s="72"/>
      <c r="AR35" s="72" t="s">
        <v>1</v>
      </c>
      <c r="AS35" s="72" t="s">
        <v>1</v>
      </c>
      <c r="AT35" s="72" t="s">
        <v>2</v>
      </c>
      <c r="AU35" s="72" t="s">
        <v>2</v>
      </c>
      <c r="AV35" s="72" t="s">
        <v>2</v>
      </c>
      <c r="AW35" s="72" t="s">
        <v>2</v>
      </c>
      <c r="AX35" s="72" t="s">
        <v>2</v>
      </c>
      <c r="AY35" s="72" t="s">
        <v>2</v>
      </c>
      <c r="AZ35" s="72" t="s">
        <v>2</v>
      </c>
      <c r="BA35" s="72" t="s">
        <v>2</v>
      </c>
      <c r="BB35" s="72" t="s">
        <v>2</v>
      </c>
      <c r="BC35" s="167">
        <f>SUM(BE35:BN35)</f>
        <v>41</v>
      </c>
      <c r="BD35" s="152"/>
      <c r="BE35" s="106">
        <v>30</v>
      </c>
      <c r="BF35" s="106"/>
      <c r="BG35" s="167">
        <v>5</v>
      </c>
      <c r="BH35" s="152"/>
      <c r="BI35" s="167"/>
      <c r="BJ35" s="152"/>
      <c r="BK35" s="168">
        <v>4</v>
      </c>
      <c r="BL35" s="152"/>
      <c r="BM35" s="167">
        <v>2</v>
      </c>
      <c r="BN35" s="152"/>
      <c r="BO35" s="167">
        <v>11</v>
      </c>
      <c r="BP35" s="152"/>
      <c r="BQ35" s="106">
        <f>BO35+BC35</f>
        <v>52</v>
      </c>
      <c r="BR35" s="106"/>
    </row>
    <row r="36" spans="1:85" ht="14.25" customHeight="1" x14ac:dyDescent="0.25">
      <c r="A36" s="106" t="s">
        <v>3</v>
      </c>
      <c r="B36" s="106"/>
      <c r="C36" s="72" t="s">
        <v>106</v>
      </c>
      <c r="D36" s="72"/>
      <c r="E36" s="72"/>
      <c r="F36" s="72"/>
      <c r="G36" s="72"/>
      <c r="H36" s="72"/>
      <c r="I36" s="72"/>
      <c r="J36" s="72"/>
      <c r="K36" s="72"/>
      <c r="L36" s="72"/>
      <c r="M36" s="72"/>
      <c r="N36" s="72"/>
      <c r="O36" s="72"/>
      <c r="P36" s="72"/>
      <c r="Q36" s="72"/>
      <c r="R36" s="72"/>
      <c r="S36" s="72" t="s">
        <v>2</v>
      </c>
      <c r="T36" s="72" t="s">
        <v>2</v>
      </c>
      <c r="U36" s="72" t="s">
        <v>1</v>
      </c>
      <c r="V36" s="72" t="s">
        <v>1</v>
      </c>
      <c r="W36" s="72" t="s">
        <v>106</v>
      </c>
      <c r="X36" s="72" t="s">
        <v>22</v>
      </c>
      <c r="Y36" s="72" t="s">
        <v>22</v>
      </c>
      <c r="Z36" s="72" t="s">
        <v>22</v>
      </c>
      <c r="AA36" s="72" t="s">
        <v>22</v>
      </c>
      <c r="AB36" s="72" t="s">
        <v>22</v>
      </c>
      <c r="AC36" s="72"/>
      <c r="AD36" s="72"/>
      <c r="AE36" s="72"/>
      <c r="AF36" s="72"/>
      <c r="AG36" s="72"/>
      <c r="AH36" s="72"/>
      <c r="AI36" s="72"/>
      <c r="AJ36" s="72"/>
      <c r="AK36" s="72"/>
      <c r="AL36" s="72"/>
      <c r="AM36" s="72"/>
      <c r="AN36" s="72"/>
      <c r="AO36" s="72"/>
      <c r="AP36" s="72"/>
      <c r="AQ36" s="72"/>
      <c r="AR36" s="72" t="s">
        <v>1</v>
      </c>
      <c r="AS36" s="72" t="s">
        <v>102</v>
      </c>
      <c r="AT36" s="72" t="s">
        <v>2</v>
      </c>
      <c r="AU36" s="72" t="s">
        <v>2</v>
      </c>
      <c r="AV36" s="72" t="s">
        <v>2</v>
      </c>
      <c r="AW36" s="72" t="s">
        <v>2</v>
      </c>
      <c r="AX36" s="72" t="s">
        <v>2</v>
      </c>
      <c r="AY36" s="72"/>
      <c r="AZ36" s="72"/>
      <c r="BA36" s="72"/>
      <c r="BB36" s="72"/>
      <c r="BC36" s="167">
        <f>SUM(BE36:BN36)</f>
        <v>41</v>
      </c>
      <c r="BD36" s="152"/>
      <c r="BE36" s="106">
        <v>30</v>
      </c>
      <c r="BF36" s="106"/>
      <c r="BG36" s="167"/>
      <c r="BH36" s="152"/>
      <c r="BI36" s="167">
        <v>5</v>
      </c>
      <c r="BJ36" s="152"/>
      <c r="BK36" s="168">
        <v>4</v>
      </c>
      <c r="BL36" s="152"/>
      <c r="BM36" s="167">
        <v>2</v>
      </c>
      <c r="BN36" s="152"/>
      <c r="BO36" s="167">
        <v>7</v>
      </c>
      <c r="BP36" s="152"/>
      <c r="BQ36" s="106">
        <f>BO36+BC36</f>
        <v>48</v>
      </c>
      <c r="BR36" s="106"/>
    </row>
    <row r="37" spans="1:85" ht="14.25" customHeight="1" x14ac:dyDescent="0.25">
      <c r="A37" s="169" t="s">
        <v>4</v>
      </c>
      <c r="B37" s="169"/>
      <c r="C37" s="169"/>
      <c r="D37" s="169"/>
      <c r="E37" s="169"/>
      <c r="F37" s="169"/>
      <c r="G37" s="169"/>
      <c r="H37" s="169"/>
      <c r="I37" s="169"/>
      <c r="J37" s="169"/>
      <c r="K37" s="169"/>
      <c r="L37" s="169"/>
      <c r="M37" s="169"/>
      <c r="N37" s="169"/>
      <c r="O37" s="169"/>
      <c r="P37" s="169"/>
      <c r="Q37" s="169"/>
      <c r="R37" s="169"/>
      <c r="S37" s="169"/>
      <c r="T37" s="169"/>
      <c r="U37" s="169"/>
      <c r="V37" s="169"/>
      <c r="W37" s="169"/>
      <c r="X37" s="169"/>
      <c r="Y37" s="169"/>
      <c r="Z37" s="169"/>
      <c r="AA37" s="169"/>
      <c r="AB37" s="169"/>
      <c r="AC37" s="169"/>
      <c r="AD37" s="169"/>
      <c r="AE37" s="169"/>
      <c r="AF37" s="169"/>
      <c r="AG37" s="169"/>
      <c r="AH37" s="169"/>
      <c r="AI37" s="169"/>
      <c r="AJ37" s="169"/>
      <c r="AK37" s="169"/>
      <c r="AL37" s="169"/>
      <c r="AM37" s="169"/>
      <c r="AN37" s="169"/>
      <c r="AO37" s="169"/>
      <c r="AP37" s="169"/>
      <c r="AQ37" s="169"/>
      <c r="AR37" s="169"/>
      <c r="AS37" s="169"/>
      <c r="AT37" s="169"/>
      <c r="AU37" s="169"/>
      <c r="AV37" s="169"/>
      <c r="AW37" s="169"/>
      <c r="AX37" s="169"/>
      <c r="AY37" s="169"/>
      <c r="AZ37" s="169"/>
      <c r="BA37" s="169"/>
      <c r="BB37" s="169"/>
      <c r="BC37" s="167">
        <f>SUM(BC35:BD36)</f>
        <v>82</v>
      </c>
      <c r="BD37" s="152"/>
      <c r="BE37" s="106">
        <f>SUM(BE35:BF36)</f>
        <v>60</v>
      </c>
      <c r="BF37" s="106"/>
      <c r="BG37" s="106">
        <f t="shared" ref="BG37" si="0">SUM(BG35:BH36)</f>
        <v>5</v>
      </c>
      <c r="BH37" s="106"/>
      <c r="BI37" s="106">
        <f t="shared" ref="BI37" si="1">SUM(BI35:BJ36)</f>
        <v>5</v>
      </c>
      <c r="BJ37" s="106"/>
      <c r="BK37" s="106">
        <f t="shared" ref="BK37" si="2">SUM(BK35:BL36)</f>
        <v>8</v>
      </c>
      <c r="BL37" s="106"/>
      <c r="BM37" s="106">
        <f t="shared" ref="BM37" si="3">SUM(BM35:BN36)</f>
        <v>4</v>
      </c>
      <c r="BN37" s="106"/>
      <c r="BO37" s="106">
        <f t="shared" ref="BO37" si="4">SUM(BO35:BP36)</f>
        <v>18</v>
      </c>
      <c r="BP37" s="106"/>
      <c r="BQ37" s="106">
        <f>SUM(BQ35:BR36)</f>
        <v>100</v>
      </c>
      <c r="BR37" s="106"/>
    </row>
    <row r="38" spans="1:85" ht="14.25" customHeight="1" x14ac:dyDescent="0.25">
      <c r="A38" s="4"/>
      <c r="B38" s="5"/>
      <c r="C38" s="5"/>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7"/>
      <c r="AF38" s="6"/>
      <c r="AG38" s="6"/>
      <c r="AH38" s="6"/>
      <c r="AI38" s="6"/>
      <c r="AJ38" s="6"/>
      <c r="AK38" s="6"/>
      <c r="AL38" s="6"/>
      <c r="AM38" s="6"/>
      <c r="AN38" s="6"/>
      <c r="AO38" s="6"/>
      <c r="AP38" s="6"/>
      <c r="AQ38" s="8"/>
      <c r="AR38" s="6"/>
      <c r="AS38" s="6"/>
      <c r="AT38" s="6"/>
      <c r="AU38" s="6"/>
      <c r="AV38" s="8"/>
      <c r="AW38" s="6"/>
      <c r="AX38" s="6"/>
      <c r="AY38" s="6"/>
      <c r="AZ38" s="6"/>
      <c r="BA38" s="6"/>
      <c r="BB38" s="6"/>
      <c r="BC38" s="77"/>
      <c r="BD38" s="77"/>
      <c r="BE38" s="77"/>
      <c r="BF38" s="77"/>
      <c r="BG38" s="77"/>
      <c r="BH38" s="77"/>
      <c r="BI38" s="77"/>
      <c r="BJ38" s="77"/>
      <c r="BK38" s="77"/>
      <c r="BL38" s="77"/>
      <c r="BM38" s="77"/>
      <c r="BN38" s="77"/>
      <c r="BO38" s="9"/>
      <c r="BP38" s="9"/>
      <c r="BQ38" s="9"/>
      <c r="BR38" s="8"/>
    </row>
    <row r="39" spans="1:85" ht="14.25" customHeight="1" x14ac:dyDescent="0.25">
      <c r="A39" s="4"/>
      <c r="B39" s="160"/>
      <c r="C39" s="160"/>
      <c r="D39" s="161" t="s">
        <v>96</v>
      </c>
      <c r="E39" s="143"/>
      <c r="F39" s="143"/>
      <c r="G39" s="143"/>
      <c r="H39" s="143"/>
      <c r="I39" s="143"/>
      <c r="J39" s="143"/>
      <c r="K39" s="162" t="s">
        <v>102</v>
      </c>
      <c r="L39" s="162"/>
      <c r="M39" s="162"/>
      <c r="N39" s="162"/>
      <c r="O39" s="163" t="s">
        <v>97</v>
      </c>
      <c r="P39" s="163"/>
      <c r="Q39" s="163"/>
      <c r="R39" s="164"/>
      <c r="S39" s="162" t="s">
        <v>0</v>
      </c>
      <c r="T39" s="162"/>
      <c r="U39" s="162"/>
      <c r="V39" s="165" t="s">
        <v>98</v>
      </c>
      <c r="W39" s="165"/>
      <c r="X39" s="165"/>
      <c r="Y39" s="165"/>
      <c r="Z39" s="165"/>
      <c r="AA39" s="166"/>
      <c r="AB39" s="162" t="s">
        <v>103</v>
      </c>
      <c r="AC39" s="162"/>
      <c r="AD39" s="162"/>
      <c r="AE39" s="7"/>
      <c r="AF39" s="163" t="s">
        <v>99</v>
      </c>
      <c r="AG39" s="163"/>
      <c r="AH39" s="163"/>
      <c r="AI39" s="163"/>
      <c r="AJ39" s="163"/>
      <c r="AK39" s="163"/>
      <c r="AL39" s="163"/>
      <c r="AM39" s="164"/>
      <c r="AN39" s="162" t="s">
        <v>104</v>
      </c>
      <c r="AO39" s="162"/>
      <c r="AP39" s="162"/>
      <c r="AQ39" s="8"/>
      <c r="AR39" s="177" t="s">
        <v>100</v>
      </c>
      <c r="AS39" s="177"/>
      <c r="AT39" s="177"/>
      <c r="AU39" s="177"/>
      <c r="AV39" s="8"/>
      <c r="AW39" s="162" t="s">
        <v>105</v>
      </c>
      <c r="AX39" s="162"/>
      <c r="AY39" s="162"/>
      <c r="AZ39" s="177" t="s">
        <v>101</v>
      </c>
      <c r="BA39" s="177"/>
      <c r="BB39" s="177"/>
      <c r="BC39" s="177"/>
      <c r="BD39" s="138" t="s">
        <v>106</v>
      </c>
      <c r="BE39" s="138"/>
      <c r="BF39" s="138"/>
      <c r="BG39" s="138"/>
      <c r="BH39" s="139" t="s">
        <v>92</v>
      </c>
      <c r="BI39" s="139"/>
      <c r="BJ39" s="139"/>
      <c r="BK39" s="139"/>
      <c r="BL39" s="139"/>
      <c r="BM39" s="139"/>
      <c r="BN39" s="139"/>
      <c r="BO39" s="9"/>
      <c r="BP39" s="9"/>
      <c r="BQ39" s="9"/>
      <c r="BR39" s="8"/>
    </row>
    <row r="40" spans="1:85" ht="14.25" customHeight="1" x14ac:dyDescent="0.25">
      <c r="A40" s="4"/>
      <c r="B40" s="160"/>
      <c r="C40" s="160"/>
      <c r="D40" s="161"/>
      <c r="E40" s="143"/>
      <c r="F40" s="143"/>
      <c r="G40" s="143"/>
      <c r="H40" s="143"/>
      <c r="I40" s="143"/>
      <c r="J40" s="143"/>
      <c r="K40" s="162"/>
      <c r="L40" s="162"/>
      <c r="M40" s="162"/>
      <c r="N40" s="162"/>
      <c r="O40" s="163"/>
      <c r="P40" s="163"/>
      <c r="Q40" s="163"/>
      <c r="R40" s="164"/>
      <c r="S40" s="162"/>
      <c r="T40" s="162"/>
      <c r="U40" s="162"/>
      <c r="V40" s="165"/>
      <c r="W40" s="165"/>
      <c r="X40" s="165"/>
      <c r="Y40" s="165"/>
      <c r="Z40" s="165"/>
      <c r="AA40" s="166"/>
      <c r="AB40" s="162"/>
      <c r="AC40" s="162"/>
      <c r="AD40" s="162"/>
      <c r="AE40" s="7"/>
      <c r="AF40" s="163"/>
      <c r="AG40" s="163"/>
      <c r="AH40" s="163"/>
      <c r="AI40" s="163"/>
      <c r="AJ40" s="163"/>
      <c r="AK40" s="163"/>
      <c r="AL40" s="163"/>
      <c r="AM40" s="164"/>
      <c r="AN40" s="162"/>
      <c r="AO40" s="162"/>
      <c r="AP40" s="162"/>
      <c r="AQ40" s="8"/>
      <c r="AR40" s="177"/>
      <c r="AS40" s="177"/>
      <c r="AT40" s="177"/>
      <c r="AU40" s="177"/>
      <c r="AV40" s="8"/>
      <c r="AW40" s="162"/>
      <c r="AX40" s="162"/>
      <c r="AY40" s="162"/>
      <c r="AZ40" s="177"/>
      <c r="BA40" s="177"/>
      <c r="BB40" s="177"/>
      <c r="BC40" s="177"/>
      <c r="BD40" s="138"/>
      <c r="BE40" s="138"/>
      <c r="BF40" s="138"/>
      <c r="BG40" s="138"/>
      <c r="BH40" s="139"/>
      <c r="BI40" s="139"/>
      <c r="BJ40" s="139"/>
      <c r="BK40" s="139"/>
      <c r="BL40" s="139"/>
      <c r="BM40" s="139"/>
      <c r="BN40" s="139"/>
      <c r="BO40" s="9"/>
      <c r="BP40" s="9"/>
      <c r="BQ40" s="9"/>
      <c r="BR40" s="8"/>
    </row>
    <row r="41" spans="1:85" ht="14.25" customHeight="1" x14ac:dyDescent="0.25">
      <c r="A41" s="4"/>
      <c r="B41" s="160"/>
      <c r="C41" s="160"/>
      <c r="D41" s="161"/>
      <c r="E41" s="143"/>
      <c r="F41" s="143"/>
      <c r="G41" s="143"/>
      <c r="H41" s="143"/>
      <c r="I41" s="143"/>
      <c r="J41" s="143"/>
      <c r="K41" s="162"/>
      <c r="L41" s="162"/>
      <c r="M41" s="162"/>
      <c r="N41" s="162"/>
      <c r="O41" s="163"/>
      <c r="P41" s="163"/>
      <c r="Q41" s="163"/>
      <c r="R41" s="164"/>
      <c r="S41" s="162"/>
      <c r="T41" s="162"/>
      <c r="U41" s="162"/>
      <c r="V41" s="165"/>
      <c r="W41" s="165"/>
      <c r="X41" s="165"/>
      <c r="Y41" s="165"/>
      <c r="Z41" s="165"/>
      <c r="AA41" s="166"/>
      <c r="AB41" s="162"/>
      <c r="AC41" s="162"/>
      <c r="AD41" s="162"/>
      <c r="AE41" s="7"/>
      <c r="AF41" s="163"/>
      <c r="AG41" s="163"/>
      <c r="AH41" s="163"/>
      <c r="AI41" s="163"/>
      <c r="AJ41" s="163"/>
      <c r="AK41" s="163"/>
      <c r="AL41" s="163"/>
      <c r="AM41" s="164"/>
      <c r="AN41" s="162"/>
      <c r="AO41" s="162"/>
      <c r="AP41" s="162"/>
      <c r="AQ41" s="8"/>
      <c r="AR41" s="177"/>
      <c r="AS41" s="177"/>
      <c r="AT41" s="177"/>
      <c r="AU41" s="177"/>
      <c r="AV41" s="8"/>
      <c r="AW41" s="162"/>
      <c r="AX41" s="162"/>
      <c r="AY41" s="162"/>
      <c r="AZ41" s="177"/>
      <c r="BA41" s="177"/>
      <c r="BB41" s="177"/>
      <c r="BC41" s="177"/>
      <c r="BD41" s="138"/>
      <c r="BE41" s="138"/>
      <c r="BF41" s="138"/>
      <c r="BG41" s="138"/>
      <c r="BH41" s="139"/>
      <c r="BI41" s="139"/>
      <c r="BJ41" s="139"/>
      <c r="BK41" s="139"/>
      <c r="BL41" s="139"/>
      <c r="BM41" s="139"/>
      <c r="BN41" s="139"/>
      <c r="BO41" s="9"/>
      <c r="BP41" s="9"/>
      <c r="BQ41" s="9"/>
      <c r="BR41" s="8"/>
    </row>
    <row r="42" spans="1:85" ht="14.25" customHeight="1" x14ac:dyDescent="0.25">
      <c r="A42" s="4"/>
      <c r="B42" s="10"/>
      <c r="C42" s="11"/>
      <c r="D42" s="12"/>
      <c r="E42" s="4"/>
      <c r="F42" s="4"/>
      <c r="G42" s="4"/>
      <c r="H42" s="4"/>
      <c r="I42" s="66"/>
      <c r="J42" s="66"/>
      <c r="K42" s="66"/>
      <c r="L42" s="66"/>
      <c r="M42" s="66"/>
      <c r="N42" s="66"/>
      <c r="O42" s="13"/>
      <c r="P42" s="13"/>
      <c r="Q42" s="13"/>
      <c r="R42" s="13"/>
      <c r="S42" s="66"/>
      <c r="T42" s="66"/>
      <c r="U42" s="66"/>
      <c r="V42" s="66"/>
      <c r="W42" s="66"/>
      <c r="X42" s="66"/>
      <c r="Y42" s="13"/>
      <c r="Z42" s="13"/>
      <c r="AA42" s="13"/>
      <c r="AB42" s="13"/>
      <c r="AC42" s="66"/>
      <c r="AD42" s="66"/>
      <c r="AE42" s="66"/>
      <c r="AF42" s="66"/>
      <c r="AG42" s="66"/>
      <c r="AH42" s="66"/>
      <c r="AI42" s="13"/>
      <c r="AJ42" s="13"/>
      <c r="AK42" s="13"/>
      <c r="AL42" s="13"/>
      <c r="AM42" s="66"/>
      <c r="AN42" s="66"/>
      <c r="AO42" s="66"/>
      <c r="AP42" s="66"/>
      <c r="AQ42" s="66"/>
      <c r="AR42" s="66"/>
      <c r="AS42" s="13"/>
      <c r="AT42" s="13"/>
      <c r="AU42" s="13"/>
      <c r="AV42" s="13"/>
      <c r="AW42" s="66"/>
      <c r="AX42" s="66"/>
      <c r="AY42" s="66"/>
      <c r="AZ42" s="66"/>
      <c r="BA42" s="66"/>
      <c r="BB42" s="66"/>
      <c r="BC42" s="13"/>
      <c r="BD42" s="13"/>
      <c r="BE42" s="13"/>
      <c r="BF42" s="13"/>
      <c r="BG42" s="66"/>
      <c r="BH42" s="66"/>
      <c r="BI42" s="66"/>
      <c r="BJ42" s="66"/>
      <c r="BK42" s="66"/>
      <c r="BL42" s="66"/>
      <c r="BM42" s="73"/>
      <c r="BN42" s="4"/>
      <c r="BO42" s="4"/>
      <c r="BP42" s="4"/>
      <c r="BQ42" s="4"/>
      <c r="BR42" s="4"/>
    </row>
    <row r="43" spans="1:85" ht="14.25" customHeight="1" x14ac:dyDescent="0.25">
      <c r="A43" s="4"/>
      <c r="B43" s="10"/>
      <c r="C43" s="11"/>
      <c r="D43" s="12"/>
      <c r="E43" s="4"/>
      <c r="F43" s="4"/>
      <c r="G43" s="4"/>
      <c r="H43" s="4"/>
      <c r="I43" s="66"/>
      <c r="J43" s="66"/>
      <c r="K43" s="66"/>
      <c r="L43" s="66"/>
      <c r="M43" s="66"/>
      <c r="N43" s="66"/>
      <c r="O43" s="13"/>
      <c r="P43" s="13"/>
      <c r="Q43" s="13"/>
      <c r="R43" s="13"/>
      <c r="S43" s="66"/>
      <c r="T43" s="66"/>
      <c r="U43" s="66"/>
      <c r="V43" s="66"/>
      <c r="W43" s="66"/>
      <c r="X43" s="66"/>
      <c r="Y43" s="13"/>
      <c r="Z43" s="13"/>
      <c r="AA43" s="13"/>
      <c r="AB43" s="13"/>
      <c r="AC43" s="66"/>
      <c r="AD43" s="66"/>
      <c r="AE43" s="66"/>
      <c r="AF43" s="66"/>
      <c r="AG43" s="66"/>
      <c r="AH43" s="66"/>
      <c r="AI43" s="13"/>
      <c r="AJ43" s="13"/>
      <c r="AK43" s="13"/>
      <c r="AL43" s="13"/>
      <c r="AM43" s="66"/>
      <c r="AN43" s="66"/>
      <c r="AO43" s="66"/>
      <c r="AP43" s="66"/>
      <c r="AQ43" s="66"/>
      <c r="AR43" s="66"/>
      <c r="AS43" s="13"/>
      <c r="AT43" s="13"/>
      <c r="AU43" s="13"/>
      <c r="AV43" s="13"/>
      <c r="AW43" s="66"/>
      <c r="AX43" s="66"/>
      <c r="AY43" s="66"/>
      <c r="AZ43" s="66"/>
      <c r="BA43" s="66"/>
      <c r="BB43" s="66"/>
      <c r="BC43" s="13"/>
      <c r="BD43" s="13"/>
      <c r="BE43" s="13"/>
      <c r="BF43" s="13"/>
      <c r="BG43" s="66"/>
      <c r="BH43" s="66"/>
      <c r="BI43" s="66"/>
      <c r="BJ43" s="66"/>
      <c r="BK43" s="66"/>
      <c r="BL43" s="66"/>
      <c r="BM43" s="73"/>
      <c r="BN43" s="4"/>
      <c r="BO43" s="4"/>
      <c r="BP43" s="4"/>
      <c r="BQ43" s="4"/>
      <c r="BR43" s="4"/>
    </row>
    <row r="44" spans="1:85" ht="14.25" customHeight="1" x14ac:dyDescent="0.25">
      <c r="A44" s="153" t="s">
        <v>66</v>
      </c>
      <c r="B44" s="153"/>
      <c r="C44" s="153"/>
      <c r="D44" s="153"/>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3"/>
      <c r="BK44" s="153"/>
      <c r="BL44" s="153"/>
      <c r="BM44" s="153"/>
      <c r="BN44" s="153"/>
      <c r="BO44" s="153"/>
      <c r="BP44" s="153"/>
      <c r="BQ44" s="153"/>
      <c r="BR44" s="153"/>
    </row>
    <row r="45" spans="1:85" ht="14.25" customHeight="1" x14ac:dyDescent="0.25">
      <c r="A45" s="154"/>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4"/>
      <c r="AX45" s="154"/>
      <c r="AY45" s="154"/>
      <c r="AZ45" s="154"/>
      <c r="BA45" s="154"/>
      <c r="BB45" s="154"/>
      <c r="BC45" s="154"/>
      <c r="BD45" s="154"/>
      <c r="BE45" s="154"/>
      <c r="BF45" s="154"/>
      <c r="BG45" s="154"/>
      <c r="BH45" s="154"/>
      <c r="BI45" s="154"/>
      <c r="BJ45" s="154"/>
      <c r="BK45" s="154"/>
      <c r="BL45" s="154"/>
      <c r="BM45" s="154"/>
      <c r="BN45" s="154"/>
      <c r="BO45" s="154"/>
      <c r="BP45" s="154"/>
      <c r="BQ45" s="154"/>
      <c r="BR45" s="154"/>
    </row>
    <row r="46" spans="1:85" ht="14.25" customHeight="1" x14ac:dyDescent="0.25">
      <c r="A46" s="106" t="s">
        <v>108</v>
      </c>
      <c r="B46" s="133" t="s">
        <v>107</v>
      </c>
      <c r="C46" s="134"/>
      <c r="D46" s="132" t="s">
        <v>126</v>
      </c>
      <c r="E46" s="132"/>
      <c r="F46" s="132"/>
      <c r="G46" s="132"/>
      <c r="H46" s="132"/>
      <c r="I46" s="132"/>
      <c r="J46" s="132"/>
      <c r="K46" s="132"/>
      <c r="L46" s="132"/>
      <c r="M46" s="132"/>
      <c r="N46" s="132"/>
      <c r="O46" s="155"/>
      <c r="P46" s="156" t="s">
        <v>113</v>
      </c>
      <c r="Q46" s="132"/>
      <c r="R46" s="132"/>
      <c r="S46" s="132"/>
      <c r="T46" s="132"/>
      <c r="U46" s="132"/>
      <c r="V46" s="132"/>
      <c r="W46" s="132"/>
      <c r="X46" s="132"/>
      <c r="Y46" s="132"/>
      <c r="Z46" s="132"/>
      <c r="AA46" s="132"/>
      <c r="AB46" s="132"/>
      <c r="AC46" s="132"/>
      <c r="AD46" s="132"/>
      <c r="AE46" s="132"/>
      <c r="AF46" s="132"/>
      <c r="AG46" s="132"/>
      <c r="AH46" s="132"/>
      <c r="AI46" s="132"/>
      <c r="AJ46" s="132"/>
      <c r="AK46" s="132"/>
      <c r="AL46" s="132"/>
      <c r="AM46" s="132"/>
      <c r="AN46" s="132"/>
      <c r="AO46" s="132"/>
      <c r="AP46" s="155"/>
      <c r="AQ46" s="157" t="s">
        <v>179</v>
      </c>
      <c r="AR46" s="132"/>
      <c r="AS46" s="132"/>
      <c r="AT46" s="132"/>
      <c r="AU46" s="132"/>
      <c r="AV46" s="132"/>
      <c r="AW46" s="132"/>
      <c r="AX46" s="132"/>
      <c r="AY46" s="132"/>
      <c r="AZ46" s="132"/>
      <c r="BA46" s="132"/>
      <c r="BB46" s="155"/>
      <c r="BC46" s="157" t="s">
        <v>180</v>
      </c>
      <c r="BD46" s="132"/>
      <c r="BE46" s="132"/>
      <c r="BF46" s="132"/>
      <c r="BG46" s="132"/>
      <c r="BH46" s="132"/>
      <c r="BI46" s="132"/>
      <c r="BJ46" s="132"/>
      <c r="BK46" s="132"/>
      <c r="BL46" s="132"/>
      <c r="BM46" s="132"/>
      <c r="BN46" s="155"/>
      <c r="BO46" s="158" t="s">
        <v>123</v>
      </c>
      <c r="BP46" s="134"/>
      <c r="BQ46" s="134"/>
      <c r="BR46" s="134"/>
    </row>
    <row r="47" spans="1:85" ht="14.25" customHeight="1" x14ac:dyDescent="0.25">
      <c r="A47" s="106"/>
      <c r="B47" s="134"/>
      <c r="C47" s="134"/>
      <c r="D47" s="132"/>
      <c r="E47" s="132"/>
      <c r="F47" s="132"/>
      <c r="G47" s="132"/>
      <c r="H47" s="132"/>
      <c r="I47" s="132"/>
      <c r="J47" s="132"/>
      <c r="K47" s="132"/>
      <c r="L47" s="132"/>
      <c r="M47" s="132"/>
      <c r="N47" s="132"/>
      <c r="O47" s="155"/>
      <c r="P47" s="156"/>
      <c r="Q47" s="132"/>
      <c r="R47" s="132"/>
      <c r="S47" s="132"/>
      <c r="T47" s="132"/>
      <c r="U47" s="132"/>
      <c r="V47" s="132"/>
      <c r="W47" s="132"/>
      <c r="X47" s="132"/>
      <c r="Y47" s="132"/>
      <c r="Z47" s="132"/>
      <c r="AA47" s="132"/>
      <c r="AB47" s="132"/>
      <c r="AC47" s="132"/>
      <c r="AD47" s="132"/>
      <c r="AE47" s="132"/>
      <c r="AF47" s="132"/>
      <c r="AG47" s="132"/>
      <c r="AH47" s="132"/>
      <c r="AI47" s="132"/>
      <c r="AJ47" s="132"/>
      <c r="AK47" s="132"/>
      <c r="AL47" s="132"/>
      <c r="AM47" s="132"/>
      <c r="AN47" s="132"/>
      <c r="AO47" s="132"/>
      <c r="AP47" s="155"/>
      <c r="AQ47" s="157"/>
      <c r="AR47" s="132"/>
      <c r="AS47" s="132"/>
      <c r="AT47" s="132"/>
      <c r="AU47" s="132"/>
      <c r="AV47" s="132"/>
      <c r="AW47" s="132"/>
      <c r="AX47" s="132"/>
      <c r="AY47" s="132"/>
      <c r="AZ47" s="132"/>
      <c r="BA47" s="132"/>
      <c r="BB47" s="155"/>
      <c r="BC47" s="157"/>
      <c r="BD47" s="132"/>
      <c r="BE47" s="132"/>
      <c r="BF47" s="132"/>
      <c r="BG47" s="132"/>
      <c r="BH47" s="132"/>
      <c r="BI47" s="132"/>
      <c r="BJ47" s="132"/>
      <c r="BK47" s="132"/>
      <c r="BL47" s="132"/>
      <c r="BM47" s="132"/>
      <c r="BN47" s="155"/>
      <c r="BO47" s="158"/>
      <c r="BP47" s="134"/>
      <c r="BQ47" s="134"/>
      <c r="BR47" s="134"/>
      <c r="BS47" s="71"/>
      <c r="BT47" s="71"/>
      <c r="BU47" s="71"/>
      <c r="BV47" s="71"/>
      <c r="BW47" s="71"/>
      <c r="BX47" s="71"/>
      <c r="BY47" s="71"/>
      <c r="BZ47" s="71"/>
    </row>
    <row r="48" spans="1:85" ht="14.25" customHeight="1" x14ac:dyDescent="0.25">
      <c r="A48" s="106"/>
      <c r="B48" s="134"/>
      <c r="C48" s="134"/>
      <c r="D48" s="132"/>
      <c r="E48" s="132"/>
      <c r="F48" s="132"/>
      <c r="G48" s="132"/>
      <c r="H48" s="132"/>
      <c r="I48" s="132"/>
      <c r="J48" s="132"/>
      <c r="K48" s="132"/>
      <c r="L48" s="132"/>
      <c r="M48" s="132"/>
      <c r="N48" s="132"/>
      <c r="O48" s="155"/>
      <c r="P48" s="157" t="s">
        <v>109</v>
      </c>
      <c r="Q48" s="132"/>
      <c r="R48" s="132"/>
      <c r="S48" s="132"/>
      <c r="T48" s="132"/>
      <c r="U48" s="155"/>
      <c r="V48" s="156" t="s">
        <v>114</v>
      </c>
      <c r="W48" s="132"/>
      <c r="X48" s="132"/>
      <c r="Y48" s="132"/>
      <c r="Z48" s="132"/>
      <c r="AA48" s="132"/>
      <c r="AB48" s="132"/>
      <c r="AC48" s="132"/>
      <c r="AD48" s="132"/>
      <c r="AE48" s="132"/>
      <c r="AF48" s="132"/>
      <c r="AG48" s="132"/>
      <c r="AH48" s="132"/>
      <c r="AI48" s="132"/>
      <c r="AJ48" s="132"/>
      <c r="AK48" s="132"/>
      <c r="AL48" s="132"/>
      <c r="AM48" s="132"/>
      <c r="AN48" s="135" t="s">
        <v>120</v>
      </c>
      <c r="AO48" s="135"/>
      <c r="AP48" s="159"/>
      <c r="AQ48" s="144" t="s">
        <v>124</v>
      </c>
      <c r="AR48" s="106"/>
      <c r="AS48" s="106"/>
      <c r="AT48" s="106"/>
      <c r="AU48" s="106"/>
      <c r="AV48" s="106"/>
      <c r="AW48" s="106" t="s">
        <v>125</v>
      </c>
      <c r="AX48" s="106"/>
      <c r="AY48" s="106"/>
      <c r="AZ48" s="106"/>
      <c r="BA48" s="106"/>
      <c r="BB48" s="147"/>
      <c r="BC48" s="144" t="s">
        <v>124</v>
      </c>
      <c r="BD48" s="106"/>
      <c r="BE48" s="106"/>
      <c r="BF48" s="106"/>
      <c r="BG48" s="106"/>
      <c r="BH48" s="106"/>
      <c r="BI48" s="106" t="s">
        <v>125</v>
      </c>
      <c r="BJ48" s="106"/>
      <c r="BK48" s="106"/>
      <c r="BL48" s="106"/>
      <c r="BM48" s="106"/>
      <c r="BN48" s="147"/>
      <c r="BO48" s="158"/>
      <c r="BP48" s="134"/>
      <c r="BQ48" s="134"/>
      <c r="BR48" s="134"/>
      <c r="BS48" s="71"/>
      <c r="BT48" s="71"/>
      <c r="BU48" s="71"/>
      <c r="BV48" s="71"/>
      <c r="BW48" s="71"/>
      <c r="BX48" s="71"/>
      <c r="BY48" s="71"/>
      <c r="BZ48" s="71"/>
    </row>
    <row r="49" spans="1:78" ht="14.25" customHeight="1" x14ac:dyDescent="0.25">
      <c r="A49" s="106"/>
      <c r="B49" s="134"/>
      <c r="C49" s="134"/>
      <c r="D49" s="132"/>
      <c r="E49" s="132"/>
      <c r="F49" s="132"/>
      <c r="G49" s="132"/>
      <c r="H49" s="132"/>
      <c r="I49" s="132"/>
      <c r="J49" s="132"/>
      <c r="K49" s="132"/>
      <c r="L49" s="132"/>
      <c r="M49" s="132"/>
      <c r="N49" s="132"/>
      <c r="O49" s="155"/>
      <c r="P49" s="157"/>
      <c r="Q49" s="132"/>
      <c r="R49" s="132"/>
      <c r="S49" s="132"/>
      <c r="T49" s="132"/>
      <c r="U49" s="155"/>
      <c r="V49" s="156"/>
      <c r="W49" s="132"/>
      <c r="X49" s="132"/>
      <c r="Y49" s="132"/>
      <c r="Z49" s="132"/>
      <c r="AA49" s="132"/>
      <c r="AB49" s="132"/>
      <c r="AC49" s="132"/>
      <c r="AD49" s="132"/>
      <c r="AE49" s="132"/>
      <c r="AF49" s="132"/>
      <c r="AG49" s="132"/>
      <c r="AH49" s="132"/>
      <c r="AI49" s="132"/>
      <c r="AJ49" s="132"/>
      <c r="AK49" s="132"/>
      <c r="AL49" s="132"/>
      <c r="AM49" s="132"/>
      <c r="AN49" s="135"/>
      <c r="AO49" s="135"/>
      <c r="AP49" s="159"/>
      <c r="AQ49" s="144"/>
      <c r="AR49" s="106"/>
      <c r="AS49" s="106"/>
      <c r="AT49" s="106"/>
      <c r="AU49" s="106"/>
      <c r="AV49" s="106"/>
      <c r="AW49" s="106"/>
      <c r="AX49" s="106"/>
      <c r="AY49" s="106"/>
      <c r="AZ49" s="106"/>
      <c r="BA49" s="106"/>
      <c r="BB49" s="147"/>
      <c r="BC49" s="144"/>
      <c r="BD49" s="106"/>
      <c r="BE49" s="106"/>
      <c r="BF49" s="106"/>
      <c r="BG49" s="106"/>
      <c r="BH49" s="106"/>
      <c r="BI49" s="106"/>
      <c r="BJ49" s="106"/>
      <c r="BK49" s="106"/>
      <c r="BL49" s="106"/>
      <c r="BM49" s="106"/>
      <c r="BN49" s="147"/>
      <c r="BO49" s="158"/>
      <c r="BP49" s="134"/>
      <c r="BQ49" s="134"/>
      <c r="BR49" s="134"/>
      <c r="BS49" s="71"/>
      <c r="BT49" s="71"/>
      <c r="BU49" s="71"/>
      <c r="BV49" s="71"/>
      <c r="BW49" s="71"/>
      <c r="BX49" s="71"/>
      <c r="BY49" s="71"/>
      <c r="BZ49" s="71"/>
    </row>
    <row r="50" spans="1:78" ht="14.25" customHeight="1" x14ac:dyDescent="0.25">
      <c r="A50" s="106"/>
      <c r="B50" s="134"/>
      <c r="C50" s="134"/>
      <c r="D50" s="132"/>
      <c r="E50" s="132"/>
      <c r="F50" s="132"/>
      <c r="G50" s="132"/>
      <c r="H50" s="132"/>
      <c r="I50" s="132"/>
      <c r="J50" s="132"/>
      <c r="K50" s="132"/>
      <c r="L50" s="132"/>
      <c r="M50" s="132"/>
      <c r="N50" s="132"/>
      <c r="O50" s="155"/>
      <c r="P50" s="157"/>
      <c r="Q50" s="132"/>
      <c r="R50" s="132"/>
      <c r="S50" s="132"/>
      <c r="T50" s="132"/>
      <c r="U50" s="155"/>
      <c r="V50" s="176" t="s">
        <v>87</v>
      </c>
      <c r="W50" s="135"/>
      <c r="X50" s="135"/>
      <c r="Y50" s="135" t="s">
        <v>115</v>
      </c>
      <c r="Z50" s="135"/>
      <c r="AA50" s="135"/>
      <c r="AB50" s="135" t="s">
        <v>116</v>
      </c>
      <c r="AC50" s="135"/>
      <c r="AD50" s="135"/>
      <c r="AE50" s="135" t="s">
        <v>117</v>
      </c>
      <c r="AF50" s="135"/>
      <c r="AG50" s="135"/>
      <c r="AH50" s="135" t="s">
        <v>118</v>
      </c>
      <c r="AI50" s="135"/>
      <c r="AJ50" s="135"/>
      <c r="AK50" s="135" t="s">
        <v>119</v>
      </c>
      <c r="AL50" s="135"/>
      <c r="AM50" s="135"/>
      <c r="AN50" s="135"/>
      <c r="AO50" s="135"/>
      <c r="AP50" s="159"/>
      <c r="AQ50" s="144">
        <v>1</v>
      </c>
      <c r="AR50" s="106"/>
      <c r="AS50" s="106"/>
      <c r="AT50" s="106">
        <v>2</v>
      </c>
      <c r="AU50" s="106"/>
      <c r="AV50" s="106"/>
      <c r="AW50" s="106">
        <v>3</v>
      </c>
      <c r="AX50" s="106"/>
      <c r="AY50" s="106"/>
      <c r="AZ50" s="106">
        <v>4</v>
      </c>
      <c r="BA50" s="106"/>
      <c r="BB50" s="147"/>
      <c r="BC50" s="144">
        <v>1</v>
      </c>
      <c r="BD50" s="106"/>
      <c r="BE50" s="106"/>
      <c r="BF50" s="106">
        <v>2</v>
      </c>
      <c r="BG50" s="106"/>
      <c r="BH50" s="106"/>
      <c r="BI50" s="106">
        <v>3</v>
      </c>
      <c r="BJ50" s="106"/>
      <c r="BK50" s="106"/>
      <c r="BL50" s="106">
        <v>4</v>
      </c>
      <c r="BM50" s="106"/>
      <c r="BN50" s="147"/>
      <c r="BO50" s="158"/>
      <c r="BP50" s="134"/>
      <c r="BQ50" s="134"/>
      <c r="BR50" s="134"/>
      <c r="BS50" s="71"/>
      <c r="BT50" s="71"/>
      <c r="BU50" s="71"/>
      <c r="BV50" s="71"/>
      <c r="BW50" s="71"/>
      <c r="BX50" s="71"/>
      <c r="BY50" s="71"/>
      <c r="BZ50" s="71"/>
    </row>
    <row r="51" spans="1:78" ht="14.25" customHeight="1" x14ac:dyDescent="0.25">
      <c r="A51" s="106"/>
      <c r="B51" s="134"/>
      <c r="C51" s="134"/>
      <c r="D51" s="132"/>
      <c r="E51" s="132"/>
      <c r="F51" s="132"/>
      <c r="G51" s="132"/>
      <c r="H51" s="132"/>
      <c r="I51" s="132"/>
      <c r="J51" s="132"/>
      <c r="K51" s="132"/>
      <c r="L51" s="132"/>
      <c r="M51" s="132"/>
      <c r="N51" s="132"/>
      <c r="O51" s="155"/>
      <c r="P51" s="157"/>
      <c r="Q51" s="132"/>
      <c r="R51" s="132"/>
      <c r="S51" s="132"/>
      <c r="T51" s="132"/>
      <c r="U51" s="155"/>
      <c r="V51" s="176"/>
      <c r="W51" s="135"/>
      <c r="X51" s="135"/>
      <c r="Y51" s="135"/>
      <c r="Z51" s="135"/>
      <c r="AA51" s="135"/>
      <c r="AB51" s="135"/>
      <c r="AC51" s="135"/>
      <c r="AD51" s="135"/>
      <c r="AE51" s="135"/>
      <c r="AF51" s="135"/>
      <c r="AG51" s="135"/>
      <c r="AH51" s="135"/>
      <c r="AI51" s="135"/>
      <c r="AJ51" s="135"/>
      <c r="AK51" s="135"/>
      <c r="AL51" s="135"/>
      <c r="AM51" s="135"/>
      <c r="AN51" s="135"/>
      <c r="AO51" s="135"/>
      <c r="AP51" s="159"/>
      <c r="AQ51" s="144"/>
      <c r="AR51" s="106"/>
      <c r="AS51" s="106"/>
      <c r="AT51" s="106"/>
      <c r="AU51" s="106"/>
      <c r="AV51" s="106"/>
      <c r="AW51" s="106"/>
      <c r="AX51" s="106"/>
      <c r="AY51" s="106"/>
      <c r="AZ51" s="106"/>
      <c r="BA51" s="106"/>
      <c r="BB51" s="147"/>
      <c r="BC51" s="144"/>
      <c r="BD51" s="106"/>
      <c r="BE51" s="106"/>
      <c r="BF51" s="106"/>
      <c r="BG51" s="106"/>
      <c r="BH51" s="106"/>
      <c r="BI51" s="106"/>
      <c r="BJ51" s="106"/>
      <c r="BK51" s="106"/>
      <c r="BL51" s="106"/>
      <c r="BM51" s="106"/>
      <c r="BN51" s="147"/>
      <c r="BO51" s="158"/>
      <c r="BP51" s="134"/>
      <c r="BQ51" s="134"/>
      <c r="BR51" s="134"/>
      <c r="BS51" s="71"/>
      <c r="BT51" s="71"/>
      <c r="BU51" s="71"/>
      <c r="BV51" s="71"/>
      <c r="BW51" s="71"/>
      <c r="BX51" s="71"/>
      <c r="BY51" s="71"/>
      <c r="BZ51" s="71"/>
    </row>
    <row r="52" spans="1:78" ht="14.25" customHeight="1" x14ac:dyDescent="0.25">
      <c r="A52" s="106"/>
      <c r="B52" s="134"/>
      <c r="C52" s="134"/>
      <c r="D52" s="132"/>
      <c r="E52" s="132"/>
      <c r="F52" s="132"/>
      <c r="G52" s="132"/>
      <c r="H52" s="132"/>
      <c r="I52" s="132"/>
      <c r="J52" s="132"/>
      <c r="K52" s="132"/>
      <c r="L52" s="132"/>
      <c r="M52" s="132"/>
      <c r="N52" s="132"/>
      <c r="O52" s="155"/>
      <c r="P52" s="157"/>
      <c r="Q52" s="132"/>
      <c r="R52" s="132"/>
      <c r="S52" s="132"/>
      <c r="T52" s="132"/>
      <c r="U52" s="155"/>
      <c r="V52" s="176"/>
      <c r="W52" s="135"/>
      <c r="X52" s="135"/>
      <c r="Y52" s="135"/>
      <c r="Z52" s="135"/>
      <c r="AA52" s="135"/>
      <c r="AB52" s="135"/>
      <c r="AC52" s="135"/>
      <c r="AD52" s="135"/>
      <c r="AE52" s="135"/>
      <c r="AF52" s="135"/>
      <c r="AG52" s="135"/>
      <c r="AH52" s="135"/>
      <c r="AI52" s="135"/>
      <c r="AJ52" s="135"/>
      <c r="AK52" s="135"/>
      <c r="AL52" s="135"/>
      <c r="AM52" s="135"/>
      <c r="AN52" s="135"/>
      <c r="AO52" s="135"/>
      <c r="AP52" s="159"/>
      <c r="AQ52" s="157" t="s">
        <v>121</v>
      </c>
      <c r="AR52" s="132"/>
      <c r="AS52" s="132"/>
      <c r="AT52" s="132"/>
      <c r="AU52" s="132"/>
      <c r="AV52" s="132"/>
      <c r="AW52" s="132"/>
      <c r="AX52" s="132"/>
      <c r="AY52" s="132"/>
      <c r="AZ52" s="132"/>
      <c r="BA52" s="132"/>
      <c r="BB52" s="155"/>
      <c r="BC52" s="157" t="s">
        <v>122</v>
      </c>
      <c r="BD52" s="132"/>
      <c r="BE52" s="132"/>
      <c r="BF52" s="132"/>
      <c r="BG52" s="132"/>
      <c r="BH52" s="132"/>
      <c r="BI52" s="132"/>
      <c r="BJ52" s="132"/>
      <c r="BK52" s="132"/>
      <c r="BL52" s="132"/>
      <c r="BM52" s="132"/>
      <c r="BN52" s="155"/>
      <c r="BO52" s="158"/>
      <c r="BP52" s="134"/>
      <c r="BQ52" s="134"/>
      <c r="BR52" s="134"/>
      <c r="BS52" s="71"/>
      <c r="BT52" s="71"/>
      <c r="BU52" s="71"/>
      <c r="BV52" s="71"/>
      <c r="BW52" s="71"/>
      <c r="BX52" s="71"/>
      <c r="BY52" s="71"/>
      <c r="BZ52" s="71"/>
    </row>
    <row r="53" spans="1:78" ht="14.25" customHeight="1" x14ac:dyDescent="0.25">
      <c r="A53" s="106"/>
      <c r="B53" s="134"/>
      <c r="C53" s="134"/>
      <c r="D53" s="132"/>
      <c r="E53" s="132"/>
      <c r="F53" s="132"/>
      <c r="G53" s="132"/>
      <c r="H53" s="132"/>
      <c r="I53" s="132"/>
      <c r="J53" s="132"/>
      <c r="K53" s="132"/>
      <c r="L53" s="132"/>
      <c r="M53" s="132"/>
      <c r="N53" s="132"/>
      <c r="O53" s="155"/>
      <c r="P53" s="157"/>
      <c r="Q53" s="132"/>
      <c r="R53" s="132"/>
      <c r="S53" s="132"/>
      <c r="T53" s="132"/>
      <c r="U53" s="155"/>
      <c r="V53" s="176"/>
      <c r="W53" s="135"/>
      <c r="X53" s="135"/>
      <c r="Y53" s="135"/>
      <c r="Z53" s="135"/>
      <c r="AA53" s="135"/>
      <c r="AB53" s="135"/>
      <c r="AC53" s="135"/>
      <c r="AD53" s="135"/>
      <c r="AE53" s="135"/>
      <c r="AF53" s="135"/>
      <c r="AG53" s="135"/>
      <c r="AH53" s="135"/>
      <c r="AI53" s="135"/>
      <c r="AJ53" s="135"/>
      <c r="AK53" s="135"/>
      <c r="AL53" s="135"/>
      <c r="AM53" s="135"/>
      <c r="AN53" s="135"/>
      <c r="AO53" s="135"/>
      <c r="AP53" s="159"/>
      <c r="AQ53" s="157"/>
      <c r="AR53" s="132"/>
      <c r="AS53" s="132"/>
      <c r="AT53" s="132"/>
      <c r="AU53" s="132"/>
      <c r="AV53" s="132"/>
      <c r="AW53" s="132"/>
      <c r="AX53" s="132"/>
      <c r="AY53" s="132"/>
      <c r="AZ53" s="132"/>
      <c r="BA53" s="132"/>
      <c r="BB53" s="155"/>
      <c r="BC53" s="157"/>
      <c r="BD53" s="132"/>
      <c r="BE53" s="132"/>
      <c r="BF53" s="132"/>
      <c r="BG53" s="132"/>
      <c r="BH53" s="132"/>
      <c r="BI53" s="132"/>
      <c r="BJ53" s="132"/>
      <c r="BK53" s="132"/>
      <c r="BL53" s="132"/>
      <c r="BM53" s="132"/>
      <c r="BN53" s="155"/>
      <c r="BO53" s="158"/>
      <c r="BP53" s="134"/>
      <c r="BQ53" s="134"/>
      <c r="BR53" s="134"/>
      <c r="BS53" s="71"/>
      <c r="BT53" s="71"/>
      <c r="BU53" s="71"/>
      <c r="BV53" s="71"/>
      <c r="BW53" s="71"/>
      <c r="BX53" s="71"/>
      <c r="BY53" s="71"/>
      <c r="BZ53" s="71"/>
    </row>
    <row r="54" spans="1:78" ht="14.25" customHeight="1" x14ac:dyDescent="0.25">
      <c r="A54" s="106"/>
      <c r="B54" s="134"/>
      <c r="C54" s="134"/>
      <c r="D54" s="132"/>
      <c r="E54" s="132"/>
      <c r="F54" s="132"/>
      <c r="G54" s="132"/>
      <c r="H54" s="132"/>
      <c r="I54" s="132"/>
      <c r="J54" s="132"/>
      <c r="K54" s="132"/>
      <c r="L54" s="132"/>
      <c r="M54" s="132"/>
      <c r="N54" s="132"/>
      <c r="O54" s="155"/>
      <c r="P54" s="157"/>
      <c r="Q54" s="132"/>
      <c r="R54" s="132"/>
      <c r="S54" s="132"/>
      <c r="T54" s="132"/>
      <c r="U54" s="155"/>
      <c r="V54" s="176"/>
      <c r="W54" s="135"/>
      <c r="X54" s="135"/>
      <c r="Y54" s="135"/>
      <c r="Z54" s="135"/>
      <c r="AA54" s="135"/>
      <c r="AB54" s="135"/>
      <c r="AC54" s="135"/>
      <c r="AD54" s="135"/>
      <c r="AE54" s="135"/>
      <c r="AF54" s="135"/>
      <c r="AG54" s="135"/>
      <c r="AH54" s="135"/>
      <c r="AI54" s="135"/>
      <c r="AJ54" s="135"/>
      <c r="AK54" s="135"/>
      <c r="AL54" s="135"/>
      <c r="AM54" s="135"/>
      <c r="AN54" s="135"/>
      <c r="AO54" s="135"/>
      <c r="AP54" s="159"/>
      <c r="AQ54" s="144">
        <v>15</v>
      </c>
      <c r="AR54" s="106"/>
      <c r="AS54" s="106"/>
      <c r="AT54" s="106">
        <v>15</v>
      </c>
      <c r="AU54" s="106"/>
      <c r="AV54" s="106"/>
      <c r="AW54" s="106">
        <v>15</v>
      </c>
      <c r="AX54" s="106"/>
      <c r="AY54" s="106"/>
      <c r="AZ54" s="106">
        <v>15</v>
      </c>
      <c r="BA54" s="106"/>
      <c r="BB54" s="147"/>
      <c r="BC54" s="144">
        <v>15</v>
      </c>
      <c r="BD54" s="106"/>
      <c r="BE54" s="106"/>
      <c r="BF54" s="106">
        <v>15</v>
      </c>
      <c r="BG54" s="106"/>
      <c r="BH54" s="106"/>
      <c r="BI54" s="106">
        <v>15</v>
      </c>
      <c r="BJ54" s="106"/>
      <c r="BK54" s="106"/>
      <c r="BL54" s="106">
        <v>15</v>
      </c>
      <c r="BM54" s="106"/>
      <c r="BN54" s="147"/>
      <c r="BO54" s="158"/>
      <c r="BP54" s="134"/>
      <c r="BQ54" s="134"/>
      <c r="BR54" s="134"/>
      <c r="BS54" s="71"/>
      <c r="BT54" s="71"/>
      <c r="BU54" s="71"/>
      <c r="BV54" s="71"/>
      <c r="BW54" s="71"/>
      <c r="BX54" s="71"/>
      <c r="BY54" s="71"/>
      <c r="BZ54" s="71"/>
    </row>
    <row r="55" spans="1:78" ht="14.25" customHeight="1" x14ac:dyDescent="0.25">
      <c r="A55" s="106"/>
      <c r="B55" s="134"/>
      <c r="C55" s="134"/>
      <c r="D55" s="132"/>
      <c r="E55" s="132"/>
      <c r="F55" s="132"/>
      <c r="G55" s="132"/>
      <c r="H55" s="132"/>
      <c r="I55" s="132"/>
      <c r="J55" s="132"/>
      <c r="K55" s="132"/>
      <c r="L55" s="132"/>
      <c r="M55" s="132"/>
      <c r="N55" s="132"/>
      <c r="O55" s="155"/>
      <c r="P55" s="144" t="s">
        <v>110</v>
      </c>
      <c r="Q55" s="106"/>
      <c r="R55" s="106"/>
      <c r="S55" s="106" t="s">
        <v>5</v>
      </c>
      <c r="T55" s="106"/>
      <c r="U55" s="147"/>
      <c r="V55" s="176"/>
      <c r="W55" s="135"/>
      <c r="X55" s="135"/>
      <c r="Y55" s="135"/>
      <c r="Z55" s="135"/>
      <c r="AA55" s="135"/>
      <c r="AB55" s="135"/>
      <c r="AC55" s="135"/>
      <c r="AD55" s="135"/>
      <c r="AE55" s="135"/>
      <c r="AF55" s="135"/>
      <c r="AG55" s="135"/>
      <c r="AH55" s="135"/>
      <c r="AI55" s="135"/>
      <c r="AJ55" s="135"/>
      <c r="AK55" s="135"/>
      <c r="AL55" s="135"/>
      <c r="AM55" s="135"/>
      <c r="AN55" s="135"/>
      <c r="AO55" s="135"/>
      <c r="AP55" s="159"/>
      <c r="AQ55" s="144"/>
      <c r="AR55" s="106"/>
      <c r="AS55" s="106"/>
      <c r="AT55" s="106"/>
      <c r="AU55" s="106"/>
      <c r="AV55" s="106"/>
      <c r="AW55" s="106"/>
      <c r="AX55" s="106"/>
      <c r="AY55" s="106"/>
      <c r="AZ55" s="106"/>
      <c r="BA55" s="106"/>
      <c r="BB55" s="147"/>
      <c r="BC55" s="144"/>
      <c r="BD55" s="106"/>
      <c r="BE55" s="106"/>
      <c r="BF55" s="106"/>
      <c r="BG55" s="106"/>
      <c r="BH55" s="106"/>
      <c r="BI55" s="106"/>
      <c r="BJ55" s="106"/>
      <c r="BK55" s="106"/>
      <c r="BL55" s="106"/>
      <c r="BM55" s="106"/>
      <c r="BN55" s="147"/>
      <c r="BO55" s="158"/>
      <c r="BP55" s="134"/>
      <c r="BQ55" s="134"/>
      <c r="BR55" s="134"/>
      <c r="BS55" s="71"/>
      <c r="BT55" s="71"/>
      <c r="BU55" s="71"/>
      <c r="BV55" s="71"/>
      <c r="BW55" s="71"/>
      <c r="BX55" s="71"/>
      <c r="BY55" s="71"/>
      <c r="BZ55" s="71"/>
    </row>
    <row r="56" spans="1:78" ht="14.25" customHeight="1" x14ac:dyDescent="0.25">
      <c r="A56" s="72">
        <v>1</v>
      </c>
      <c r="B56" s="130"/>
      <c r="C56" s="130"/>
      <c r="D56" s="106">
        <v>2</v>
      </c>
      <c r="E56" s="106"/>
      <c r="F56" s="106"/>
      <c r="G56" s="106"/>
      <c r="H56" s="106"/>
      <c r="I56" s="106"/>
      <c r="J56" s="106"/>
      <c r="K56" s="106"/>
      <c r="L56" s="106"/>
      <c r="M56" s="106"/>
      <c r="N56" s="106"/>
      <c r="O56" s="147"/>
      <c r="P56" s="144">
        <v>3</v>
      </c>
      <c r="Q56" s="106"/>
      <c r="R56" s="106"/>
      <c r="S56" s="106">
        <v>4</v>
      </c>
      <c r="T56" s="106"/>
      <c r="U56" s="147"/>
      <c r="V56" s="263">
        <v>5</v>
      </c>
      <c r="W56" s="168"/>
      <c r="X56" s="152"/>
      <c r="Y56" s="106">
        <v>6</v>
      </c>
      <c r="Z56" s="106"/>
      <c r="AA56" s="106"/>
      <c r="AB56" s="106">
        <v>7</v>
      </c>
      <c r="AC56" s="106"/>
      <c r="AD56" s="106"/>
      <c r="AE56" s="106">
        <v>8</v>
      </c>
      <c r="AF56" s="106"/>
      <c r="AG56" s="106"/>
      <c r="AH56" s="106">
        <v>9</v>
      </c>
      <c r="AI56" s="106"/>
      <c r="AJ56" s="106"/>
      <c r="AK56" s="106">
        <v>10</v>
      </c>
      <c r="AL56" s="106"/>
      <c r="AM56" s="106"/>
      <c r="AN56" s="106">
        <v>11</v>
      </c>
      <c r="AO56" s="106"/>
      <c r="AP56" s="147"/>
      <c r="AQ56" s="144">
        <v>12</v>
      </c>
      <c r="AR56" s="106"/>
      <c r="AS56" s="106"/>
      <c r="AT56" s="106">
        <v>13</v>
      </c>
      <c r="AU56" s="106"/>
      <c r="AV56" s="106"/>
      <c r="AW56" s="106">
        <v>14</v>
      </c>
      <c r="AX56" s="106"/>
      <c r="AY56" s="106"/>
      <c r="AZ56" s="106">
        <v>15</v>
      </c>
      <c r="BA56" s="106"/>
      <c r="BB56" s="147"/>
      <c r="BC56" s="152">
        <v>16</v>
      </c>
      <c r="BD56" s="106"/>
      <c r="BE56" s="106"/>
      <c r="BF56" s="106">
        <v>17</v>
      </c>
      <c r="BG56" s="106"/>
      <c r="BH56" s="106"/>
      <c r="BI56" s="106">
        <v>18</v>
      </c>
      <c r="BJ56" s="106"/>
      <c r="BK56" s="106"/>
      <c r="BL56" s="106">
        <v>19</v>
      </c>
      <c r="BM56" s="106"/>
      <c r="BN56" s="147"/>
      <c r="BO56" s="152">
        <v>20</v>
      </c>
      <c r="BP56" s="106"/>
      <c r="BQ56" s="106"/>
      <c r="BR56" s="106"/>
      <c r="BS56" s="71"/>
      <c r="BT56" s="71"/>
      <c r="BU56" s="71"/>
      <c r="BV56" s="71"/>
      <c r="BW56" s="71"/>
      <c r="BX56" s="71"/>
      <c r="BY56" s="71"/>
      <c r="BZ56" s="71"/>
    </row>
    <row r="57" spans="1:78" ht="14.25" customHeight="1" x14ac:dyDescent="0.25">
      <c r="A57" s="72" t="s">
        <v>6</v>
      </c>
      <c r="B57" s="130"/>
      <c r="C57" s="130"/>
      <c r="D57" s="182" t="s">
        <v>111</v>
      </c>
      <c r="E57" s="182"/>
      <c r="F57" s="182"/>
      <c r="G57" s="182"/>
      <c r="H57" s="182"/>
      <c r="I57" s="182"/>
      <c r="J57" s="182"/>
      <c r="K57" s="182"/>
      <c r="L57" s="182"/>
      <c r="M57" s="182"/>
      <c r="N57" s="182"/>
      <c r="O57" s="183"/>
      <c r="P57" s="144">
        <f>SUM(V57+AN57)</f>
        <v>1470</v>
      </c>
      <c r="Q57" s="106"/>
      <c r="R57" s="106"/>
      <c r="S57" s="131">
        <f>P57/3600*100</f>
        <v>40.833333333333336</v>
      </c>
      <c r="T57" s="131"/>
      <c r="U57" s="151"/>
      <c r="V57" s="152">
        <f t="shared" ref="V57" si="5">SUM(AQ57+AT57+AW57+AZ57)*15</f>
        <v>570</v>
      </c>
      <c r="W57" s="106"/>
      <c r="X57" s="106"/>
      <c r="Y57" s="106">
        <f>SUM(Y58:AA65)</f>
        <v>64</v>
      </c>
      <c r="Z57" s="106"/>
      <c r="AA57" s="106"/>
      <c r="AB57" s="106">
        <f>SUM(AB58:AD65)</f>
        <v>310</v>
      </c>
      <c r="AC57" s="106"/>
      <c r="AD57" s="106"/>
      <c r="AE57" s="106">
        <f>SUM(AE58:AG65)</f>
        <v>180</v>
      </c>
      <c r="AF57" s="106"/>
      <c r="AG57" s="106"/>
      <c r="AH57" s="106">
        <f>SUM(AH58:AJ65)</f>
        <v>16</v>
      </c>
      <c r="AI57" s="106"/>
      <c r="AJ57" s="106"/>
      <c r="AK57" s="106">
        <f>SUM(AK58:AM65)</f>
        <v>0</v>
      </c>
      <c r="AL57" s="106"/>
      <c r="AM57" s="106"/>
      <c r="AN57" s="106">
        <f>SUM(AN58:AP65)</f>
        <v>900</v>
      </c>
      <c r="AO57" s="106"/>
      <c r="AP57" s="147"/>
      <c r="AQ57" s="144">
        <f>SUM(AQ58:AS65)</f>
        <v>16</v>
      </c>
      <c r="AR57" s="106"/>
      <c r="AS57" s="106"/>
      <c r="AT57" s="106">
        <f>SUM(AT58:AV65)</f>
        <v>6</v>
      </c>
      <c r="AU57" s="106"/>
      <c r="AV57" s="106"/>
      <c r="AW57" s="106">
        <f>SUM(AW58:AY65)</f>
        <v>10</v>
      </c>
      <c r="AX57" s="106"/>
      <c r="AY57" s="106"/>
      <c r="AZ57" s="106">
        <f>SUM(AZ58:BB65)</f>
        <v>6</v>
      </c>
      <c r="BA57" s="106"/>
      <c r="BB57" s="147"/>
      <c r="BC57" s="152">
        <f>SUM(BC58:BE65)</f>
        <v>22</v>
      </c>
      <c r="BD57" s="106"/>
      <c r="BE57" s="106"/>
      <c r="BF57" s="106">
        <f>SUM(BF58:BH65)</f>
        <v>7</v>
      </c>
      <c r="BG57" s="106"/>
      <c r="BH57" s="106"/>
      <c r="BI57" s="106">
        <f>SUM(BI58:BK65)</f>
        <v>12</v>
      </c>
      <c r="BJ57" s="106"/>
      <c r="BK57" s="106"/>
      <c r="BL57" s="106">
        <f>SUM(BL58:BN65)</f>
        <v>8</v>
      </c>
      <c r="BM57" s="106"/>
      <c r="BN57" s="147"/>
      <c r="BO57" s="148">
        <f>SUM(P57/30)</f>
        <v>49</v>
      </c>
      <c r="BP57" s="105"/>
      <c r="BQ57" s="105"/>
      <c r="BR57" s="105"/>
      <c r="BS57" s="71"/>
      <c r="BT57" s="71"/>
      <c r="BU57" s="71"/>
      <c r="BV57" s="71"/>
      <c r="BW57" s="71"/>
      <c r="BX57" s="71"/>
      <c r="BY57" s="71"/>
      <c r="BZ57" s="71"/>
    </row>
    <row r="58" spans="1:78" ht="14.25" customHeight="1" x14ac:dyDescent="0.25">
      <c r="A58" s="14" t="s">
        <v>7</v>
      </c>
      <c r="B58" s="104" t="s">
        <v>31</v>
      </c>
      <c r="C58" s="104"/>
      <c r="D58" s="149" t="s">
        <v>142</v>
      </c>
      <c r="E58" s="149"/>
      <c r="F58" s="149"/>
      <c r="G58" s="149"/>
      <c r="H58" s="149"/>
      <c r="I58" s="149"/>
      <c r="J58" s="149"/>
      <c r="K58" s="149"/>
      <c r="L58" s="149"/>
      <c r="M58" s="149"/>
      <c r="N58" s="149"/>
      <c r="O58" s="150"/>
      <c r="P58" s="144">
        <f t="shared" ref="P58:P59" si="6">SUM(V58+AN58)</f>
        <v>90</v>
      </c>
      <c r="Q58" s="106"/>
      <c r="R58" s="106"/>
      <c r="S58" s="131"/>
      <c r="T58" s="131"/>
      <c r="U58" s="151"/>
      <c r="V58" s="152">
        <f t="shared" ref="V58:V59" si="7">SUM(AQ58+AT58+AW58+AZ58)*15</f>
        <v>30</v>
      </c>
      <c r="W58" s="106"/>
      <c r="X58" s="106"/>
      <c r="Y58" s="104">
        <v>16</v>
      </c>
      <c r="Z58" s="104"/>
      <c r="AA58" s="104"/>
      <c r="AB58" s="104">
        <v>14</v>
      </c>
      <c r="AC58" s="104"/>
      <c r="AD58" s="104"/>
      <c r="AE58" s="104"/>
      <c r="AF58" s="104"/>
      <c r="AG58" s="104"/>
      <c r="AH58" s="104"/>
      <c r="AI58" s="104"/>
      <c r="AJ58" s="104"/>
      <c r="AK58" s="104"/>
      <c r="AL58" s="104"/>
      <c r="AM58" s="104"/>
      <c r="AN58" s="104">
        <v>60</v>
      </c>
      <c r="AO58" s="104"/>
      <c r="AP58" s="145"/>
      <c r="AQ58" s="146">
        <v>2</v>
      </c>
      <c r="AR58" s="104"/>
      <c r="AS58" s="104"/>
      <c r="AT58" s="104"/>
      <c r="AU58" s="104"/>
      <c r="AV58" s="104"/>
      <c r="AW58" s="104"/>
      <c r="AX58" s="104"/>
      <c r="AY58" s="104"/>
      <c r="AZ58" s="104"/>
      <c r="BA58" s="104"/>
      <c r="BB58" s="145"/>
      <c r="BC58" s="146">
        <v>3</v>
      </c>
      <c r="BD58" s="104"/>
      <c r="BE58" s="104"/>
      <c r="BF58" s="104"/>
      <c r="BG58" s="104"/>
      <c r="BH58" s="104"/>
      <c r="BI58" s="104"/>
      <c r="BJ58" s="104"/>
      <c r="BK58" s="104"/>
      <c r="BL58" s="104"/>
      <c r="BM58" s="104"/>
      <c r="BN58" s="145"/>
      <c r="BO58" s="148">
        <f t="shared" ref="BO58:BO59" si="8">SUM(P58/30)</f>
        <v>3</v>
      </c>
      <c r="BP58" s="105"/>
      <c r="BQ58" s="105"/>
      <c r="BR58" s="105"/>
      <c r="BS58" s="71">
        <f>SUM(V58/P58)*100</f>
        <v>33.333333333333329</v>
      </c>
      <c r="BT58" s="71">
        <f>SUM(AN58/P58)*100</f>
        <v>66.666666666666657</v>
      </c>
      <c r="BU58" s="71">
        <f>SUM(Y58:AJ58)</f>
        <v>30</v>
      </c>
      <c r="BV58" s="15">
        <f>IF(BU58=V58,1,0)</f>
        <v>1</v>
      </c>
      <c r="BW58" s="15" t="str">
        <f>IF(BV58=1,"тўғри","хато")</f>
        <v>тўғри</v>
      </c>
      <c r="BX58" s="71">
        <f>SUM(BC58:BN58)</f>
        <v>3</v>
      </c>
      <c r="BY58" s="15">
        <f>IF(BX58=BO58,1,0)</f>
        <v>1</v>
      </c>
      <c r="BZ58" s="15" t="str">
        <f>IF(BY58=1,"тўғри","хато")</f>
        <v>тўғри</v>
      </c>
    </row>
    <row r="59" spans="1:78" ht="14.25" customHeight="1" x14ac:dyDescent="0.25">
      <c r="A59" s="14" t="s">
        <v>8</v>
      </c>
      <c r="B59" s="104" t="s">
        <v>213</v>
      </c>
      <c r="C59" s="104"/>
      <c r="D59" s="149" t="s">
        <v>143</v>
      </c>
      <c r="E59" s="149"/>
      <c r="F59" s="149"/>
      <c r="G59" s="149"/>
      <c r="H59" s="149"/>
      <c r="I59" s="149"/>
      <c r="J59" s="149"/>
      <c r="K59" s="149"/>
      <c r="L59" s="149"/>
      <c r="M59" s="149"/>
      <c r="N59" s="149"/>
      <c r="O59" s="150"/>
      <c r="P59" s="144">
        <f t="shared" si="6"/>
        <v>90</v>
      </c>
      <c r="Q59" s="106"/>
      <c r="R59" s="106"/>
      <c r="S59" s="131"/>
      <c r="T59" s="131"/>
      <c r="U59" s="151"/>
      <c r="V59" s="152">
        <f t="shared" si="7"/>
        <v>30</v>
      </c>
      <c r="W59" s="106"/>
      <c r="X59" s="106"/>
      <c r="Y59" s="104">
        <v>16</v>
      </c>
      <c r="Z59" s="104"/>
      <c r="AA59" s="104"/>
      <c r="AB59" s="104">
        <v>14</v>
      </c>
      <c r="AC59" s="104"/>
      <c r="AD59" s="104"/>
      <c r="AE59" s="104"/>
      <c r="AF59" s="104"/>
      <c r="AG59" s="104"/>
      <c r="AH59" s="104"/>
      <c r="AI59" s="104"/>
      <c r="AJ59" s="104"/>
      <c r="AK59" s="104"/>
      <c r="AL59" s="104"/>
      <c r="AM59" s="104"/>
      <c r="AN59" s="104">
        <v>60</v>
      </c>
      <c r="AO59" s="104"/>
      <c r="AP59" s="145"/>
      <c r="AQ59" s="146"/>
      <c r="AR59" s="104"/>
      <c r="AS59" s="104"/>
      <c r="AT59" s="104"/>
      <c r="AU59" s="104"/>
      <c r="AV59" s="104"/>
      <c r="AW59" s="104">
        <v>2</v>
      </c>
      <c r="AX59" s="104"/>
      <c r="AY59" s="104"/>
      <c r="AZ59" s="104"/>
      <c r="BA59" s="104"/>
      <c r="BB59" s="145"/>
      <c r="BC59" s="146"/>
      <c r="BD59" s="104"/>
      <c r="BE59" s="104"/>
      <c r="BF59" s="104"/>
      <c r="BG59" s="104"/>
      <c r="BH59" s="104"/>
      <c r="BI59" s="104">
        <v>3</v>
      </c>
      <c r="BJ59" s="104"/>
      <c r="BK59" s="104"/>
      <c r="BL59" s="104"/>
      <c r="BM59" s="104"/>
      <c r="BN59" s="145"/>
      <c r="BO59" s="148">
        <f t="shared" si="8"/>
        <v>3</v>
      </c>
      <c r="BP59" s="105"/>
      <c r="BQ59" s="105"/>
      <c r="BR59" s="105"/>
      <c r="BS59" s="71">
        <f t="shared" ref="BS59" si="9">SUM(V59/P59)*100</f>
        <v>33.333333333333329</v>
      </c>
      <c r="BT59" s="71">
        <f t="shared" ref="BT59" si="10">SUM(AN59/P59)*100</f>
        <v>66.666666666666657</v>
      </c>
      <c r="BU59" s="71">
        <f t="shared" ref="BU59" si="11">SUM(Y59:AJ59)</f>
        <v>30</v>
      </c>
      <c r="BV59" s="15">
        <f t="shared" ref="BV59" si="12">IF(BU59=V59,1,0)</f>
        <v>1</v>
      </c>
      <c r="BW59" s="15" t="str">
        <f t="shared" ref="BW59" si="13">IF(BV59=1,"тўғри","хато")</f>
        <v>тўғри</v>
      </c>
      <c r="BX59" s="71">
        <f t="shared" ref="BX59" si="14">SUM(BC59:BN59)</f>
        <v>3</v>
      </c>
      <c r="BY59" s="15">
        <f t="shared" ref="BY59" si="15">IF(BX59=BO59,1,0)</f>
        <v>1</v>
      </c>
      <c r="BZ59" s="15" t="str">
        <f t="shared" ref="BZ59" si="16">IF(BY59=1,"тўғри","хато")</f>
        <v>тўғри</v>
      </c>
    </row>
    <row r="60" spans="1:78" ht="14.25" customHeight="1" x14ac:dyDescent="0.25">
      <c r="A60" s="14" t="s">
        <v>23</v>
      </c>
      <c r="B60" s="104" t="s">
        <v>39</v>
      </c>
      <c r="C60" s="104"/>
      <c r="D60" s="149" t="s">
        <v>159</v>
      </c>
      <c r="E60" s="149"/>
      <c r="F60" s="149"/>
      <c r="G60" s="149"/>
      <c r="H60" s="149"/>
      <c r="I60" s="149"/>
      <c r="J60" s="149"/>
      <c r="K60" s="149"/>
      <c r="L60" s="149"/>
      <c r="M60" s="149"/>
      <c r="N60" s="149"/>
      <c r="O60" s="150"/>
      <c r="P60" s="144">
        <f t="shared" ref="P60:P61" si="17">SUM(V60+AN60)</f>
        <v>300</v>
      </c>
      <c r="Q60" s="106"/>
      <c r="R60" s="106"/>
      <c r="S60" s="104"/>
      <c r="T60" s="104"/>
      <c r="U60" s="145"/>
      <c r="V60" s="152">
        <f t="shared" ref="V60:V65" si="18">SUM(AQ60+AT60+AW60+AZ60)*15</f>
        <v>120</v>
      </c>
      <c r="W60" s="106"/>
      <c r="X60" s="106"/>
      <c r="Y60" s="104"/>
      <c r="Z60" s="104"/>
      <c r="AA60" s="104"/>
      <c r="AB60" s="104"/>
      <c r="AC60" s="104"/>
      <c r="AD60" s="104"/>
      <c r="AE60" s="104">
        <v>120</v>
      </c>
      <c r="AF60" s="104"/>
      <c r="AG60" s="104"/>
      <c r="AH60" s="104"/>
      <c r="AI60" s="104"/>
      <c r="AJ60" s="104"/>
      <c r="AK60" s="104"/>
      <c r="AL60" s="104"/>
      <c r="AM60" s="104"/>
      <c r="AN60" s="104">
        <v>180</v>
      </c>
      <c r="AO60" s="104"/>
      <c r="AP60" s="145"/>
      <c r="AQ60" s="146">
        <v>2</v>
      </c>
      <c r="AR60" s="104"/>
      <c r="AS60" s="104"/>
      <c r="AT60" s="104">
        <v>2</v>
      </c>
      <c r="AU60" s="104"/>
      <c r="AV60" s="104"/>
      <c r="AW60" s="104">
        <v>2</v>
      </c>
      <c r="AX60" s="104"/>
      <c r="AY60" s="104"/>
      <c r="AZ60" s="104">
        <v>2</v>
      </c>
      <c r="BA60" s="104"/>
      <c r="BB60" s="145"/>
      <c r="BC60" s="242">
        <v>3</v>
      </c>
      <c r="BD60" s="104"/>
      <c r="BE60" s="104"/>
      <c r="BF60" s="104">
        <v>2</v>
      </c>
      <c r="BG60" s="104"/>
      <c r="BH60" s="104"/>
      <c r="BI60" s="104">
        <v>2</v>
      </c>
      <c r="BJ60" s="104"/>
      <c r="BK60" s="104"/>
      <c r="BL60" s="104">
        <v>3</v>
      </c>
      <c r="BM60" s="104"/>
      <c r="BN60" s="145"/>
      <c r="BO60" s="148">
        <f t="shared" ref="BO60:BO81" si="19">SUM(P60/30)</f>
        <v>10</v>
      </c>
      <c r="BP60" s="105"/>
      <c r="BQ60" s="105"/>
      <c r="BR60" s="105"/>
      <c r="BS60" s="71">
        <f t="shared" ref="BS60:BS81" si="20">SUM(V60/P60)*100</f>
        <v>40</v>
      </c>
      <c r="BT60" s="71">
        <f t="shared" ref="BT60:BT81" si="21">SUM(AN60/P60)*100</f>
        <v>60</v>
      </c>
      <c r="BU60" s="71">
        <f t="shared" ref="BU60:BU63" si="22">SUM(Y60:AJ60)</f>
        <v>120</v>
      </c>
      <c r="BV60" s="15">
        <f t="shared" ref="BV60:BV76" si="23">IF(BU60=V60,1,0)</f>
        <v>1</v>
      </c>
      <c r="BW60" s="15" t="str">
        <f t="shared" ref="BW60:BW76" si="24">IF(BV60=1,"тўғри","хато")</f>
        <v>тўғри</v>
      </c>
      <c r="BX60" s="71">
        <f t="shared" ref="BX60:BX81" si="25">SUM(BC60:BN60)</f>
        <v>10</v>
      </c>
      <c r="BY60" s="15">
        <f t="shared" ref="BY60:BY81" si="26">IF(BX60=BO60,1,0)</f>
        <v>1</v>
      </c>
      <c r="BZ60" s="15" t="str">
        <f t="shared" ref="BZ60:BZ81" si="27">IF(BY60=1,"тўғри","хато")</f>
        <v>тўғри</v>
      </c>
    </row>
    <row r="61" spans="1:78" ht="14.25" customHeight="1" x14ac:dyDescent="0.25">
      <c r="A61" s="14" t="s">
        <v>24</v>
      </c>
      <c r="B61" s="104" t="s">
        <v>229</v>
      </c>
      <c r="C61" s="104"/>
      <c r="D61" s="149" t="s">
        <v>160</v>
      </c>
      <c r="E61" s="149"/>
      <c r="F61" s="149"/>
      <c r="G61" s="149"/>
      <c r="H61" s="149"/>
      <c r="I61" s="149"/>
      <c r="J61" s="149"/>
      <c r="K61" s="149"/>
      <c r="L61" s="149"/>
      <c r="M61" s="149"/>
      <c r="N61" s="149"/>
      <c r="O61" s="150"/>
      <c r="P61" s="144">
        <f t="shared" si="17"/>
        <v>570</v>
      </c>
      <c r="Q61" s="106"/>
      <c r="R61" s="106"/>
      <c r="S61" s="104"/>
      <c r="T61" s="104"/>
      <c r="U61" s="145"/>
      <c r="V61" s="152">
        <f t="shared" si="18"/>
        <v>240</v>
      </c>
      <c r="W61" s="106"/>
      <c r="X61" s="106"/>
      <c r="Y61" s="104"/>
      <c r="Z61" s="104"/>
      <c r="AA61" s="104"/>
      <c r="AB61" s="104">
        <v>240</v>
      </c>
      <c r="AC61" s="104"/>
      <c r="AD61" s="104"/>
      <c r="AE61" s="104"/>
      <c r="AF61" s="104"/>
      <c r="AG61" s="104"/>
      <c r="AH61" s="104"/>
      <c r="AI61" s="104"/>
      <c r="AJ61" s="104"/>
      <c r="AK61" s="104"/>
      <c r="AL61" s="104"/>
      <c r="AM61" s="104"/>
      <c r="AN61" s="104">
        <v>330</v>
      </c>
      <c r="AO61" s="104"/>
      <c r="AP61" s="145"/>
      <c r="AQ61" s="146">
        <v>4</v>
      </c>
      <c r="AR61" s="104"/>
      <c r="AS61" s="104"/>
      <c r="AT61" s="104">
        <v>4</v>
      </c>
      <c r="AU61" s="104"/>
      <c r="AV61" s="104"/>
      <c r="AW61" s="104">
        <v>4</v>
      </c>
      <c r="AX61" s="104"/>
      <c r="AY61" s="104"/>
      <c r="AZ61" s="104">
        <v>4</v>
      </c>
      <c r="BA61" s="104"/>
      <c r="BB61" s="145"/>
      <c r="BC61" s="242">
        <v>5</v>
      </c>
      <c r="BD61" s="104"/>
      <c r="BE61" s="104"/>
      <c r="BF61" s="104">
        <v>5</v>
      </c>
      <c r="BG61" s="104"/>
      <c r="BH61" s="104"/>
      <c r="BI61" s="104">
        <v>4</v>
      </c>
      <c r="BJ61" s="104"/>
      <c r="BK61" s="104"/>
      <c r="BL61" s="104">
        <v>5</v>
      </c>
      <c r="BM61" s="104"/>
      <c r="BN61" s="145"/>
      <c r="BO61" s="148">
        <f t="shared" si="19"/>
        <v>19</v>
      </c>
      <c r="BP61" s="105"/>
      <c r="BQ61" s="105"/>
      <c r="BR61" s="105"/>
      <c r="BS61" s="71">
        <f t="shared" si="20"/>
        <v>42.105263157894733</v>
      </c>
      <c r="BT61" s="71">
        <f t="shared" si="21"/>
        <v>57.894736842105267</v>
      </c>
      <c r="BU61" s="71">
        <f t="shared" si="22"/>
        <v>240</v>
      </c>
      <c r="BV61" s="15">
        <f t="shared" si="23"/>
        <v>1</v>
      </c>
      <c r="BW61" s="15" t="str">
        <f t="shared" si="24"/>
        <v>тўғри</v>
      </c>
      <c r="BX61" s="71">
        <f t="shared" si="25"/>
        <v>19</v>
      </c>
      <c r="BY61" s="15">
        <f t="shared" si="26"/>
        <v>1</v>
      </c>
      <c r="BZ61" s="15" t="str">
        <f t="shared" si="27"/>
        <v>тўғри</v>
      </c>
    </row>
    <row r="62" spans="1:78" ht="14.25" customHeight="1" x14ac:dyDescent="0.25">
      <c r="A62" s="14" t="s">
        <v>25</v>
      </c>
      <c r="B62" s="104" t="s">
        <v>40</v>
      </c>
      <c r="C62" s="104"/>
      <c r="D62" s="149" t="s">
        <v>161</v>
      </c>
      <c r="E62" s="149"/>
      <c r="F62" s="149"/>
      <c r="G62" s="149"/>
      <c r="H62" s="149"/>
      <c r="I62" s="149"/>
      <c r="J62" s="149"/>
      <c r="K62" s="149"/>
      <c r="L62" s="149"/>
      <c r="M62" s="149"/>
      <c r="N62" s="149"/>
      <c r="O62" s="150"/>
      <c r="P62" s="144">
        <f t="shared" ref="P62:P63" si="28">SUM(V62+AN62)</f>
        <v>150</v>
      </c>
      <c r="Q62" s="106"/>
      <c r="R62" s="106"/>
      <c r="S62" s="104"/>
      <c r="T62" s="104"/>
      <c r="U62" s="145"/>
      <c r="V62" s="152">
        <f t="shared" si="18"/>
        <v>60</v>
      </c>
      <c r="W62" s="106"/>
      <c r="X62" s="106"/>
      <c r="Y62" s="104"/>
      <c r="Z62" s="104"/>
      <c r="AA62" s="104"/>
      <c r="AB62" s="104"/>
      <c r="AC62" s="104"/>
      <c r="AD62" s="104"/>
      <c r="AE62" s="104">
        <v>60</v>
      </c>
      <c r="AF62" s="104"/>
      <c r="AG62" s="104"/>
      <c r="AH62" s="104"/>
      <c r="AI62" s="104"/>
      <c r="AJ62" s="104"/>
      <c r="AK62" s="104"/>
      <c r="AL62" s="104"/>
      <c r="AM62" s="104"/>
      <c r="AN62" s="104">
        <v>90</v>
      </c>
      <c r="AO62" s="104"/>
      <c r="AP62" s="145"/>
      <c r="AQ62" s="146">
        <v>4</v>
      </c>
      <c r="AR62" s="104"/>
      <c r="AS62" s="104"/>
      <c r="AT62" s="104"/>
      <c r="AU62" s="104"/>
      <c r="AV62" s="104"/>
      <c r="AW62" s="104"/>
      <c r="AX62" s="104"/>
      <c r="AY62" s="104"/>
      <c r="AZ62" s="104"/>
      <c r="BA62" s="104"/>
      <c r="BB62" s="145"/>
      <c r="BC62" s="242">
        <v>5</v>
      </c>
      <c r="BD62" s="104"/>
      <c r="BE62" s="104"/>
      <c r="BF62" s="104"/>
      <c r="BG62" s="104"/>
      <c r="BH62" s="104"/>
      <c r="BI62" s="104"/>
      <c r="BJ62" s="104"/>
      <c r="BK62" s="104"/>
      <c r="BL62" s="104"/>
      <c r="BM62" s="104"/>
      <c r="BN62" s="145"/>
      <c r="BO62" s="148">
        <f t="shared" si="19"/>
        <v>5</v>
      </c>
      <c r="BP62" s="105"/>
      <c r="BQ62" s="105"/>
      <c r="BR62" s="105"/>
      <c r="BS62" s="71">
        <f t="shared" si="20"/>
        <v>40</v>
      </c>
      <c r="BT62" s="71">
        <f t="shared" si="21"/>
        <v>60</v>
      </c>
      <c r="BU62" s="71">
        <f t="shared" si="22"/>
        <v>60</v>
      </c>
      <c r="BV62" s="15">
        <f t="shared" si="23"/>
        <v>1</v>
      </c>
      <c r="BW62" s="15" t="str">
        <f t="shared" si="24"/>
        <v>тўғри</v>
      </c>
      <c r="BX62" s="71">
        <f t="shared" si="25"/>
        <v>5</v>
      </c>
      <c r="BY62" s="15">
        <f t="shared" si="26"/>
        <v>1</v>
      </c>
      <c r="BZ62" s="15" t="str">
        <f t="shared" si="27"/>
        <v>тўғри</v>
      </c>
    </row>
    <row r="63" spans="1:78" ht="14.25" customHeight="1" x14ac:dyDescent="0.25">
      <c r="A63" s="14" t="s">
        <v>26</v>
      </c>
      <c r="B63" s="104" t="s">
        <v>41</v>
      </c>
      <c r="C63" s="104"/>
      <c r="D63" s="149" t="s">
        <v>155</v>
      </c>
      <c r="E63" s="149"/>
      <c r="F63" s="149"/>
      <c r="G63" s="149"/>
      <c r="H63" s="149"/>
      <c r="I63" s="149"/>
      <c r="J63" s="149"/>
      <c r="K63" s="149"/>
      <c r="L63" s="149"/>
      <c r="M63" s="149"/>
      <c r="N63" s="149"/>
      <c r="O63" s="150"/>
      <c r="P63" s="144">
        <f t="shared" si="28"/>
        <v>90</v>
      </c>
      <c r="Q63" s="106"/>
      <c r="R63" s="106"/>
      <c r="S63" s="127"/>
      <c r="T63" s="127"/>
      <c r="U63" s="208"/>
      <c r="V63" s="152">
        <f t="shared" si="18"/>
        <v>30</v>
      </c>
      <c r="W63" s="106"/>
      <c r="X63" s="106"/>
      <c r="Y63" s="104"/>
      <c r="Z63" s="104"/>
      <c r="AA63" s="104"/>
      <c r="AB63" s="104">
        <v>30</v>
      </c>
      <c r="AC63" s="104"/>
      <c r="AD63" s="104"/>
      <c r="AE63" s="104"/>
      <c r="AF63" s="104"/>
      <c r="AG63" s="104"/>
      <c r="AH63" s="104"/>
      <c r="AI63" s="104"/>
      <c r="AJ63" s="104"/>
      <c r="AK63" s="130"/>
      <c r="AL63" s="130"/>
      <c r="AM63" s="130"/>
      <c r="AN63" s="104">
        <v>60</v>
      </c>
      <c r="AO63" s="104"/>
      <c r="AP63" s="145"/>
      <c r="AQ63" s="146">
        <v>2</v>
      </c>
      <c r="AR63" s="104"/>
      <c r="AS63" s="104"/>
      <c r="AT63" s="104"/>
      <c r="AU63" s="104"/>
      <c r="AV63" s="104"/>
      <c r="AW63" s="104"/>
      <c r="AX63" s="104"/>
      <c r="AY63" s="104"/>
      <c r="AZ63" s="104"/>
      <c r="BA63" s="104"/>
      <c r="BB63" s="145"/>
      <c r="BC63" s="242">
        <v>3</v>
      </c>
      <c r="BD63" s="104"/>
      <c r="BE63" s="104"/>
      <c r="BF63" s="104"/>
      <c r="BG63" s="104"/>
      <c r="BH63" s="104"/>
      <c r="BI63" s="104"/>
      <c r="BJ63" s="104"/>
      <c r="BK63" s="104"/>
      <c r="BL63" s="104"/>
      <c r="BM63" s="104"/>
      <c r="BN63" s="145"/>
      <c r="BO63" s="148">
        <f t="shared" si="19"/>
        <v>3</v>
      </c>
      <c r="BP63" s="105"/>
      <c r="BQ63" s="105"/>
      <c r="BR63" s="105"/>
      <c r="BS63" s="71">
        <f t="shared" si="20"/>
        <v>33.333333333333329</v>
      </c>
      <c r="BT63" s="71">
        <f t="shared" si="21"/>
        <v>66.666666666666657</v>
      </c>
      <c r="BU63" s="71">
        <f t="shared" si="22"/>
        <v>30</v>
      </c>
      <c r="BV63" s="15">
        <f t="shared" si="23"/>
        <v>1</v>
      </c>
      <c r="BW63" s="15" t="str">
        <f t="shared" si="24"/>
        <v>тўғри</v>
      </c>
      <c r="BX63" s="71">
        <f t="shared" si="25"/>
        <v>3</v>
      </c>
      <c r="BY63" s="15">
        <f t="shared" si="26"/>
        <v>1</v>
      </c>
      <c r="BZ63" s="15" t="str">
        <f t="shared" si="27"/>
        <v>тўғри</v>
      </c>
    </row>
    <row r="64" spans="1:78" ht="14.25" customHeight="1" x14ac:dyDescent="0.25">
      <c r="A64" s="14" t="s">
        <v>27</v>
      </c>
      <c r="B64" s="104" t="s">
        <v>47</v>
      </c>
      <c r="C64" s="104"/>
      <c r="D64" s="149" t="s">
        <v>156</v>
      </c>
      <c r="E64" s="149"/>
      <c r="F64" s="149"/>
      <c r="G64" s="149"/>
      <c r="H64" s="149"/>
      <c r="I64" s="149"/>
      <c r="J64" s="149"/>
      <c r="K64" s="149"/>
      <c r="L64" s="149"/>
      <c r="M64" s="149"/>
      <c r="N64" s="149"/>
      <c r="O64" s="150"/>
      <c r="P64" s="144">
        <f>SUM(V64+AN64)</f>
        <v>90</v>
      </c>
      <c r="Q64" s="106"/>
      <c r="R64" s="106"/>
      <c r="S64" s="131"/>
      <c r="T64" s="131"/>
      <c r="U64" s="151"/>
      <c r="V64" s="152">
        <f t="shared" si="18"/>
        <v>30</v>
      </c>
      <c r="W64" s="106"/>
      <c r="X64" s="106"/>
      <c r="Y64" s="104">
        <v>16</v>
      </c>
      <c r="Z64" s="104"/>
      <c r="AA64" s="104"/>
      <c r="AB64" s="104">
        <v>6</v>
      </c>
      <c r="AC64" s="104"/>
      <c r="AD64" s="104"/>
      <c r="AE64" s="104"/>
      <c r="AF64" s="104"/>
      <c r="AG64" s="104"/>
      <c r="AH64" s="104">
        <v>8</v>
      </c>
      <c r="AI64" s="104"/>
      <c r="AJ64" s="104"/>
      <c r="AK64" s="106"/>
      <c r="AL64" s="106"/>
      <c r="AM64" s="106"/>
      <c r="AN64" s="104">
        <v>60</v>
      </c>
      <c r="AO64" s="104"/>
      <c r="AP64" s="145"/>
      <c r="AQ64" s="146">
        <v>2</v>
      </c>
      <c r="AR64" s="104"/>
      <c r="AS64" s="104"/>
      <c r="AT64" s="104"/>
      <c r="AU64" s="104"/>
      <c r="AV64" s="104"/>
      <c r="AW64" s="104"/>
      <c r="AX64" s="104"/>
      <c r="AY64" s="104"/>
      <c r="AZ64" s="104"/>
      <c r="BA64" s="104"/>
      <c r="BB64" s="145"/>
      <c r="BC64" s="242">
        <v>3</v>
      </c>
      <c r="BD64" s="104"/>
      <c r="BE64" s="104"/>
      <c r="BF64" s="104"/>
      <c r="BG64" s="104"/>
      <c r="BH64" s="104"/>
      <c r="BI64" s="104"/>
      <c r="BJ64" s="104"/>
      <c r="BK64" s="104"/>
      <c r="BL64" s="104"/>
      <c r="BM64" s="104"/>
      <c r="BN64" s="145"/>
      <c r="BO64" s="148">
        <f t="shared" si="19"/>
        <v>3</v>
      </c>
      <c r="BP64" s="105"/>
      <c r="BQ64" s="105"/>
      <c r="BR64" s="105"/>
      <c r="BS64" s="71">
        <f t="shared" ref="BS64:BS80" si="29">SUM(V64/P64)*100</f>
        <v>33.333333333333329</v>
      </c>
      <c r="BT64" s="71">
        <f t="shared" ref="BT64:BT80" si="30">SUM(AN64/P64)*100</f>
        <v>66.666666666666657</v>
      </c>
      <c r="BU64" s="71">
        <f t="shared" ref="BU64:BU76" si="31">SUM(Y64:AJ64)</f>
        <v>30</v>
      </c>
      <c r="BV64" s="15">
        <f t="shared" si="23"/>
        <v>1</v>
      </c>
      <c r="BW64" s="15" t="str">
        <f t="shared" si="24"/>
        <v>тўғри</v>
      </c>
      <c r="BX64" s="71">
        <f t="shared" si="25"/>
        <v>3</v>
      </c>
      <c r="BY64" s="15">
        <f t="shared" si="26"/>
        <v>1</v>
      </c>
      <c r="BZ64" s="15" t="str">
        <f t="shared" si="27"/>
        <v>тўғри</v>
      </c>
    </row>
    <row r="65" spans="1:78" ht="14.25" customHeight="1" x14ac:dyDescent="0.25">
      <c r="A65" s="14" t="s">
        <v>28</v>
      </c>
      <c r="B65" s="104" t="s">
        <v>223</v>
      </c>
      <c r="C65" s="104"/>
      <c r="D65" s="149" t="s">
        <v>157</v>
      </c>
      <c r="E65" s="149"/>
      <c r="F65" s="149"/>
      <c r="G65" s="149"/>
      <c r="H65" s="149"/>
      <c r="I65" s="149"/>
      <c r="J65" s="149"/>
      <c r="K65" s="149"/>
      <c r="L65" s="149"/>
      <c r="M65" s="149"/>
      <c r="N65" s="149"/>
      <c r="O65" s="150"/>
      <c r="P65" s="144">
        <f>SUM(V65+AN65)</f>
        <v>90</v>
      </c>
      <c r="Q65" s="106"/>
      <c r="R65" s="106"/>
      <c r="S65" s="131"/>
      <c r="T65" s="131"/>
      <c r="U65" s="151"/>
      <c r="V65" s="152">
        <f t="shared" si="18"/>
        <v>30</v>
      </c>
      <c r="W65" s="106"/>
      <c r="X65" s="106"/>
      <c r="Y65" s="104">
        <v>16</v>
      </c>
      <c r="Z65" s="104"/>
      <c r="AA65" s="104"/>
      <c r="AB65" s="104">
        <v>6</v>
      </c>
      <c r="AC65" s="104"/>
      <c r="AD65" s="104"/>
      <c r="AE65" s="104"/>
      <c r="AF65" s="104"/>
      <c r="AG65" s="104"/>
      <c r="AH65" s="104">
        <v>8</v>
      </c>
      <c r="AI65" s="104"/>
      <c r="AJ65" s="104"/>
      <c r="AK65" s="106"/>
      <c r="AL65" s="106"/>
      <c r="AM65" s="106"/>
      <c r="AN65" s="104">
        <v>60</v>
      </c>
      <c r="AO65" s="104"/>
      <c r="AP65" s="145"/>
      <c r="AQ65" s="146"/>
      <c r="AR65" s="104"/>
      <c r="AS65" s="104"/>
      <c r="AT65" s="104"/>
      <c r="AU65" s="104"/>
      <c r="AV65" s="104"/>
      <c r="AW65" s="104">
        <v>2</v>
      </c>
      <c r="AX65" s="104"/>
      <c r="AY65" s="104"/>
      <c r="AZ65" s="104"/>
      <c r="BA65" s="104"/>
      <c r="BB65" s="145"/>
      <c r="BC65" s="242"/>
      <c r="BD65" s="104"/>
      <c r="BE65" s="104"/>
      <c r="BF65" s="104"/>
      <c r="BG65" s="104"/>
      <c r="BH65" s="104"/>
      <c r="BI65" s="104">
        <v>3</v>
      </c>
      <c r="BJ65" s="104"/>
      <c r="BK65" s="104"/>
      <c r="BL65" s="104"/>
      <c r="BM65" s="104"/>
      <c r="BN65" s="145"/>
      <c r="BO65" s="148">
        <f t="shared" si="19"/>
        <v>3</v>
      </c>
      <c r="BP65" s="105"/>
      <c r="BQ65" s="105"/>
      <c r="BR65" s="105"/>
      <c r="BS65" s="71">
        <f t="shared" si="29"/>
        <v>33.333333333333329</v>
      </c>
      <c r="BT65" s="71">
        <f t="shared" si="30"/>
        <v>66.666666666666657</v>
      </c>
      <c r="BU65" s="71">
        <f t="shared" si="31"/>
        <v>30</v>
      </c>
      <c r="BV65" s="15">
        <f t="shared" si="23"/>
        <v>1</v>
      </c>
      <c r="BW65" s="15" t="str">
        <f t="shared" si="24"/>
        <v>тўғри</v>
      </c>
      <c r="BX65" s="71">
        <f t="shared" si="25"/>
        <v>3</v>
      </c>
      <c r="BY65" s="15">
        <f t="shared" si="26"/>
        <v>1</v>
      </c>
      <c r="BZ65" s="15" t="str">
        <f t="shared" si="27"/>
        <v>тўғри</v>
      </c>
    </row>
    <row r="66" spans="1:78" ht="14.25" customHeight="1" x14ac:dyDescent="0.25">
      <c r="A66" s="72" t="s">
        <v>9</v>
      </c>
      <c r="B66" s="104"/>
      <c r="C66" s="104"/>
      <c r="D66" s="182" t="s">
        <v>112</v>
      </c>
      <c r="E66" s="182"/>
      <c r="F66" s="182"/>
      <c r="G66" s="182"/>
      <c r="H66" s="182"/>
      <c r="I66" s="182"/>
      <c r="J66" s="182"/>
      <c r="K66" s="182"/>
      <c r="L66" s="182"/>
      <c r="M66" s="182"/>
      <c r="N66" s="182"/>
      <c r="O66" s="183"/>
      <c r="P66" s="144">
        <f t="shared" ref="P66" si="32">SUM(V66+AN66)</f>
        <v>330</v>
      </c>
      <c r="Q66" s="106"/>
      <c r="R66" s="106"/>
      <c r="S66" s="131">
        <f>P66/3600*100</f>
        <v>9.1666666666666661</v>
      </c>
      <c r="T66" s="131"/>
      <c r="U66" s="151"/>
      <c r="V66" s="152">
        <f t="shared" ref="V66:V67" si="33">SUM(AQ66+AT66+AW66+AZ66)*15</f>
        <v>120</v>
      </c>
      <c r="W66" s="106"/>
      <c r="X66" s="106"/>
      <c r="Y66" s="106">
        <f>SUM(Y67:AA75)</f>
        <v>10</v>
      </c>
      <c r="Z66" s="106"/>
      <c r="AA66" s="106"/>
      <c r="AB66" s="106">
        <f>SUM(AB67:AD75)</f>
        <v>100</v>
      </c>
      <c r="AC66" s="106"/>
      <c r="AD66" s="106"/>
      <c r="AE66" s="106">
        <f>SUM(AE67:AG75)</f>
        <v>0</v>
      </c>
      <c r="AF66" s="106"/>
      <c r="AG66" s="106"/>
      <c r="AH66" s="106">
        <f>SUM(AH67:AJ75)</f>
        <v>10</v>
      </c>
      <c r="AI66" s="106"/>
      <c r="AJ66" s="106"/>
      <c r="AK66" s="106">
        <f>SUM(AK67:AM75)</f>
        <v>0</v>
      </c>
      <c r="AL66" s="106"/>
      <c r="AM66" s="106"/>
      <c r="AN66" s="106">
        <f>SUM(AN67:AP75)</f>
        <v>210</v>
      </c>
      <c r="AO66" s="106"/>
      <c r="AP66" s="147"/>
      <c r="AQ66" s="144">
        <f>SUM(AQ67:AS75)</f>
        <v>2</v>
      </c>
      <c r="AR66" s="106"/>
      <c r="AS66" s="106"/>
      <c r="AT66" s="106">
        <f>SUM(AT67:AV75)</f>
        <v>4</v>
      </c>
      <c r="AU66" s="106"/>
      <c r="AV66" s="106"/>
      <c r="AW66" s="106">
        <f>SUM(AW67:AY75)</f>
        <v>2</v>
      </c>
      <c r="AX66" s="106"/>
      <c r="AY66" s="106"/>
      <c r="AZ66" s="106">
        <f>SUM(AZ67:BB75)</f>
        <v>0</v>
      </c>
      <c r="BA66" s="106"/>
      <c r="BB66" s="147"/>
      <c r="BC66" s="144">
        <f>SUM(BC67:BE75)</f>
        <v>2</v>
      </c>
      <c r="BD66" s="106"/>
      <c r="BE66" s="106"/>
      <c r="BF66" s="106">
        <f>SUM(BF67:BH75)</f>
        <v>6</v>
      </c>
      <c r="BG66" s="106"/>
      <c r="BH66" s="106"/>
      <c r="BI66" s="106">
        <f>SUM(BI67:BK75)</f>
        <v>3</v>
      </c>
      <c r="BJ66" s="106"/>
      <c r="BK66" s="106"/>
      <c r="BL66" s="106">
        <f>SUM(BL67:BN75)</f>
        <v>0</v>
      </c>
      <c r="BM66" s="106"/>
      <c r="BN66" s="147"/>
      <c r="BO66" s="148">
        <f t="shared" si="19"/>
        <v>11</v>
      </c>
      <c r="BP66" s="105"/>
      <c r="BQ66" s="105"/>
      <c r="BR66" s="105"/>
      <c r="BS66" s="71">
        <f t="shared" si="29"/>
        <v>36.363636363636367</v>
      </c>
      <c r="BT66" s="71">
        <f t="shared" si="30"/>
        <v>63.636363636363633</v>
      </c>
      <c r="BU66" s="71">
        <f t="shared" si="31"/>
        <v>120</v>
      </c>
      <c r="BV66" s="15">
        <f t="shared" si="23"/>
        <v>1</v>
      </c>
      <c r="BW66" s="15" t="str">
        <f t="shared" si="24"/>
        <v>тўғри</v>
      </c>
      <c r="BX66" s="71">
        <f t="shared" si="25"/>
        <v>11</v>
      </c>
      <c r="BY66" s="15">
        <f t="shared" si="26"/>
        <v>1</v>
      </c>
      <c r="BZ66" s="15" t="str">
        <f t="shared" si="27"/>
        <v>тўғри</v>
      </c>
    </row>
    <row r="67" spans="1:78" ht="14.25" customHeight="1" x14ac:dyDescent="0.25">
      <c r="A67" s="85" t="s">
        <v>10</v>
      </c>
      <c r="B67" s="104"/>
      <c r="C67" s="104"/>
      <c r="D67" s="178" t="s">
        <v>130</v>
      </c>
      <c r="E67" s="178"/>
      <c r="F67" s="178"/>
      <c r="G67" s="178"/>
      <c r="H67" s="178"/>
      <c r="I67" s="178"/>
      <c r="J67" s="178"/>
      <c r="K67" s="178"/>
      <c r="L67" s="178"/>
      <c r="M67" s="178"/>
      <c r="N67" s="178"/>
      <c r="O67" s="179"/>
      <c r="P67" s="144">
        <f>SUM(V67+AN67)</f>
        <v>90</v>
      </c>
      <c r="Q67" s="106"/>
      <c r="R67" s="106"/>
      <c r="S67" s="131"/>
      <c r="T67" s="131"/>
      <c r="U67" s="151"/>
      <c r="V67" s="152">
        <f t="shared" si="33"/>
        <v>30</v>
      </c>
      <c r="W67" s="106"/>
      <c r="X67" s="106"/>
      <c r="Y67" s="104"/>
      <c r="Z67" s="104"/>
      <c r="AA67" s="104"/>
      <c r="AB67" s="104">
        <v>30</v>
      </c>
      <c r="AC67" s="104"/>
      <c r="AD67" s="104"/>
      <c r="AE67" s="104"/>
      <c r="AF67" s="104"/>
      <c r="AG67" s="104"/>
      <c r="AH67" s="104"/>
      <c r="AI67" s="104"/>
      <c r="AJ67" s="104"/>
      <c r="AK67" s="104"/>
      <c r="AL67" s="104"/>
      <c r="AM67" s="104"/>
      <c r="AN67" s="104">
        <v>60</v>
      </c>
      <c r="AO67" s="104"/>
      <c r="AP67" s="145"/>
      <c r="AQ67" s="146"/>
      <c r="AR67" s="104"/>
      <c r="AS67" s="104"/>
      <c r="AT67" s="104">
        <v>2</v>
      </c>
      <c r="AU67" s="104"/>
      <c r="AV67" s="104"/>
      <c r="AW67" s="104"/>
      <c r="AX67" s="104"/>
      <c r="AY67" s="104"/>
      <c r="AZ67" s="104"/>
      <c r="BA67" s="104"/>
      <c r="BB67" s="145"/>
      <c r="BC67" s="146"/>
      <c r="BD67" s="104"/>
      <c r="BE67" s="104"/>
      <c r="BF67" s="104">
        <v>3</v>
      </c>
      <c r="BG67" s="104"/>
      <c r="BH67" s="104"/>
      <c r="BI67" s="104"/>
      <c r="BJ67" s="104"/>
      <c r="BK67" s="104"/>
      <c r="BL67" s="104"/>
      <c r="BM67" s="104"/>
      <c r="BN67" s="145"/>
      <c r="BO67" s="148">
        <f t="shared" si="19"/>
        <v>3</v>
      </c>
      <c r="BP67" s="105"/>
      <c r="BQ67" s="105"/>
      <c r="BR67" s="105"/>
      <c r="BS67" s="71">
        <f t="shared" si="29"/>
        <v>33.333333333333329</v>
      </c>
      <c r="BT67" s="71">
        <f t="shared" si="30"/>
        <v>66.666666666666657</v>
      </c>
      <c r="BU67" s="71">
        <f t="shared" si="31"/>
        <v>30</v>
      </c>
      <c r="BV67" s="15">
        <f t="shared" si="23"/>
        <v>1</v>
      </c>
      <c r="BW67" s="15" t="str">
        <f t="shared" si="24"/>
        <v>тўғри</v>
      </c>
      <c r="BX67" s="71">
        <f t="shared" si="25"/>
        <v>3</v>
      </c>
      <c r="BY67" s="15">
        <f t="shared" si="26"/>
        <v>1</v>
      </c>
      <c r="BZ67" s="15" t="str">
        <f t="shared" si="27"/>
        <v>тўғри</v>
      </c>
    </row>
    <row r="68" spans="1:78" ht="14.25" customHeight="1" x14ac:dyDescent="0.25">
      <c r="A68" s="71">
        <v>1</v>
      </c>
      <c r="B68" s="104" t="s">
        <v>214</v>
      </c>
      <c r="C68" s="104"/>
      <c r="D68" s="149" t="s">
        <v>136</v>
      </c>
      <c r="E68" s="149"/>
      <c r="F68" s="149"/>
      <c r="G68" s="149"/>
      <c r="H68" s="149"/>
      <c r="I68" s="149"/>
      <c r="J68" s="149"/>
      <c r="K68" s="149"/>
      <c r="L68" s="149"/>
      <c r="M68" s="149"/>
      <c r="N68" s="149"/>
      <c r="O68" s="150"/>
      <c r="P68" s="144"/>
      <c r="Q68" s="106"/>
      <c r="R68" s="106"/>
      <c r="S68" s="131"/>
      <c r="T68" s="131"/>
      <c r="U68" s="151"/>
      <c r="V68" s="152"/>
      <c r="W68" s="106"/>
      <c r="X68" s="106"/>
      <c r="Y68" s="104"/>
      <c r="Z68" s="104"/>
      <c r="AA68" s="104"/>
      <c r="AB68" s="104"/>
      <c r="AC68" s="104"/>
      <c r="AD68" s="104"/>
      <c r="AE68" s="104"/>
      <c r="AF68" s="104"/>
      <c r="AG68" s="104"/>
      <c r="AH68" s="104"/>
      <c r="AI68" s="104"/>
      <c r="AJ68" s="104"/>
      <c r="AK68" s="104"/>
      <c r="AL68" s="104"/>
      <c r="AM68" s="104"/>
      <c r="AN68" s="104"/>
      <c r="AO68" s="104"/>
      <c r="AP68" s="145"/>
      <c r="AQ68" s="146"/>
      <c r="AR68" s="104"/>
      <c r="AS68" s="104"/>
      <c r="AT68" s="104"/>
      <c r="AU68" s="104"/>
      <c r="AV68" s="104"/>
      <c r="AW68" s="104"/>
      <c r="AX68" s="104"/>
      <c r="AY68" s="104"/>
      <c r="AZ68" s="104"/>
      <c r="BA68" s="104"/>
      <c r="BB68" s="145"/>
      <c r="BC68" s="146"/>
      <c r="BD68" s="104"/>
      <c r="BE68" s="104"/>
      <c r="BF68" s="104"/>
      <c r="BG68" s="104"/>
      <c r="BH68" s="104"/>
      <c r="BI68" s="104"/>
      <c r="BJ68" s="104"/>
      <c r="BK68" s="104"/>
      <c r="BL68" s="104"/>
      <c r="BM68" s="104"/>
      <c r="BN68" s="145"/>
      <c r="BO68" s="148">
        <f t="shared" si="19"/>
        <v>0</v>
      </c>
      <c r="BP68" s="105"/>
      <c r="BQ68" s="105"/>
      <c r="BR68" s="105"/>
      <c r="BS68" s="71" t="e">
        <f t="shared" si="29"/>
        <v>#DIV/0!</v>
      </c>
      <c r="BT68" s="71" t="e">
        <f t="shared" si="30"/>
        <v>#DIV/0!</v>
      </c>
      <c r="BU68" s="71">
        <f t="shared" si="31"/>
        <v>0</v>
      </c>
      <c r="BV68" s="15">
        <f t="shared" si="23"/>
        <v>1</v>
      </c>
      <c r="BW68" s="15" t="str">
        <f t="shared" si="24"/>
        <v>тўғри</v>
      </c>
      <c r="BX68" s="71">
        <f t="shared" si="25"/>
        <v>0</v>
      </c>
      <c r="BY68" s="15">
        <f t="shared" si="26"/>
        <v>1</v>
      </c>
      <c r="BZ68" s="15" t="str">
        <f t="shared" si="27"/>
        <v>тўғри</v>
      </c>
    </row>
    <row r="69" spans="1:78" ht="14.25" customHeight="1" x14ac:dyDescent="0.25">
      <c r="A69" s="71">
        <v>2</v>
      </c>
      <c r="B69" s="104" t="s">
        <v>215</v>
      </c>
      <c r="C69" s="104"/>
      <c r="D69" s="149" t="s">
        <v>137</v>
      </c>
      <c r="E69" s="149"/>
      <c r="F69" s="149"/>
      <c r="G69" s="149"/>
      <c r="H69" s="149"/>
      <c r="I69" s="149"/>
      <c r="J69" s="149"/>
      <c r="K69" s="149"/>
      <c r="L69" s="149"/>
      <c r="M69" s="149"/>
      <c r="N69" s="149"/>
      <c r="O69" s="150"/>
      <c r="P69" s="144"/>
      <c r="Q69" s="106"/>
      <c r="R69" s="106"/>
      <c r="S69" s="131"/>
      <c r="T69" s="131"/>
      <c r="U69" s="151"/>
      <c r="V69" s="152"/>
      <c r="W69" s="106"/>
      <c r="X69" s="106"/>
      <c r="Y69" s="104"/>
      <c r="Z69" s="104"/>
      <c r="AA69" s="104"/>
      <c r="AB69" s="104"/>
      <c r="AC69" s="104"/>
      <c r="AD69" s="104"/>
      <c r="AE69" s="104"/>
      <c r="AF69" s="104"/>
      <c r="AG69" s="104"/>
      <c r="AH69" s="104"/>
      <c r="AI69" s="104"/>
      <c r="AJ69" s="104"/>
      <c r="AK69" s="104"/>
      <c r="AL69" s="104"/>
      <c r="AM69" s="104"/>
      <c r="AN69" s="104"/>
      <c r="AO69" s="104"/>
      <c r="AP69" s="145"/>
      <c r="AQ69" s="146"/>
      <c r="AR69" s="104"/>
      <c r="AS69" s="104"/>
      <c r="AT69" s="104"/>
      <c r="AU69" s="104"/>
      <c r="AV69" s="104"/>
      <c r="AW69" s="104"/>
      <c r="AX69" s="104"/>
      <c r="AY69" s="104"/>
      <c r="AZ69" s="104"/>
      <c r="BA69" s="104"/>
      <c r="BB69" s="145"/>
      <c r="BC69" s="146"/>
      <c r="BD69" s="104"/>
      <c r="BE69" s="104"/>
      <c r="BF69" s="104"/>
      <c r="BG69" s="104"/>
      <c r="BH69" s="104"/>
      <c r="BI69" s="104"/>
      <c r="BJ69" s="104"/>
      <c r="BK69" s="104"/>
      <c r="BL69" s="104"/>
      <c r="BM69" s="104"/>
      <c r="BN69" s="145"/>
      <c r="BO69" s="148">
        <f t="shared" si="19"/>
        <v>0</v>
      </c>
      <c r="BP69" s="105"/>
      <c r="BQ69" s="105"/>
      <c r="BR69" s="105"/>
      <c r="BS69" s="71" t="e">
        <f t="shared" si="29"/>
        <v>#DIV/0!</v>
      </c>
      <c r="BT69" s="71" t="e">
        <f t="shared" si="30"/>
        <v>#DIV/0!</v>
      </c>
      <c r="BU69" s="71">
        <f t="shared" si="31"/>
        <v>0</v>
      </c>
      <c r="BV69" s="15">
        <f t="shared" si="23"/>
        <v>1</v>
      </c>
      <c r="BW69" s="15" t="str">
        <f t="shared" si="24"/>
        <v>тўғри</v>
      </c>
      <c r="BX69" s="71">
        <f t="shared" si="25"/>
        <v>0</v>
      </c>
      <c r="BY69" s="15">
        <f t="shared" si="26"/>
        <v>1</v>
      </c>
      <c r="BZ69" s="15" t="str">
        <f t="shared" si="27"/>
        <v>тўғри</v>
      </c>
    </row>
    <row r="70" spans="1:78" ht="14.25" customHeight="1" x14ac:dyDescent="0.25">
      <c r="A70" s="85" t="s">
        <v>11</v>
      </c>
      <c r="B70" s="104"/>
      <c r="C70" s="104"/>
      <c r="D70" s="178" t="s">
        <v>130</v>
      </c>
      <c r="E70" s="178"/>
      <c r="F70" s="178"/>
      <c r="G70" s="178"/>
      <c r="H70" s="178"/>
      <c r="I70" s="178"/>
      <c r="J70" s="178"/>
      <c r="K70" s="178"/>
      <c r="L70" s="178"/>
      <c r="M70" s="178"/>
      <c r="N70" s="178"/>
      <c r="O70" s="179"/>
      <c r="P70" s="144">
        <f t="shared" ref="P70" si="34">SUM(V70+AN70)</f>
        <v>150</v>
      </c>
      <c r="Q70" s="106"/>
      <c r="R70" s="106"/>
      <c r="S70" s="131"/>
      <c r="T70" s="131"/>
      <c r="U70" s="151"/>
      <c r="V70" s="152">
        <f t="shared" ref="V70" si="35">SUM(AQ70+AT70+AW70+AZ70)*15</f>
        <v>60</v>
      </c>
      <c r="W70" s="106"/>
      <c r="X70" s="106"/>
      <c r="Y70" s="104"/>
      <c r="Z70" s="104"/>
      <c r="AA70" s="104"/>
      <c r="AB70" s="104">
        <v>60</v>
      </c>
      <c r="AC70" s="104"/>
      <c r="AD70" s="104"/>
      <c r="AE70" s="104"/>
      <c r="AF70" s="104"/>
      <c r="AG70" s="104"/>
      <c r="AH70" s="104"/>
      <c r="AI70" s="104"/>
      <c r="AJ70" s="104"/>
      <c r="AK70" s="106"/>
      <c r="AL70" s="106"/>
      <c r="AM70" s="106"/>
      <c r="AN70" s="104">
        <v>90</v>
      </c>
      <c r="AO70" s="104"/>
      <c r="AP70" s="145"/>
      <c r="AQ70" s="146">
        <v>2</v>
      </c>
      <c r="AR70" s="104"/>
      <c r="AS70" s="104"/>
      <c r="AT70" s="104">
        <v>2</v>
      </c>
      <c r="AU70" s="104"/>
      <c r="AV70" s="104"/>
      <c r="AW70" s="104"/>
      <c r="AX70" s="104"/>
      <c r="AY70" s="104"/>
      <c r="AZ70" s="104"/>
      <c r="BA70" s="104"/>
      <c r="BB70" s="145"/>
      <c r="BC70" s="146">
        <v>2</v>
      </c>
      <c r="BD70" s="104"/>
      <c r="BE70" s="104"/>
      <c r="BF70" s="104">
        <v>3</v>
      </c>
      <c r="BG70" s="104"/>
      <c r="BH70" s="104"/>
      <c r="BI70" s="104"/>
      <c r="BJ70" s="104"/>
      <c r="BK70" s="104"/>
      <c r="BL70" s="104"/>
      <c r="BM70" s="104"/>
      <c r="BN70" s="145"/>
      <c r="BO70" s="148">
        <f t="shared" si="19"/>
        <v>5</v>
      </c>
      <c r="BP70" s="105"/>
      <c r="BQ70" s="105"/>
      <c r="BR70" s="105"/>
      <c r="BS70" s="71">
        <f t="shared" si="29"/>
        <v>40</v>
      </c>
      <c r="BT70" s="71">
        <f t="shared" si="30"/>
        <v>60</v>
      </c>
      <c r="BU70" s="71">
        <f t="shared" si="31"/>
        <v>60</v>
      </c>
      <c r="BV70" s="15">
        <f t="shared" si="23"/>
        <v>1</v>
      </c>
      <c r="BW70" s="15" t="str">
        <f t="shared" si="24"/>
        <v>тўғри</v>
      </c>
      <c r="BX70" s="71">
        <f t="shared" si="25"/>
        <v>5</v>
      </c>
      <c r="BY70" s="15">
        <f t="shared" si="26"/>
        <v>1</v>
      </c>
      <c r="BZ70" s="15" t="str">
        <f t="shared" si="27"/>
        <v>тўғри</v>
      </c>
    </row>
    <row r="71" spans="1:78" ht="28.5" customHeight="1" x14ac:dyDescent="0.25">
      <c r="A71" s="71">
        <v>1</v>
      </c>
      <c r="B71" s="104" t="s">
        <v>216</v>
      </c>
      <c r="C71" s="104"/>
      <c r="D71" s="180" t="s">
        <v>138</v>
      </c>
      <c r="E71" s="180"/>
      <c r="F71" s="180"/>
      <c r="G71" s="180"/>
      <c r="H71" s="180"/>
      <c r="I71" s="180"/>
      <c r="J71" s="180"/>
      <c r="K71" s="180"/>
      <c r="L71" s="180"/>
      <c r="M71" s="180"/>
      <c r="N71" s="180"/>
      <c r="O71" s="181"/>
      <c r="P71" s="144"/>
      <c r="Q71" s="106"/>
      <c r="R71" s="106"/>
      <c r="S71" s="131"/>
      <c r="T71" s="131"/>
      <c r="U71" s="151"/>
      <c r="V71" s="152"/>
      <c r="W71" s="106"/>
      <c r="X71" s="106"/>
      <c r="Y71" s="104"/>
      <c r="Z71" s="104"/>
      <c r="AA71" s="104"/>
      <c r="AB71" s="104"/>
      <c r="AC71" s="104"/>
      <c r="AD71" s="104"/>
      <c r="AE71" s="104"/>
      <c r="AF71" s="104"/>
      <c r="AG71" s="104"/>
      <c r="AH71" s="104"/>
      <c r="AI71" s="104"/>
      <c r="AJ71" s="104"/>
      <c r="AK71" s="106"/>
      <c r="AL71" s="106"/>
      <c r="AM71" s="106"/>
      <c r="AN71" s="104"/>
      <c r="AO71" s="104"/>
      <c r="AP71" s="145"/>
      <c r="AQ71" s="146"/>
      <c r="AR71" s="104"/>
      <c r="AS71" s="104"/>
      <c r="AT71" s="104"/>
      <c r="AU71" s="104"/>
      <c r="AV71" s="104"/>
      <c r="AW71" s="104"/>
      <c r="AX71" s="104"/>
      <c r="AY71" s="104"/>
      <c r="AZ71" s="104"/>
      <c r="BA71" s="104"/>
      <c r="BB71" s="145"/>
      <c r="BC71" s="146"/>
      <c r="BD71" s="104"/>
      <c r="BE71" s="104"/>
      <c r="BF71" s="104"/>
      <c r="BG71" s="104"/>
      <c r="BH71" s="104"/>
      <c r="BI71" s="104"/>
      <c r="BJ71" s="104"/>
      <c r="BK71" s="104"/>
      <c r="BL71" s="104"/>
      <c r="BM71" s="104"/>
      <c r="BN71" s="145"/>
      <c r="BO71" s="148">
        <f t="shared" si="19"/>
        <v>0</v>
      </c>
      <c r="BP71" s="105"/>
      <c r="BQ71" s="105"/>
      <c r="BR71" s="105"/>
      <c r="BS71" s="71" t="e">
        <f t="shared" si="29"/>
        <v>#DIV/0!</v>
      </c>
      <c r="BT71" s="71" t="e">
        <f t="shared" si="30"/>
        <v>#DIV/0!</v>
      </c>
      <c r="BU71" s="71">
        <f t="shared" si="31"/>
        <v>0</v>
      </c>
      <c r="BV71" s="15">
        <f t="shared" si="23"/>
        <v>1</v>
      </c>
      <c r="BW71" s="15" t="str">
        <f t="shared" si="24"/>
        <v>тўғри</v>
      </c>
      <c r="BX71" s="71">
        <f t="shared" si="25"/>
        <v>0</v>
      </c>
      <c r="BY71" s="15">
        <f t="shared" si="26"/>
        <v>1</v>
      </c>
      <c r="BZ71" s="15" t="str">
        <f t="shared" si="27"/>
        <v>тўғри</v>
      </c>
    </row>
    <row r="72" spans="1:78" ht="14.25" customHeight="1" x14ac:dyDescent="0.25">
      <c r="A72" s="71">
        <v>2</v>
      </c>
      <c r="B72" s="104" t="s">
        <v>217</v>
      </c>
      <c r="C72" s="104"/>
      <c r="D72" s="149" t="s">
        <v>139</v>
      </c>
      <c r="E72" s="149"/>
      <c r="F72" s="149"/>
      <c r="G72" s="149"/>
      <c r="H72" s="149"/>
      <c r="I72" s="149"/>
      <c r="J72" s="149"/>
      <c r="K72" s="149"/>
      <c r="L72" s="149"/>
      <c r="M72" s="149"/>
      <c r="N72" s="149"/>
      <c r="O72" s="150"/>
      <c r="P72" s="144"/>
      <c r="Q72" s="106"/>
      <c r="R72" s="106"/>
      <c r="S72" s="131"/>
      <c r="T72" s="131"/>
      <c r="U72" s="151"/>
      <c r="V72" s="152"/>
      <c r="W72" s="106"/>
      <c r="X72" s="106"/>
      <c r="Y72" s="104"/>
      <c r="Z72" s="104"/>
      <c r="AA72" s="104"/>
      <c r="AB72" s="104"/>
      <c r="AC72" s="104"/>
      <c r="AD72" s="104"/>
      <c r="AE72" s="104"/>
      <c r="AF72" s="104"/>
      <c r="AG72" s="104"/>
      <c r="AH72" s="104"/>
      <c r="AI72" s="104"/>
      <c r="AJ72" s="104"/>
      <c r="AK72" s="106"/>
      <c r="AL72" s="106"/>
      <c r="AM72" s="106"/>
      <c r="AN72" s="104"/>
      <c r="AO72" s="104"/>
      <c r="AP72" s="145"/>
      <c r="AQ72" s="146"/>
      <c r="AR72" s="104"/>
      <c r="AS72" s="104"/>
      <c r="AT72" s="104"/>
      <c r="AU72" s="104"/>
      <c r="AV72" s="104"/>
      <c r="AW72" s="104"/>
      <c r="AX72" s="104"/>
      <c r="AY72" s="104"/>
      <c r="AZ72" s="104"/>
      <c r="BA72" s="104"/>
      <c r="BB72" s="145"/>
      <c r="BC72" s="146"/>
      <c r="BD72" s="104"/>
      <c r="BE72" s="104"/>
      <c r="BF72" s="104"/>
      <c r="BG72" s="104"/>
      <c r="BH72" s="104"/>
      <c r="BI72" s="104"/>
      <c r="BJ72" s="104"/>
      <c r="BK72" s="104"/>
      <c r="BL72" s="104"/>
      <c r="BM72" s="104"/>
      <c r="BN72" s="145"/>
      <c r="BO72" s="148">
        <f t="shared" si="19"/>
        <v>0</v>
      </c>
      <c r="BP72" s="105"/>
      <c r="BQ72" s="105"/>
      <c r="BR72" s="105"/>
      <c r="BS72" s="71" t="e">
        <f t="shared" si="29"/>
        <v>#DIV/0!</v>
      </c>
      <c r="BT72" s="71" t="e">
        <f t="shared" si="30"/>
        <v>#DIV/0!</v>
      </c>
      <c r="BU72" s="71">
        <f t="shared" si="31"/>
        <v>0</v>
      </c>
      <c r="BV72" s="15">
        <f t="shared" si="23"/>
        <v>1</v>
      </c>
      <c r="BW72" s="15" t="str">
        <f t="shared" si="24"/>
        <v>тўғри</v>
      </c>
      <c r="BX72" s="71">
        <f t="shared" si="25"/>
        <v>0</v>
      </c>
      <c r="BY72" s="15">
        <f t="shared" si="26"/>
        <v>1</v>
      </c>
      <c r="BZ72" s="15" t="str">
        <f t="shared" si="27"/>
        <v>тўғри</v>
      </c>
    </row>
    <row r="73" spans="1:78" ht="14.25" customHeight="1" x14ac:dyDescent="0.25">
      <c r="A73" s="85" t="s">
        <v>12</v>
      </c>
      <c r="B73" s="104"/>
      <c r="C73" s="104"/>
      <c r="D73" s="178" t="s">
        <v>131</v>
      </c>
      <c r="E73" s="178"/>
      <c r="F73" s="178"/>
      <c r="G73" s="178"/>
      <c r="H73" s="178"/>
      <c r="I73" s="178"/>
      <c r="J73" s="178"/>
      <c r="K73" s="178"/>
      <c r="L73" s="178"/>
      <c r="M73" s="178"/>
      <c r="N73" s="178"/>
      <c r="O73" s="179"/>
      <c r="P73" s="144">
        <f>SUM(V73+AN73)</f>
        <v>90</v>
      </c>
      <c r="Q73" s="106"/>
      <c r="R73" s="106"/>
      <c r="S73" s="131"/>
      <c r="T73" s="131"/>
      <c r="U73" s="151"/>
      <c r="V73" s="152">
        <f t="shared" ref="V73" si="36">SUM(AQ73+AT73+AW73+AZ73)*15</f>
        <v>30</v>
      </c>
      <c r="W73" s="106"/>
      <c r="X73" s="106"/>
      <c r="Y73" s="104">
        <v>10</v>
      </c>
      <c r="Z73" s="104"/>
      <c r="AA73" s="104"/>
      <c r="AB73" s="104">
        <v>10</v>
      </c>
      <c r="AC73" s="104"/>
      <c r="AD73" s="104"/>
      <c r="AE73" s="104"/>
      <c r="AF73" s="104"/>
      <c r="AG73" s="104"/>
      <c r="AH73" s="104">
        <v>10</v>
      </c>
      <c r="AI73" s="104"/>
      <c r="AJ73" s="104"/>
      <c r="AK73" s="106"/>
      <c r="AL73" s="106"/>
      <c r="AM73" s="106"/>
      <c r="AN73" s="104">
        <v>60</v>
      </c>
      <c r="AO73" s="104"/>
      <c r="AP73" s="145"/>
      <c r="AQ73" s="146"/>
      <c r="AR73" s="104"/>
      <c r="AS73" s="104"/>
      <c r="AT73" s="104"/>
      <c r="AU73" s="104"/>
      <c r="AV73" s="104"/>
      <c r="AW73" s="104">
        <v>2</v>
      </c>
      <c r="AX73" s="104"/>
      <c r="AY73" s="104"/>
      <c r="AZ73" s="104"/>
      <c r="BA73" s="104"/>
      <c r="BB73" s="145"/>
      <c r="BC73" s="146"/>
      <c r="BD73" s="104"/>
      <c r="BE73" s="104"/>
      <c r="BF73" s="104"/>
      <c r="BG73" s="104"/>
      <c r="BH73" s="104"/>
      <c r="BI73" s="104">
        <v>3</v>
      </c>
      <c r="BJ73" s="104"/>
      <c r="BK73" s="104"/>
      <c r="BL73" s="104"/>
      <c r="BM73" s="104"/>
      <c r="BN73" s="145"/>
      <c r="BO73" s="148">
        <f t="shared" si="19"/>
        <v>3</v>
      </c>
      <c r="BP73" s="105"/>
      <c r="BQ73" s="105"/>
      <c r="BR73" s="105"/>
      <c r="BS73" s="71">
        <f t="shared" si="29"/>
        <v>33.333333333333329</v>
      </c>
      <c r="BT73" s="71">
        <f t="shared" si="30"/>
        <v>66.666666666666657</v>
      </c>
      <c r="BU73" s="71">
        <f t="shared" si="31"/>
        <v>30</v>
      </c>
      <c r="BV73" s="15">
        <f t="shared" si="23"/>
        <v>1</v>
      </c>
      <c r="BW73" s="15" t="str">
        <f t="shared" si="24"/>
        <v>тўғри</v>
      </c>
      <c r="BX73" s="71">
        <f t="shared" si="25"/>
        <v>3</v>
      </c>
      <c r="BY73" s="15">
        <f t="shared" si="26"/>
        <v>1</v>
      </c>
      <c r="BZ73" s="15" t="str">
        <f t="shared" si="27"/>
        <v>тўғри</v>
      </c>
    </row>
    <row r="74" spans="1:78" ht="14.25" customHeight="1" x14ac:dyDescent="0.25">
      <c r="A74" s="71">
        <v>1</v>
      </c>
      <c r="B74" s="104" t="s">
        <v>32</v>
      </c>
      <c r="C74" s="104"/>
      <c r="D74" s="149" t="s">
        <v>247</v>
      </c>
      <c r="E74" s="149"/>
      <c r="F74" s="149"/>
      <c r="G74" s="149"/>
      <c r="H74" s="149"/>
      <c r="I74" s="149"/>
      <c r="J74" s="149"/>
      <c r="K74" s="149"/>
      <c r="L74" s="149"/>
      <c r="M74" s="149"/>
      <c r="N74" s="149"/>
      <c r="O74" s="150"/>
      <c r="P74" s="144"/>
      <c r="Q74" s="106"/>
      <c r="R74" s="106"/>
      <c r="S74" s="131"/>
      <c r="T74" s="131"/>
      <c r="U74" s="151"/>
      <c r="V74" s="152"/>
      <c r="W74" s="106"/>
      <c r="X74" s="106"/>
      <c r="Y74" s="104"/>
      <c r="Z74" s="104"/>
      <c r="AA74" s="104"/>
      <c r="AB74" s="104"/>
      <c r="AC74" s="104"/>
      <c r="AD74" s="104"/>
      <c r="AE74" s="104"/>
      <c r="AF74" s="104"/>
      <c r="AG74" s="104"/>
      <c r="AH74" s="104"/>
      <c r="AI74" s="104"/>
      <c r="AJ74" s="104"/>
      <c r="AK74" s="106"/>
      <c r="AL74" s="106"/>
      <c r="AM74" s="106"/>
      <c r="AN74" s="104"/>
      <c r="AO74" s="104"/>
      <c r="AP74" s="145"/>
      <c r="AQ74" s="146"/>
      <c r="AR74" s="104"/>
      <c r="AS74" s="104"/>
      <c r="AT74" s="104"/>
      <c r="AU74" s="104"/>
      <c r="AV74" s="104"/>
      <c r="AW74" s="104"/>
      <c r="AX74" s="104"/>
      <c r="AY74" s="104"/>
      <c r="AZ74" s="104"/>
      <c r="BA74" s="104"/>
      <c r="BB74" s="145"/>
      <c r="BC74" s="146"/>
      <c r="BD74" s="104"/>
      <c r="BE74" s="104"/>
      <c r="BF74" s="104"/>
      <c r="BG74" s="104"/>
      <c r="BH74" s="104"/>
      <c r="BI74" s="104"/>
      <c r="BJ74" s="104"/>
      <c r="BK74" s="104"/>
      <c r="BL74" s="104"/>
      <c r="BM74" s="104"/>
      <c r="BN74" s="145"/>
      <c r="BO74" s="148">
        <f t="shared" si="19"/>
        <v>0</v>
      </c>
      <c r="BP74" s="105"/>
      <c r="BQ74" s="105"/>
      <c r="BR74" s="105"/>
      <c r="BS74" s="71" t="e">
        <f t="shared" si="29"/>
        <v>#DIV/0!</v>
      </c>
      <c r="BT74" s="71" t="e">
        <f t="shared" si="30"/>
        <v>#DIV/0!</v>
      </c>
      <c r="BU74" s="71">
        <f t="shared" si="31"/>
        <v>0</v>
      </c>
      <c r="BV74" s="15">
        <f t="shared" si="23"/>
        <v>1</v>
      </c>
      <c r="BW74" s="15" t="str">
        <f t="shared" si="24"/>
        <v>тўғри</v>
      </c>
      <c r="BX74" s="71">
        <f t="shared" si="25"/>
        <v>0</v>
      </c>
      <c r="BY74" s="15">
        <f t="shared" si="26"/>
        <v>1</v>
      </c>
      <c r="BZ74" s="15" t="str">
        <f t="shared" si="27"/>
        <v>тўғри</v>
      </c>
    </row>
    <row r="75" spans="1:78" ht="14.25" customHeight="1" x14ac:dyDescent="0.25">
      <c r="A75" s="71">
        <v>2</v>
      </c>
      <c r="B75" s="104" t="s">
        <v>33</v>
      </c>
      <c r="C75" s="104"/>
      <c r="D75" s="149" t="s">
        <v>140</v>
      </c>
      <c r="E75" s="149"/>
      <c r="F75" s="149"/>
      <c r="G75" s="149"/>
      <c r="H75" s="149"/>
      <c r="I75" s="149"/>
      <c r="J75" s="149"/>
      <c r="K75" s="149"/>
      <c r="L75" s="149"/>
      <c r="M75" s="149"/>
      <c r="N75" s="149"/>
      <c r="O75" s="150"/>
      <c r="P75" s="144"/>
      <c r="Q75" s="106"/>
      <c r="R75" s="106"/>
      <c r="S75" s="131"/>
      <c r="T75" s="131"/>
      <c r="U75" s="151"/>
      <c r="V75" s="152"/>
      <c r="W75" s="106"/>
      <c r="X75" s="106"/>
      <c r="Y75" s="104"/>
      <c r="Z75" s="104"/>
      <c r="AA75" s="104"/>
      <c r="AB75" s="104"/>
      <c r="AC75" s="104"/>
      <c r="AD75" s="104"/>
      <c r="AE75" s="104"/>
      <c r="AF75" s="104"/>
      <c r="AG75" s="104"/>
      <c r="AH75" s="104"/>
      <c r="AI75" s="104"/>
      <c r="AJ75" s="104"/>
      <c r="AK75" s="106"/>
      <c r="AL75" s="106"/>
      <c r="AM75" s="106"/>
      <c r="AN75" s="104"/>
      <c r="AO75" s="104"/>
      <c r="AP75" s="145"/>
      <c r="AQ75" s="146"/>
      <c r="AR75" s="104"/>
      <c r="AS75" s="104"/>
      <c r="AT75" s="104"/>
      <c r="AU75" s="104"/>
      <c r="AV75" s="104"/>
      <c r="AW75" s="104"/>
      <c r="AX75" s="104"/>
      <c r="AY75" s="104"/>
      <c r="AZ75" s="104"/>
      <c r="BA75" s="104"/>
      <c r="BB75" s="145"/>
      <c r="BC75" s="146"/>
      <c r="BD75" s="104"/>
      <c r="BE75" s="104"/>
      <c r="BF75" s="104"/>
      <c r="BG75" s="104"/>
      <c r="BH75" s="104"/>
      <c r="BI75" s="104"/>
      <c r="BJ75" s="104"/>
      <c r="BK75" s="104"/>
      <c r="BL75" s="104"/>
      <c r="BM75" s="104"/>
      <c r="BN75" s="145"/>
      <c r="BO75" s="148">
        <f t="shared" si="19"/>
        <v>0</v>
      </c>
      <c r="BP75" s="105"/>
      <c r="BQ75" s="105"/>
      <c r="BR75" s="105"/>
      <c r="BS75" s="71" t="e">
        <f t="shared" si="29"/>
        <v>#DIV/0!</v>
      </c>
      <c r="BT75" s="71" t="e">
        <f t="shared" si="30"/>
        <v>#DIV/0!</v>
      </c>
      <c r="BU75" s="71">
        <f t="shared" si="31"/>
        <v>0</v>
      </c>
      <c r="BV75" s="15">
        <f t="shared" si="23"/>
        <v>1</v>
      </c>
      <c r="BW75" s="15" t="str">
        <f t="shared" si="24"/>
        <v>тўғри</v>
      </c>
      <c r="BX75" s="71">
        <f t="shared" si="25"/>
        <v>0</v>
      </c>
      <c r="BY75" s="15">
        <f t="shared" si="26"/>
        <v>1</v>
      </c>
      <c r="BZ75" s="15" t="str">
        <f t="shared" si="27"/>
        <v>тўғри</v>
      </c>
    </row>
    <row r="76" spans="1:78" ht="14.25" customHeight="1" x14ac:dyDescent="0.25">
      <c r="A76" s="71"/>
      <c r="B76" s="104"/>
      <c r="C76" s="104"/>
      <c r="D76" s="184" t="s">
        <v>133</v>
      </c>
      <c r="E76" s="184"/>
      <c r="F76" s="184"/>
      <c r="G76" s="184"/>
      <c r="H76" s="184"/>
      <c r="I76" s="184"/>
      <c r="J76" s="184"/>
      <c r="K76" s="184"/>
      <c r="L76" s="184"/>
      <c r="M76" s="184"/>
      <c r="N76" s="184"/>
      <c r="O76" s="185"/>
      <c r="P76" s="144">
        <f>SUM(V76+AN76)</f>
        <v>1800</v>
      </c>
      <c r="Q76" s="106"/>
      <c r="R76" s="106"/>
      <c r="S76" s="131">
        <f>P76/3600*100</f>
        <v>50</v>
      </c>
      <c r="T76" s="131"/>
      <c r="U76" s="151"/>
      <c r="V76" s="152">
        <f>SUM(AQ76+AT76+AW76+AZ76)*15</f>
        <v>690</v>
      </c>
      <c r="W76" s="106"/>
      <c r="X76" s="106"/>
      <c r="Y76" s="106">
        <f>SUM(Y66+Y57)</f>
        <v>74</v>
      </c>
      <c r="Z76" s="106"/>
      <c r="AA76" s="106"/>
      <c r="AB76" s="106">
        <f>SUM(AB66+AB57)</f>
        <v>410</v>
      </c>
      <c r="AC76" s="106"/>
      <c r="AD76" s="106"/>
      <c r="AE76" s="106">
        <f>SUM(AE66+AE57)</f>
        <v>180</v>
      </c>
      <c r="AF76" s="106"/>
      <c r="AG76" s="106"/>
      <c r="AH76" s="106">
        <f>SUM(AH66+AH57)</f>
        <v>26</v>
      </c>
      <c r="AI76" s="106"/>
      <c r="AJ76" s="106"/>
      <c r="AK76" s="106"/>
      <c r="AL76" s="106"/>
      <c r="AM76" s="106"/>
      <c r="AN76" s="106">
        <f>SUM(AN66+AN57)</f>
        <v>1110</v>
      </c>
      <c r="AO76" s="106"/>
      <c r="AP76" s="147"/>
      <c r="AQ76" s="144">
        <f>SUM(AQ66+AQ57)</f>
        <v>18</v>
      </c>
      <c r="AR76" s="106"/>
      <c r="AS76" s="106"/>
      <c r="AT76" s="106">
        <f>SUM(AT66+AT57)</f>
        <v>10</v>
      </c>
      <c r="AU76" s="106"/>
      <c r="AV76" s="106"/>
      <c r="AW76" s="106">
        <f>SUM(AW66+AW57)</f>
        <v>12</v>
      </c>
      <c r="AX76" s="106"/>
      <c r="AY76" s="106"/>
      <c r="AZ76" s="106">
        <f>SUM(AZ66+AZ57)</f>
        <v>6</v>
      </c>
      <c r="BA76" s="106"/>
      <c r="BB76" s="147"/>
      <c r="BC76" s="144">
        <f>SUM(BC66+BC57)</f>
        <v>24</v>
      </c>
      <c r="BD76" s="106"/>
      <c r="BE76" s="106"/>
      <c r="BF76" s="106">
        <f>SUM(BF66+BF57)</f>
        <v>13</v>
      </c>
      <c r="BG76" s="106"/>
      <c r="BH76" s="106"/>
      <c r="BI76" s="106">
        <f>SUM(BI66+BI57)</f>
        <v>15</v>
      </c>
      <c r="BJ76" s="106"/>
      <c r="BK76" s="106"/>
      <c r="BL76" s="106">
        <f>SUM(BL66+BL57)</f>
        <v>8</v>
      </c>
      <c r="BM76" s="106"/>
      <c r="BN76" s="147"/>
      <c r="BO76" s="148">
        <f>SUM(P76/30)</f>
        <v>60</v>
      </c>
      <c r="BP76" s="105"/>
      <c r="BQ76" s="105"/>
      <c r="BR76" s="105"/>
      <c r="BS76" s="71">
        <f t="shared" si="29"/>
        <v>38.333333333333336</v>
      </c>
      <c r="BT76" s="71">
        <f t="shared" si="30"/>
        <v>61.666666666666671</v>
      </c>
      <c r="BU76" s="71">
        <f t="shared" si="31"/>
        <v>690</v>
      </c>
      <c r="BV76" s="15">
        <f t="shared" si="23"/>
        <v>1</v>
      </c>
      <c r="BW76" s="15" t="str">
        <f t="shared" si="24"/>
        <v>тўғри</v>
      </c>
      <c r="BX76" s="71">
        <f t="shared" si="25"/>
        <v>60</v>
      </c>
      <c r="BY76" s="15">
        <f t="shared" si="26"/>
        <v>1</v>
      </c>
      <c r="BZ76" s="15" t="str">
        <f>IF(BY76=1,"тўғри","хато")</f>
        <v>тўғри</v>
      </c>
    </row>
    <row r="77" spans="1:78" ht="14.25" customHeight="1" x14ac:dyDescent="0.25">
      <c r="A77" s="72" t="s">
        <v>49</v>
      </c>
      <c r="B77" s="104"/>
      <c r="C77" s="104"/>
      <c r="D77" s="182" t="s">
        <v>132</v>
      </c>
      <c r="E77" s="182"/>
      <c r="F77" s="182"/>
      <c r="G77" s="182"/>
      <c r="H77" s="182"/>
      <c r="I77" s="182"/>
      <c r="J77" s="182"/>
      <c r="K77" s="182"/>
      <c r="L77" s="182"/>
      <c r="M77" s="182"/>
      <c r="N77" s="182"/>
      <c r="O77" s="183"/>
      <c r="P77" s="144">
        <f>SUM(V77+AN77)</f>
        <v>1800</v>
      </c>
      <c r="Q77" s="106"/>
      <c r="R77" s="106"/>
      <c r="S77" s="131">
        <f>P77/3600*100</f>
        <v>50</v>
      </c>
      <c r="T77" s="131"/>
      <c r="U77" s="151"/>
      <c r="V77" s="152">
        <f>SUM(V78:X80)</f>
        <v>750</v>
      </c>
      <c r="W77" s="106"/>
      <c r="X77" s="106"/>
      <c r="Y77" s="106"/>
      <c r="Z77" s="106"/>
      <c r="AA77" s="106"/>
      <c r="AB77" s="106"/>
      <c r="AC77" s="106"/>
      <c r="AD77" s="106"/>
      <c r="AE77" s="106"/>
      <c r="AF77" s="106"/>
      <c r="AG77" s="106"/>
      <c r="AH77" s="106"/>
      <c r="AI77" s="106"/>
      <c r="AJ77" s="106"/>
      <c r="AK77" s="106"/>
      <c r="AL77" s="106"/>
      <c r="AM77" s="106"/>
      <c r="AN77" s="106">
        <f>SUM(AN78:AP80)</f>
        <v>1050</v>
      </c>
      <c r="AO77" s="106"/>
      <c r="AP77" s="147"/>
      <c r="AQ77" s="144">
        <f>SUM(AQ78:AS80)</f>
        <v>6</v>
      </c>
      <c r="AR77" s="106"/>
      <c r="AS77" s="106"/>
      <c r="AT77" s="106">
        <f>SUM(AT78:AV80)</f>
        <v>14</v>
      </c>
      <c r="AU77" s="106"/>
      <c r="AV77" s="106"/>
      <c r="AW77" s="106">
        <f>SUM(AW78:AY80)</f>
        <v>12</v>
      </c>
      <c r="AX77" s="106"/>
      <c r="AY77" s="106"/>
      <c r="AZ77" s="106">
        <f>SUM(AZ78:BB80)</f>
        <v>18</v>
      </c>
      <c r="BA77" s="106"/>
      <c r="BB77" s="147"/>
      <c r="BC77" s="144">
        <f>SUM(BC78:BE80)</f>
        <v>6</v>
      </c>
      <c r="BD77" s="106"/>
      <c r="BE77" s="106"/>
      <c r="BF77" s="106">
        <f>SUM(BF78:BH80)</f>
        <v>17</v>
      </c>
      <c r="BG77" s="106"/>
      <c r="BH77" s="106"/>
      <c r="BI77" s="106">
        <f>SUM(BI78:BK80)</f>
        <v>15</v>
      </c>
      <c r="BJ77" s="106"/>
      <c r="BK77" s="106"/>
      <c r="BL77" s="106">
        <f>SUM(BL78:BN80)</f>
        <v>22</v>
      </c>
      <c r="BM77" s="106"/>
      <c r="BN77" s="147"/>
      <c r="BO77" s="148">
        <f>SUM(P77/30)</f>
        <v>60</v>
      </c>
      <c r="BP77" s="105"/>
      <c r="BQ77" s="105"/>
      <c r="BR77" s="105"/>
      <c r="BS77" s="71">
        <f t="shared" si="29"/>
        <v>41.666666666666671</v>
      </c>
      <c r="BT77" s="71">
        <f t="shared" si="30"/>
        <v>58.333333333333336</v>
      </c>
      <c r="BU77" s="71"/>
      <c r="BV77" s="15"/>
      <c r="BW77" s="15"/>
      <c r="BX77" s="71">
        <f>SUM(BC77:BN77)</f>
        <v>60</v>
      </c>
      <c r="BY77" s="15">
        <f t="shared" si="26"/>
        <v>1</v>
      </c>
      <c r="BZ77" s="15" t="str">
        <f t="shared" ref="BZ77:BZ79" si="37">IF(BY77=1,"тўғри","хато")</f>
        <v>тўғри</v>
      </c>
    </row>
    <row r="78" spans="1:78" ht="28.5" customHeight="1" x14ac:dyDescent="0.25">
      <c r="A78" s="14" t="s">
        <v>50</v>
      </c>
      <c r="B78" s="104"/>
      <c r="C78" s="104"/>
      <c r="D78" s="180" t="s">
        <v>99</v>
      </c>
      <c r="E78" s="180"/>
      <c r="F78" s="180"/>
      <c r="G78" s="180"/>
      <c r="H78" s="180"/>
      <c r="I78" s="180"/>
      <c r="J78" s="180"/>
      <c r="K78" s="180"/>
      <c r="L78" s="180"/>
      <c r="M78" s="180"/>
      <c r="N78" s="180"/>
      <c r="O78" s="181"/>
      <c r="P78" s="144">
        <f>SUM(V78+AN78)</f>
        <v>1080</v>
      </c>
      <c r="Q78" s="106"/>
      <c r="R78" s="106"/>
      <c r="S78" s="106"/>
      <c r="T78" s="106"/>
      <c r="U78" s="147"/>
      <c r="V78" s="152">
        <f t="shared" ref="V78:V80" si="38">SUM(AQ78+AT78+AW78+AZ78)*15</f>
        <v>480</v>
      </c>
      <c r="W78" s="106"/>
      <c r="X78" s="106"/>
      <c r="Y78" s="106"/>
      <c r="Z78" s="106"/>
      <c r="AA78" s="106"/>
      <c r="AB78" s="106"/>
      <c r="AC78" s="106"/>
      <c r="AD78" s="106"/>
      <c r="AE78" s="106"/>
      <c r="AF78" s="106"/>
      <c r="AG78" s="106"/>
      <c r="AH78" s="106"/>
      <c r="AI78" s="106"/>
      <c r="AJ78" s="106"/>
      <c r="AK78" s="106"/>
      <c r="AL78" s="106"/>
      <c r="AM78" s="106"/>
      <c r="AN78" s="104">
        <v>600</v>
      </c>
      <c r="AO78" s="104"/>
      <c r="AP78" s="145"/>
      <c r="AQ78" s="146">
        <v>4</v>
      </c>
      <c r="AR78" s="104"/>
      <c r="AS78" s="104"/>
      <c r="AT78" s="104">
        <v>6</v>
      </c>
      <c r="AU78" s="104"/>
      <c r="AV78" s="104"/>
      <c r="AW78" s="104">
        <v>10</v>
      </c>
      <c r="AX78" s="104"/>
      <c r="AY78" s="104"/>
      <c r="AZ78" s="104">
        <v>12</v>
      </c>
      <c r="BA78" s="104"/>
      <c r="BB78" s="145"/>
      <c r="BC78" s="146">
        <v>4</v>
      </c>
      <c r="BD78" s="104"/>
      <c r="BE78" s="104"/>
      <c r="BF78" s="104">
        <v>6</v>
      </c>
      <c r="BG78" s="104"/>
      <c r="BH78" s="104"/>
      <c r="BI78" s="104">
        <v>12</v>
      </c>
      <c r="BJ78" s="104"/>
      <c r="BK78" s="104"/>
      <c r="BL78" s="104">
        <v>14</v>
      </c>
      <c r="BM78" s="104"/>
      <c r="BN78" s="145"/>
      <c r="BO78" s="148">
        <f t="shared" ref="BO78:BO80" si="39">SUM(P78/30)</f>
        <v>36</v>
      </c>
      <c r="BP78" s="105"/>
      <c r="BQ78" s="105"/>
      <c r="BR78" s="105"/>
      <c r="BS78" s="71">
        <f t="shared" si="29"/>
        <v>44.444444444444443</v>
      </c>
      <c r="BT78" s="71">
        <f t="shared" si="30"/>
        <v>55.555555555555557</v>
      </c>
      <c r="BU78" s="71"/>
      <c r="BV78" s="15"/>
      <c r="BW78" s="15" t="str">
        <f>IF(BV78=1,"тўғри","хато")</f>
        <v>хато</v>
      </c>
      <c r="BX78" s="71">
        <f>SUM(BC78:BN78)</f>
        <v>36</v>
      </c>
      <c r="BY78" s="15">
        <f t="shared" si="26"/>
        <v>1</v>
      </c>
      <c r="BZ78" s="15" t="str">
        <f t="shared" si="37"/>
        <v>тўғри</v>
      </c>
    </row>
    <row r="79" spans="1:78" ht="14.25" customHeight="1" x14ac:dyDescent="0.25">
      <c r="A79" s="14" t="s">
        <v>51</v>
      </c>
      <c r="B79" s="104"/>
      <c r="C79" s="104"/>
      <c r="D79" s="149" t="s">
        <v>134</v>
      </c>
      <c r="E79" s="149"/>
      <c r="F79" s="149"/>
      <c r="G79" s="149"/>
      <c r="H79" s="149"/>
      <c r="I79" s="149"/>
      <c r="J79" s="149"/>
      <c r="K79" s="149"/>
      <c r="L79" s="149"/>
      <c r="M79" s="149"/>
      <c r="N79" s="149"/>
      <c r="O79" s="150"/>
      <c r="P79" s="144">
        <f t="shared" ref="P79:P80" si="40">SUM(V79+AN79)</f>
        <v>240</v>
      </c>
      <c r="Q79" s="106"/>
      <c r="R79" s="106"/>
      <c r="S79" s="106"/>
      <c r="T79" s="106"/>
      <c r="U79" s="147"/>
      <c r="V79" s="152">
        <f t="shared" si="38"/>
        <v>90</v>
      </c>
      <c r="W79" s="106"/>
      <c r="X79" s="106"/>
      <c r="Y79" s="106"/>
      <c r="Z79" s="106"/>
      <c r="AA79" s="106"/>
      <c r="AB79" s="106"/>
      <c r="AC79" s="106"/>
      <c r="AD79" s="106"/>
      <c r="AE79" s="106"/>
      <c r="AF79" s="106"/>
      <c r="AG79" s="106"/>
      <c r="AH79" s="106"/>
      <c r="AI79" s="106"/>
      <c r="AJ79" s="106"/>
      <c r="AK79" s="106"/>
      <c r="AL79" s="106"/>
      <c r="AM79" s="106"/>
      <c r="AN79" s="104">
        <v>150</v>
      </c>
      <c r="AO79" s="104"/>
      <c r="AP79" s="145"/>
      <c r="AQ79" s="146">
        <v>2</v>
      </c>
      <c r="AR79" s="104"/>
      <c r="AS79" s="104"/>
      <c r="AT79" s="104">
        <v>2</v>
      </c>
      <c r="AU79" s="104"/>
      <c r="AV79" s="104"/>
      <c r="AW79" s="104">
        <v>2</v>
      </c>
      <c r="AX79" s="104"/>
      <c r="AY79" s="104"/>
      <c r="AZ79" s="104"/>
      <c r="BA79" s="104"/>
      <c r="BB79" s="145"/>
      <c r="BC79" s="146">
        <v>2</v>
      </c>
      <c r="BD79" s="104"/>
      <c r="BE79" s="104"/>
      <c r="BF79" s="104">
        <v>3</v>
      </c>
      <c r="BG79" s="104"/>
      <c r="BH79" s="104"/>
      <c r="BI79" s="104">
        <v>3</v>
      </c>
      <c r="BJ79" s="104"/>
      <c r="BK79" s="104"/>
      <c r="BL79" s="104"/>
      <c r="BM79" s="104"/>
      <c r="BN79" s="145"/>
      <c r="BO79" s="148">
        <f t="shared" si="39"/>
        <v>8</v>
      </c>
      <c r="BP79" s="105"/>
      <c r="BQ79" s="105"/>
      <c r="BR79" s="105"/>
      <c r="BS79" s="71">
        <f t="shared" si="29"/>
        <v>37.5</v>
      </c>
      <c r="BT79" s="71">
        <f t="shared" si="30"/>
        <v>62.5</v>
      </c>
      <c r="BU79" s="71"/>
      <c r="BV79" s="15"/>
      <c r="BW79" s="15" t="str">
        <f t="shared" ref="BW79:BW80" si="41">IF(BV79=1,"тўғри","хато")</f>
        <v>хато</v>
      </c>
      <c r="BX79" s="71">
        <f t="shared" ref="BX79:BX80" si="42">SUM(BC79:BN79)</f>
        <v>8</v>
      </c>
      <c r="BY79" s="15">
        <f t="shared" si="26"/>
        <v>1</v>
      </c>
      <c r="BZ79" s="15" t="str">
        <f t="shared" si="37"/>
        <v>тўғри</v>
      </c>
    </row>
    <row r="80" spans="1:78" ht="14.25" customHeight="1" x14ac:dyDescent="0.25">
      <c r="A80" s="14" t="s">
        <v>52</v>
      </c>
      <c r="B80" s="104"/>
      <c r="C80" s="104"/>
      <c r="D80" s="149" t="s">
        <v>135</v>
      </c>
      <c r="E80" s="149"/>
      <c r="F80" s="149"/>
      <c r="G80" s="149"/>
      <c r="H80" s="149"/>
      <c r="I80" s="149"/>
      <c r="J80" s="149"/>
      <c r="K80" s="149"/>
      <c r="L80" s="149"/>
      <c r="M80" s="149"/>
      <c r="N80" s="149"/>
      <c r="O80" s="150"/>
      <c r="P80" s="144">
        <f t="shared" si="40"/>
        <v>480</v>
      </c>
      <c r="Q80" s="106"/>
      <c r="R80" s="106"/>
      <c r="S80" s="106"/>
      <c r="T80" s="106"/>
      <c r="U80" s="147"/>
      <c r="V80" s="152">
        <f t="shared" si="38"/>
        <v>180</v>
      </c>
      <c r="W80" s="106"/>
      <c r="X80" s="106"/>
      <c r="Y80" s="106"/>
      <c r="Z80" s="106"/>
      <c r="AA80" s="106"/>
      <c r="AB80" s="106"/>
      <c r="AC80" s="106"/>
      <c r="AD80" s="106"/>
      <c r="AE80" s="106"/>
      <c r="AF80" s="106"/>
      <c r="AG80" s="106"/>
      <c r="AH80" s="106"/>
      <c r="AI80" s="106"/>
      <c r="AJ80" s="106"/>
      <c r="AK80" s="106"/>
      <c r="AL80" s="106"/>
      <c r="AM80" s="106"/>
      <c r="AN80" s="104">
        <v>300</v>
      </c>
      <c r="AO80" s="104"/>
      <c r="AP80" s="145"/>
      <c r="AQ80" s="146"/>
      <c r="AR80" s="104"/>
      <c r="AS80" s="104"/>
      <c r="AT80" s="104">
        <v>6</v>
      </c>
      <c r="AU80" s="104"/>
      <c r="AV80" s="104"/>
      <c r="AW80" s="104"/>
      <c r="AX80" s="104"/>
      <c r="AY80" s="104"/>
      <c r="AZ80" s="104">
        <v>6</v>
      </c>
      <c r="BA80" s="104"/>
      <c r="BB80" s="145"/>
      <c r="BC80" s="146"/>
      <c r="BD80" s="104"/>
      <c r="BE80" s="104"/>
      <c r="BF80" s="104">
        <v>8</v>
      </c>
      <c r="BG80" s="104"/>
      <c r="BH80" s="104"/>
      <c r="BI80" s="104"/>
      <c r="BJ80" s="104"/>
      <c r="BK80" s="104"/>
      <c r="BL80" s="104">
        <v>8</v>
      </c>
      <c r="BM80" s="104"/>
      <c r="BN80" s="145"/>
      <c r="BO80" s="148">
        <f t="shared" si="39"/>
        <v>16</v>
      </c>
      <c r="BP80" s="105"/>
      <c r="BQ80" s="105"/>
      <c r="BR80" s="105"/>
      <c r="BS80" s="71">
        <f t="shared" si="29"/>
        <v>37.5</v>
      </c>
      <c r="BT80" s="71">
        <f t="shared" si="30"/>
        <v>62.5</v>
      </c>
      <c r="BU80" s="71"/>
      <c r="BV80" s="15"/>
      <c r="BW80" s="15" t="str">
        <f t="shared" si="41"/>
        <v>хато</v>
      </c>
      <c r="BX80" s="71">
        <f t="shared" si="42"/>
        <v>16</v>
      </c>
      <c r="BY80" s="15">
        <f t="shared" si="26"/>
        <v>1</v>
      </c>
      <c r="BZ80" s="15" t="str">
        <f>IF(BY80=1,"тўғри","хато")</f>
        <v>тўғри</v>
      </c>
    </row>
    <row r="81" spans="1:78" ht="14.25" customHeight="1" x14ac:dyDescent="0.25">
      <c r="A81" s="71"/>
      <c r="B81" s="265"/>
      <c r="C81" s="266"/>
      <c r="D81" s="184" t="s">
        <v>133</v>
      </c>
      <c r="E81" s="184"/>
      <c r="F81" s="184"/>
      <c r="G81" s="184"/>
      <c r="H81" s="184"/>
      <c r="I81" s="184"/>
      <c r="J81" s="184"/>
      <c r="K81" s="184"/>
      <c r="L81" s="184"/>
      <c r="M81" s="184"/>
      <c r="N81" s="184"/>
      <c r="O81" s="185"/>
      <c r="P81" s="263">
        <f>SUM(P77,P76)</f>
        <v>3600</v>
      </c>
      <c r="Q81" s="168"/>
      <c r="R81" s="152"/>
      <c r="S81" s="267">
        <f>P81/3600*100</f>
        <v>100</v>
      </c>
      <c r="T81" s="268"/>
      <c r="U81" s="269"/>
      <c r="V81" s="263">
        <f>SUM(V77+V75)</f>
        <v>750</v>
      </c>
      <c r="W81" s="168"/>
      <c r="X81" s="152"/>
      <c r="Y81" s="167"/>
      <c r="Z81" s="168"/>
      <c r="AA81" s="152"/>
      <c r="AB81" s="167"/>
      <c r="AC81" s="168"/>
      <c r="AD81" s="152"/>
      <c r="AE81" s="167"/>
      <c r="AF81" s="168"/>
      <c r="AG81" s="152"/>
      <c r="AH81" s="167"/>
      <c r="AI81" s="168"/>
      <c r="AJ81" s="152"/>
      <c r="AK81" s="167"/>
      <c r="AL81" s="168"/>
      <c r="AM81" s="152"/>
      <c r="AN81" s="167">
        <f>SUM(AN77+AN76)</f>
        <v>2160</v>
      </c>
      <c r="AO81" s="168"/>
      <c r="AP81" s="264"/>
      <c r="AQ81" s="263">
        <f t="shared" ref="AQ81" si="43">SUM(AQ77+AQ76)</f>
        <v>24</v>
      </c>
      <c r="AR81" s="168"/>
      <c r="AS81" s="152"/>
      <c r="AT81" s="167">
        <f t="shared" ref="AT81" si="44">SUM(AT77+AT76)</f>
        <v>24</v>
      </c>
      <c r="AU81" s="168"/>
      <c r="AV81" s="152"/>
      <c r="AW81" s="167">
        <f t="shared" ref="AW81" si="45">SUM(AW77+AW76)</f>
        <v>24</v>
      </c>
      <c r="AX81" s="168"/>
      <c r="AY81" s="152"/>
      <c r="AZ81" s="167">
        <f t="shared" ref="AZ81" si="46">SUM(AZ77+AZ76)</f>
        <v>24</v>
      </c>
      <c r="BA81" s="168"/>
      <c r="BB81" s="264"/>
      <c r="BC81" s="263">
        <f t="shared" ref="BC81" si="47">SUM(BC77+BC76)</f>
        <v>30</v>
      </c>
      <c r="BD81" s="168"/>
      <c r="BE81" s="152"/>
      <c r="BF81" s="167">
        <f t="shared" ref="BF81" si="48">SUM(BF77+BF76)</f>
        <v>30</v>
      </c>
      <c r="BG81" s="168"/>
      <c r="BH81" s="152"/>
      <c r="BI81" s="167">
        <f t="shared" ref="BI81" si="49">SUM(BI77+BI76)</f>
        <v>30</v>
      </c>
      <c r="BJ81" s="168"/>
      <c r="BK81" s="152"/>
      <c r="BL81" s="167">
        <f t="shared" ref="BL81" si="50">SUM(BL77+BL76)</f>
        <v>30</v>
      </c>
      <c r="BM81" s="168"/>
      <c r="BN81" s="264"/>
      <c r="BO81" s="270">
        <f t="shared" si="19"/>
        <v>120</v>
      </c>
      <c r="BP81" s="270"/>
      <c r="BQ81" s="270"/>
      <c r="BR81" s="148"/>
      <c r="BS81" s="71">
        <f t="shared" si="20"/>
        <v>20.833333333333336</v>
      </c>
      <c r="BT81" s="71">
        <f t="shared" si="21"/>
        <v>60</v>
      </c>
      <c r="BU81" s="71"/>
      <c r="BV81" s="15"/>
      <c r="BW81" s="15"/>
      <c r="BX81" s="71">
        <f t="shared" si="25"/>
        <v>120</v>
      </c>
      <c r="BY81" s="15">
        <f t="shared" si="26"/>
        <v>1</v>
      </c>
      <c r="BZ81" s="15" t="str">
        <f t="shared" si="27"/>
        <v>тўғри</v>
      </c>
    </row>
    <row r="82" spans="1:78" ht="14.25" customHeight="1" x14ac:dyDescent="0.25">
      <c r="A82" s="1"/>
      <c r="B82" s="16"/>
      <c r="C82" s="16"/>
      <c r="D82" s="17"/>
      <c r="E82" s="17"/>
      <c r="F82" s="17"/>
      <c r="G82" s="17"/>
      <c r="H82" s="17"/>
      <c r="I82" s="17"/>
      <c r="J82" s="17"/>
      <c r="K82" s="17"/>
      <c r="L82" s="17"/>
      <c r="M82" s="17"/>
      <c r="N82" s="17"/>
      <c r="O82" s="17"/>
      <c r="P82" s="18"/>
      <c r="Q82" s="18"/>
      <c r="R82" s="18"/>
      <c r="S82" s="18"/>
      <c r="T82" s="18"/>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
      <c r="BC82" s="1"/>
      <c r="BD82" s="1"/>
      <c r="BE82" s="1"/>
      <c r="BF82" s="1"/>
      <c r="BG82" s="1"/>
      <c r="BH82" s="1"/>
      <c r="BI82" s="1"/>
      <c r="BJ82" s="1"/>
      <c r="BK82" s="1"/>
      <c r="BL82" s="1"/>
      <c r="BM82" s="1"/>
      <c r="BN82" s="1"/>
      <c r="BO82" s="20"/>
      <c r="BP82" s="20"/>
      <c r="BQ82" s="20"/>
      <c r="BR82" s="20"/>
    </row>
    <row r="83" spans="1:78" ht="14.25" customHeight="1" thickBot="1" x14ac:dyDescent="0.3">
      <c r="A83" s="1"/>
      <c r="B83" s="16"/>
      <c r="C83" s="16"/>
      <c r="D83" s="17"/>
      <c r="E83" s="17"/>
      <c r="F83" s="17"/>
      <c r="G83" s="17"/>
      <c r="H83" s="17"/>
      <c r="I83" s="17"/>
      <c r="J83" s="17"/>
      <c r="K83" s="17"/>
      <c r="L83" s="17"/>
      <c r="M83" s="17"/>
      <c r="N83" s="17"/>
      <c r="O83" s="17"/>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
      <c r="BC83" s="1"/>
      <c r="BD83" s="1"/>
      <c r="BE83" s="1"/>
      <c r="BF83" s="1"/>
      <c r="BG83" s="1"/>
      <c r="BH83" s="1"/>
      <c r="BI83" s="1"/>
      <c r="BJ83" s="1"/>
      <c r="BK83" s="1"/>
      <c r="BL83" s="1"/>
      <c r="BM83" s="1"/>
      <c r="BN83" s="1"/>
      <c r="BO83" s="20"/>
      <c r="BP83" s="20"/>
      <c r="BQ83" s="20"/>
      <c r="BR83" s="20"/>
    </row>
    <row r="84" spans="1:78" s="24" customFormat="1" ht="14.25" customHeight="1" x14ac:dyDescent="0.35">
      <c r="A84" s="21"/>
      <c r="B84" s="16"/>
      <c r="C84" s="16"/>
      <c r="D84" s="74"/>
      <c r="E84" s="74"/>
      <c r="F84" s="74"/>
      <c r="G84" s="74"/>
      <c r="H84" s="74"/>
      <c r="I84" s="74"/>
      <c r="J84" s="74"/>
      <c r="K84" s="74"/>
      <c r="L84" s="74"/>
      <c r="M84" s="74"/>
      <c r="N84" s="74"/>
      <c r="O84" s="74"/>
      <c r="P84" s="22"/>
      <c r="Q84" s="22"/>
      <c r="R84" s="22"/>
      <c r="S84" s="22"/>
      <c r="T84" s="22"/>
      <c r="U84" s="22"/>
      <c r="V84" s="191" t="s">
        <v>129</v>
      </c>
      <c r="W84" s="192"/>
      <c r="X84" s="192"/>
      <c r="Y84" s="192"/>
      <c r="Z84" s="192"/>
      <c r="AA84" s="192"/>
      <c r="AB84" s="192"/>
      <c r="AC84" s="192"/>
      <c r="AD84" s="192"/>
      <c r="AE84" s="192"/>
      <c r="AF84" s="192"/>
      <c r="AG84" s="192"/>
      <c r="AH84" s="192"/>
      <c r="AI84" s="192"/>
      <c r="AJ84" s="192"/>
      <c r="AK84" s="192"/>
      <c r="AL84" s="192"/>
      <c r="AM84" s="192"/>
      <c r="AN84" s="192"/>
      <c r="AO84" s="192"/>
      <c r="AP84" s="192"/>
      <c r="AQ84" s="192"/>
      <c r="AR84" s="192"/>
      <c r="AS84" s="192"/>
      <c r="AT84" s="192"/>
      <c r="AU84" s="192"/>
      <c r="AV84" s="192"/>
      <c r="AW84" s="192"/>
      <c r="AX84" s="192"/>
      <c r="AY84" s="192"/>
      <c r="AZ84" s="193"/>
      <c r="BA84" s="22"/>
      <c r="BB84" s="22"/>
      <c r="BC84" s="22"/>
      <c r="BD84" s="22"/>
      <c r="BE84" s="22"/>
      <c r="BF84" s="22"/>
      <c r="BG84" s="22"/>
      <c r="BH84" s="22"/>
      <c r="BI84" s="22"/>
      <c r="BJ84" s="22"/>
      <c r="BK84" s="22"/>
      <c r="BL84" s="22"/>
      <c r="BM84" s="22"/>
      <c r="BN84" s="22"/>
      <c r="BO84" s="23"/>
      <c r="BP84" s="23"/>
      <c r="BQ84" s="23"/>
      <c r="BR84" s="23"/>
      <c r="BS84" s="1"/>
      <c r="BT84" s="1"/>
      <c r="BU84" s="1"/>
      <c r="BV84" s="1"/>
      <c r="BW84" s="1"/>
      <c r="BX84" s="1"/>
      <c r="BY84" s="1"/>
      <c r="BZ84" s="1"/>
    </row>
    <row r="85" spans="1:78" s="24" customFormat="1" ht="14.25" customHeight="1" x14ac:dyDescent="0.35">
      <c r="A85" s="21"/>
      <c r="B85" s="16"/>
      <c r="C85" s="16"/>
      <c r="D85" s="74"/>
      <c r="E85" s="74"/>
      <c r="F85" s="74"/>
      <c r="G85" s="74"/>
      <c r="H85" s="74"/>
      <c r="I85" s="74"/>
      <c r="J85" s="74"/>
      <c r="K85" s="74"/>
      <c r="L85" s="74"/>
      <c r="M85" s="74"/>
      <c r="N85" s="74"/>
      <c r="O85" s="74"/>
      <c r="P85" s="22"/>
      <c r="Q85" s="22"/>
      <c r="R85" s="22"/>
      <c r="S85" s="22"/>
      <c r="T85" s="22"/>
      <c r="U85" s="22"/>
      <c r="V85" s="194"/>
      <c r="W85" s="195"/>
      <c r="X85" s="195"/>
      <c r="Y85" s="195"/>
      <c r="Z85" s="195"/>
      <c r="AA85" s="195"/>
      <c r="AB85" s="195"/>
      <c r="AC85" s="195"/>
      <c r="AD85" s="195"/>
      <c r="AE85" s="195"/>
      <c r="AF85" s="195"/>
      <c r="AG85" s="195"/>
      <c r="AH85" s="195"/>
      <c r="AI85" s="195"/>
      <c r="AJ85" s="195"/>
      <c r="AK85" s="195"/>
      <c r="AL85" s="195"/>
      <c r="AM85" s="195"/>
      <c r="AN85" s="195"/>
      <c r="AO85" s="195"/>
      <c r="AP85" s="195"/>
      <c r="AQ85" s="195"/>
      <c r="AR85" s="195"/>
      <c r="AS85" s="195"/>
      <c r="AT85" s="195"/>
      <c r="AU85" s="195"/>
      <c r="AV85" s="195"/>
      <c r="AW85" s="195"/>
      <c r="AX85" s="195"/>
      <c r="AY85" s="195"/>
      <c r="AZ85" s="196"/>
      <c r="BA85" s="22"/>
      <c r="BB85" s="22"/>
      <c r="BC85" s="22"/>
      <c r="BD85" s="22"/>
      <c r="BE85" s="22"/>
      <c r="BF85" s="22"/>
      <c r="BG85" s="22"/>
      <c r="BH85" s="22"/>
      <c r="BI85" s="22"/>
      <c r="BJ85" s="22"/>
      <c r="BK85" s="22"/>
      <c r="BL85" s="22"/>
      <c r="BM85" s="22"/>
      <c r="BN85" s="22"/>
      <c r="BO85" s="23"/>
      <c r="BP85" s="23"/>
      <c r="BQ85" s="23"/>
      <c r="BR85" s="23"/>
      <c r="BS85" s="1"/>
      <c r="BT85" s="1"/>
      <c r="BU85" s="1"/>
      <c r="BV85" s="1"/>
      <c r="BW85" s="1"/>
      <c r="BX85" s="1"/>
      <c r="BY85" s="1"/>
      <c r="BZ85" s="1"/>
    </row>
    <row r="86" spans="1:78" s="24" customFormat="1" ht="14.25" customHeight="1" x14ac:dyDescent="0.35">
      <c r="A86" s="21"/>
      <c r="B86" s="16"/>
      <c r="C86" s="16"/>
      <c r="D86" s="74"/>
      <c r="E86" s="74"/>
      <c r="F86" s="74"/>
      <c r="G86" s="74"/>
      <c r="H86" s="74"/>
      <c r="I86" s="74"/>
      <c r="J86" s="74"/>
      <c r="K86" s="74"/>
      <c r="L86" s="74"/>
      <c r="M86" s="74"/>
      <c r="N86" s="74"/>
      <c r="O86" s="74"/>
      <c r="P86" s="22"/>
      <c r="Q86" s="22"/>
      <c r="R86" s="22"/>
      <c r="S86" s="22"/>
      <c r="T86" s="22"/>
      <c r="U86" s="22"/>
      <c r="V86" s="197" t="s">
        <v>141</v>
      </c>
      <c r="W86" s="198"/>
      <c r="X86" s="198"/>
      <c r="Y86" s="198"/>
      <c r="Z86" s="198"/>
      <c r="AA86" s="198"/>
      <c r="AB86" s="198"/>
      <c r="AC86" s="198"/>
      <c r="AD86" s="198"/>
      <c r="AE86" s="198"/>
      <c r="AF86" s="198"/>
      <c r="AG86" s="198"/>
      <c r="AH86" s="198"/>
      <c r="AI86" s="198"/>
      <c r="AJ86" s="198"/>
      <c r="AK86" s="198"/>
      <c r="AL86" s="198"/>
      <c r="AM86" s="198"/>
      <c r="AN86" s="198"/>
      <c r="AO86" s="198"/>
      <c r="AP86" s="198"/>
      <c r="AQ86" s="198"/>
      <c r="AR86" s="198"/>
      <c r="AS86" s="198"/>
      <c r="AT86" s="198"/>
      <c r="AU86" s="198"/>
      <c r="AV86" s="198"/>
      <c r="AW86" s="198"/>
      <c r="AX86" s="198"/>
      <c r="AY86" s="198"/>
      <c r="AZ86" s="199"/>
      <c r="BA86" s="22"/>
      <c r="BB86" s="22"/>
      <c r="BC86" s="22"/>
      <c r="BD86" s="22"/>
      <c r="BE86" s="22"/>
      <c r="BF86" s="22"/>
      <c r="BG86" s="22"/>
      <c r="BH86" s="22"/>
      <c r="BI86" s="22"/>
      <c r="BJ86" s="22"/>
      <c r="BK86" s="22"/>
      <c r="BL86" s="22"/>
      <c r="BM86" s="22"/>
      <c r="BN86" s="22"/>
      <c r="BO86" s="23"/>
      <c r="BP86" s="23"/>
      <c r="BQ86" s="23"/>
      <c r="BR86" s="23"/>
      <c r="BS86" s="1"/>
      <c r="BT86" s="1"/>
      <c r="BU86" s="1"/>
      <c r="BV86" s="1"/>
      <c r="BW86" s="1"/>
      <c r="BX86" s="1"/>
      <c r="BY86" s="1"/>
      <c r="BZ86" s="1"/>
    </row>
    <row r="87" spans="1:78" ht="14.25" customHeight="1" thickBot="1" x14ac:dyDescent="0.3">
      <c r="A87" s="1"/>
      <c r="B87" s="16"/>
      <c r="C87" s="16"/>
      <c r="D87" s="18"/>
      <c r="E87" s="18"/>
      <c r="F87" s="18"/>
      <c r="G87" s="18"/>
      <c r="H87" s="18"/>
      <c r="I87" s="18"/>
      <c r="J87" s="18"/>
      <c r="K87" s="18"/>
      <c r="L87" s="18"/>
      <c r="M87" s="18"/>
      <c r="N87" s="18"/>
      <c r="O87" s="18"/>
      <c r="P87" s="25"/>
      <c r="Q87" s="25"/>
      <c r="R87" s="25"/>
      <c r="S87" s="25"/>
      <c r="T87" s="25"/>
      <c r="U87" s="25"/>
      <c r="V87" s="200"/>
      <c r="W87" s="201"/>
      <c r="X87" s="201"/>
      <c r="Y87" s="201"/>
      <c r="Z87" s="201"/>
      <c r="AA87" s="201"/>
      <c r="AB87" s="201"/>
      <c r="AC87" s="201"/>
      <c r="AD87" s="201"/>
      <c r="AE87" s="201"/>
      <c r="AF87" s="201"/>
      <c r="AG87" s="201"/>
      <c r="AH87" s="201"/>
      <c r="AI87" s="201"/>
      <c r="AJ87" s="201"/>
      <c r="AK87" s="201"/>
      <c r="AL87" s="201"/>
      <c r="AM87" s="201"/>
      <c r="AN87" s="201"/>
      <c r="AO87" s="201"/>
      <c r="AP87" s="201"/>
      <c r="AQ87" s="201"/>
      <c r="AR87" s="201"/>
      <c r="AS87" s="201"/>
      <c r="AT87" s="201"/>
      <c r="AU87" s="201"/>
      <c r="AV87" s="201"/>
      <c r="AW87" s="201"/>
      <c r="AX87" s="201"/>
      <c r="AY87" s="201"/>
      <c r="AZ87" s="202"/>
      <c r="BA87" s="25"/>
      <c r="BB87" s="25"/>
      <c r="BC87" s="25"/>
      <c r="BD87" s="25"/>
      <c r="BE87" s="25"/>
      <c r="BF87" s="25"/>
      <c r="BG87" s="25"/>
      <c r="BH87" s="25"/>
      <c r="BI87" s="25"/>
      <c r="BJ87" s="25"/>
      <c r="BK87" s="25"/>
      <c r="BL87" s="25"/>
      <c r="BM87" s="25"/>
      <c r="BN87" s="25"/>
      <c r="BO87" s="26"/>
      <c r="BP87" s="26"/>
      <c r="BQ87" s="26"/>
      <c r="BR87" s="26"/>
    </row>
    <row r="88" spans="1:78" ht="14.25" customHeight="1" x14ac:dyDescent="0.25">
      <c r="A88" s="1"/>
      <c r="B88" s="10"/>
      <c r="C88" s="10"/>
      <c r="D88" s="18"/>
      <c r="E88" s="18"/>
      <c r="F88" s="18"/>
      <c r="G88" s="18"/>
      <c r="H88" s="18"/>
      <c r="I88" s="18"/>
      <c r="J88" s="18"/>
      <c r="K88" s="18"/>
      <c r="L88" s="18"/>
      <c r="M88" s="18"/>
      <c r="N88" s="18"/>
      <c r="O88" s="18"/>
      <c r="P88" s="25"/>
      <c r="Q88" s="25"/>
      <c r="R88" s="25"/>
      <c r="S88" s="25"/>
      <c r="T88" s="25"/>
      <c r="U88" s="25"/>
      <c r="V88" s="80"/>
      <c r="W88" s="80"/>
      <c r="X88" s="80"/>
      <c r="Y88" s="80"/>
      <c r="Z88" s="80"/>
      <c r="AA88" s="80"/>
      <c r="AB88" s="80"/>
      <c r="AC88" s="80"/>
      <c r="AD88" s="80"/>
      <c r="AE88" s="80"/>
      <c r="AF88" s="80"/>
      <c r="AG88" s="80"/>
      <c r="AH88" s="80"/>
      <c r="AI88" s="80"/>
      <c r="AJ88" s="80"/>
      <c r="AK88" s="80"/>
      <c r="AL88" s="80"/>
      <c r="AM88" s="80"/>
      <c r="AN88" s="80"/>
      <c r="AO88" s="80"/>
      <c r="AP88" s="80"/>
      <c r="AQ88" s="80"/>
      <c r="AR88" s="80"/>
      <c r="AS88" s="80"/>
      <c r="AT88" s="80"/>
      <c r="AU88" s="80"/>
      <c r="AV88" s="80"/>
      <c r="AW88" s="80"/>
      <c r="AX88" s="80"/>
      <c r="AY88" s="80"/>
      <c r="AZ88" s="80"/>
      <c r="BA88" s="25"/>
      <c r="BB88" s="25"/>
      <c r="BC88" s="25"/>
      <c r="BD88" s="25"/>
      <c r="BE88" s="25"/>
      <c r="BF88" s="25"/>
      <c r="BG88" s="25"/>
      <c r="BH88" s="25"/>
      <c r="BI88" s="25"/>
      <c r="BJ88" s="25"/>
      <c r="BK88" s="25"/>
      <c r="BL88" s="25"/>
      <c r="BM88" s="25"/>
      <c r="BN88" s="25"/>
      <c r="BO88" s="26"/>
      <c r="BP88" s="26"/>
      <c r="BQ88" s="26"/>
      <c r="BR88" s="26"/>
    </row>
    <row r="89" spans="1:78" ht="14.25" customHeight="1" x14ac:dyDescent="0.25">
      <c r="A89" s="27" t="s">
        <v>149</v>
      </c>
      <c r="B89" s="28"/>
      <c r="C89" s="28"/>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c r="AX89" s="29"/>
      <c r="AY89" s="29"/>
      <c r="AZ89" s="29"/>
      <c r="BA89" s="29"/>
      <c r="BB89" s="29"/>
      <c r="BC89" s="29"/>
      <c r="BD89" s="29"/>
      <c r="BE89" s="29"/>
      <c r="BF89" s="29"/>
      <c r="BG89" s="29"/>
      <c r="BH89" s="29"/>
      <c r="BI89" s="29"/>
      <c r="BJ89" s="29"/>
      <c r="BK89" s="29"/>
      <c r="BL89" s="29"/>
      <c r="BM89" s="29"/>
      <c r="BN89" s="29"/>
      <c r="BO89" s="30"/>
      <c r="BP89" s="30"/>
    </row>
    <row r="90" spans="1:78" ht="14.25" customHeight="1" x14ac:dyDescent="0.25">
      <c r="A90" s="31" t="s">
        <v>13</v>
      </c>
      <c r="B90" s="207" t="s">
        <v>144</v>
      </c>
      <c r="C90" s="207"/>
      <c r="D90" s="207"/>
      <c r="E90" s="207"/>
      <c r="F90" s="207"/>
      <c r="G90" s="207"/>
      <c r="H90" s="207"/>
      <c r="I90" s="207"/>
      <c r="J90" s="207"/>
      <c r="K90" s="207"/>
      <c r="L90" s="207"/>
      <c r="M90" s="207"/>
      <c r="N90" s="207"/>
      <c r="O90" s="207"/>
      <c r="P90" s="207"/>
      <c r="Q90" s="207"/>
      <c r="R90" s="207"/>
      <c r="S90" s="207"/>
      <c r="T90" s="207"/>
      <c r="U90" s="207"/>
      <c r="V90" s="207"/>
      <c r="W90" s="207"/>
      <c r="X90" s="207"/>
      <c r="Y90" s="207"/>
      <c r="Z90" s="207"/>
      <c r="AA90" s="207"/>
      <c r="AB90" s="207"/>
      <c r="AC90" s="207"/>
      <c r="AD90" s="207"/>
      <c r="AE90" s="207"/>
      <c r="AF90" s="207"/>
      <c r="AG90" s="207"/>
      <c r="AH90" s="207"/>
      <c r="AI90" s="207"/>
      <c r="AJ90" s="207"/>
      <c r="AK90" s="207"/>
      <c r="AL90" s="207"/>
      <c r="AM90" s="207"/>
      <c r="AN90" s="207"/>
      <c r="AO90" s="207"/>
      <c r="AP90" s="207"/>
      <c r="AQ90" s="207"/>
      <c r="AR90" s="207"/>
      <c r="AS90" s="207"/>
      <c r="AT90" s="207"/>
      <c r="AU90" s="207"/>
      <c r="AV90" s="207"/>
      <c r="AW90" s="207"/>
      <c r="AX90" s="207"/>
      <c r="AY90" s="207"/>
      <c r="AZ90" s="207"/>
      <c r="BA90" s="207"/>
      <c r="BB90" s="207"/>
      <c r="BC90" s="207"/>
      <c r="BD90" s="207"/>
      <c r="BE90" s="207"/>
      <c r="BF90" s="207"/>
      <c r="BG90" s="207"/>
      <c r="BH90" s="207"/>
      <c r="BI90" s="207"/>
      <c r="BJ90" s="207"/>
      <c r="BK90" s="207"/>
      <c r="BL90" s="207"/>
      <c r="BM90" s="207"/>
      <c r="BN90" s="207"/>
      <c r="BO90" s="207"/>
      <c r="BP90" s="207"/>
      <c r="BQ90" s="207"/>
    </row>
    <row r="91" spans="1:78" ht="14.25" customHeight="1" x14ac:dyDescent="0.25">
      <c r="A91" s="31" t="s">
        <v>14</v>
      </c>
      <c r="B91" s="189" t="s">
        <v>145</v>
      </c>
      <c r="C91" s="189"/>
      <c r="D91" s="189"/>
      <c r="E91" s="189"/>
      <c r="F91" s="189"/>
      <c r="G91" s="189"/>
      <c r="H91" s="189"/>
      <c r="I91" s="189"/>
      <c r="J91" s="189"/>
      <c r="K91" s="189"/>
      <c r="L91" s="189"/>
      <c r="M91" s="189"/>
      <c r="N91" s="189"/>
      <c r="O91" s="189"/>
      <c r="P91" s="189"/>
      <c r="Q91" s="189"/>
      <c r="R91" s="189"/>
      <c r="S91" s="189"/>
      <c r="T91" s="189"/>
      <c r="U91" s="189"/>
      <c r="V91" s="189"/>
      <c r="W91" s="189"/>
      <c r="X91" s="189"/>
      <c r="Y91" s="189"/>
      <c r="Z91" s="189"/>
      <c r="AA91" s="189"/>
      <c r="AB91" s="189"/>
      <c r="AC91" s="189"/>
      <c r="AD91" s="189"/>
      <c r="AE91" s="189"/>
      <c r="AF91" s="189"/>
      <c r="AG91" s="189"/>
      <c r="AH91" s="189"/>
      <c r="AI91" s="189"/>
      <c r="AJ91" s="189"/>
      <c r="AK91" s="189"/>
      <c r="AL91" s="189"/>
      <c r="AM91" s="189"/>
      <c r="AN91" s="189"/>
      <c r="AO91" s="189"/>
      <c r="AP91" s="189"/>
      <c r="AQ91" s="189"/>
      <c r="AR91" s="189"/>
      <c r="AS91" s="189"/>
      <c r="AT91" s="189"/>
      <c r="AU91" s="189"/>
      <c r="AV91" s="189"/>
      <c r="AW91" s="189"/>
      <c r="AX91" s="189"/>
      <c r="AY91" s="189"/>
      <c r="AZ91" s="189"/>
      <c r="BA91" s="189"/>
      <c r="BB91" s="189"/>
      <c r="BC91" s="189"/>
      <c r="BD91" s="189"/>
      <c r="BE91" s="189"/>
      <c r="BF91" s="189"/>
      <c r="BG91" s="189"/>
      <c r="BH91" s="189"/>
      <c r="BI91" s="189"/>
      <c r="BJ91" s="189"/>
      <c r="BK91" s="189"/>
      <c r="BL91" s="189"/>
      <c r="BM91" s="189"/>
      <c r="BN91" s="189"/>
      <c r="BO91" s="189"/>
      <c r="BP91" s="189"/>
      <c r="BQ91" s="190"/>
    </row>
    <row r="92" spans="1:78" ht="14.25" customHeight="1" x14ac:dyDescent="0.25">
      <c r="A92" s="31" t="s">
        <v>15</v>
      </c>
      <c r="B92" s="189" t="s">
        <v>146</v>
      </c>
      <c r="C92" s="189"/>
      <c r="D92" s="189"/>
      <c r="E92" s="189"/>
      <c r="F92" s="189"/>
      <c r="G92" s="189"/>
      <c r="H92" s="189"/>
      <c r="I92" s="189"/>
      <c r="J92" s="189"/>
      <c r="K92" s="189"/>
      <c r="L92" s="189"/>
      <c r="M92" s="189"/>
      <c r="N92" s="189"/>
      <c r="O92" s="189"/>
      <c r="P92" s="189"/>
      <c r="Q92" s="189"/>
      <c r="R92" s="189"/>
      <c r="S92" s="189"/>
      <c r="T92" s="189"/>
      <c r="U92" s="189"/>
      <c r="V92" s="189"/>
      <c r="W92" s="189"/>
      <c r="X92" s="189"/>
      <c r="Y92" s="189"/>
      <c r="Z92" s="189"/>
      <c r="AA92" s="189"/>
      <c r="AB92" s="189"/>
      <c r="AC92" s="189"/>
      <c r="AD92" s="189"/>
      <c r="AE92" s="189"/>
      <c r="AF92" s="189"/>
      <c r="AG92" s="189"/>
      <c r="AH92" s="189"/>
      <c r="AI92" s="189"/>
      <c r="AJ92" s="189"/>
      <c r="AK92" s="189"/>
      <c r="AL92" s="189"/>
      <c r="AM92" s="189"/>
      <c r="AN92" s="189"/>
      <c r="AO92" s="189"/>
      <c r="AP92" s="189"/>
      <c r="AQ92" s="189"/>
      <c r="AR92" s="189"/>
      <c r="AS92" s="189"/>
      <c r="AT92" s="189"/>
      <c r="AU92" s="189"/>
      <c r="AV92" s="189"/>
      <c r="AW92" s="189"/>
      <c r="AX92" s="189"/>
      <c r="AY92" s="189"/>
      <c r="AZ92" s="189"/>
      <c r="BA92" s="189"/>
      <c r="BB92" s="189"/>
      <c r="BC92" s="189"/>
      <c r="BD92" s="189"/>
      <c r="BE92" s="189"/>
      <c r="BF92" s="189"/>
      <c r="BG92" s="189"/>
      <c r="BH92" s="189"/>
      <c r="BI92" s="189"/>
      <c r="BJ92" s="189"/>
      <c r="BK92" s="189"/>
      <c r="BL92" s="189"/>
      <c r="BM92" s="189"/>
      <c r="BN92" s="189"/>
      <c r="BO92" s="189"/>
      <c r="BP92" s="189"/>
      <c r="BQ92" s="190"/>
    </row>
    <row r="93" spans="1:78" ht="14.25" customHeight="1" x14ac:dyDescent="0.25">
      <c r="A93" s="31" t="s">
        <v>16</v>
      </c>
      <c r="B93" s="189" t="s">
        <v>147</v>
      </c>
      <c r="C93" s="189"/>
      <c r="D93" s="189"/>
      <c r="E93" s="189"/>
      <c r="F93" s="189"/>
      <c r="G93" s="189"/>
      <c r="H93" s="189"/>
      <c r="I93" s="189"/>
      <c r="J93" s="189"/>
      <c r="K93" s="189"/>
      <c r="L93" s="189"/>
      <c r="M93" s="189"/>
      <c r="N93" s="189"/>
      <c r="O93" s="189"/>
      <c r="P93" s="189"/>
      <c r="Q93" s="189"/>
      <c r="R93" s="189"/>
      <c r="S93" s="189"/>
      <c r="T93" s="189"/>
      <c r="U93" s="189"/>
      <c r="V93" s="189"/>
      <c r="W93" s="189"/>
      <c r="X93" s="189"/>
      <c r="Y93" s="189"/>
      <c r="Z93" s="189"/>
      <c r="AA93" s="189"/>
      <c r="AB93" s="189"/>
      <c r="AC93" s="189"/>
      <c r="AD93" s="189"/>
      <c r="AE93" s="189"/>
      <c r="AF93" s="189"/>
      <c r="AG93" s="189"/>
      <c r="AH93" s="189"/>
      <c r="AI93" s="189"/>
      <c r="AJ93" s="189"/>
      <c r="AK93" s="189"/>
      <c r="AL93" s="189"/>
      <c r="AM93" s="189"/>
      <c r="AN93" s="189"/>
      <c r="AO93" s="189"/>
      <c r="AP93" s="189"/>
      <c r="AQ93" s="189"/>
      <c r="AR93" s="189"/>
      <c r="AS93" s="189"/>
      <c r="AT93" s="189"/>
      <c r="AU93" s="189"/>
      <c r="AV93" s="189"/>
      <c r="AW93" s="189"/>
      <c r="AX93" s="189"/>
      <c r="AY93" s="189"/>
      <c r="AZ93" s="189"/>
      <c r="BA93" s="189"/>
      <c r="BB93" s="189"/>
      <c r="BC93" s="189"/>
      <c r="BD93" s="189"/>
      <c r="BE93" s="189"/>
      <c r="BF93" s="189"/>
      <c r="BG93" s="189"/>
      <c r="BH93" s="189"/>
      <c r="BI93" s="189"/>
      <c r="BJ93" s="189"/>
      <c r="BK93" s="189"/>
      <c r="BL93" s="189"/>
      <c r="BM93" s="189"/>
      <c r="BN93" s="189"/>
      <c r="BO93" s="189"/>
      <c r="BP93" s="189"/>
      <c r="BQ93" s="190"/>
    </row>
    <row r="94" spans="1:78" ht="14.25" customHeight="1" x14ac:dyDescent="0.25">
      <c r="A94" s="31" t="s">
        <v>17</v>
      </c>
      <c r="B94" s="189" t="s">
        <v>148</v>
      </c>
      <c r="C94" s="189"/>
      <c r="D94" s="189"/>
      <c r="E94" s="189"/>
      <c r="F94" s="189"/>
      <c r="G94" s="189"/>
      <c r="H94" s="189"/>
      <c r="I94" s="189"/>
      <c r="J94" s="189"/>
      <c r="K94" s="189"/>
      <c r="L94" s="189"/>
      <c r="M94" s="189"/>
      <c r="N94" s="189"/>
      <c r="O94" s="189"/>
      <c r="P94" s="189"/>
      <c r="Q94" s="189"/>
      <c r="R94" s="189"/>
      <c r="S94" s="189"/>
      <c r="T94" s="189"/>
      <c r="U94" s="189"/>
      <c r="V94" s="189"/>
      <c r="W94" s="189"/>
      <c r="X94" s="189"/>
      <c r="Y94" s="189"/>
      <c r="Z94" s="189"/>
      <c r="AA94" s="189"/>
      <c r="AB94" s="189"/>
      <c r="AC94" s="189"/>
      <c r="AD94" s="189"/>
      <c r="AE94" s="189"/>
      <c r="AF94" s="189"/>
      <c r="AG94" s="189"/>
      <c r="AH94" s="189"/>
      <c r="AI94" s="189"/>
      <c r="AJ94" s="189"/>
      <c r="AK94" s="189"/>
      <c r="AL94" s="189"/>
      <c r="AM94" s="189"/>
      <c r="AN94" s="189"/>
      <c r="AO94" s="189"/>
      <c r="AP94" s="189"/>
      <c r="AQ94" s="189"/>
      <c r="AR94" s="189"/>
      <c r="AS94" s="189"/>
      <c r="AT94" s="189"/>
      <c r="AU94" s="189"/>
      <c r="AV94" s="189"/>
      <c r="AW94" s="189"/>
      <c r="AX94" s="189"/>
      <c r="AY94" s="189"/>
      <c r="AZ94" s="189"/>
      <c r="BA94" s="189"/>
      <c r="BB94" s="189"/>
      <c r="BC94" s="189"/>
      <c r="BD94" s="189"/>
      <c r="BE94" s="189"/>
      <c r="BF94" s="189"/>
      <c r="BG94" s="189"/>
      <c r="BH94" s="189"/>
      <c r="BI94" s="189"/>
      <c r="BJ94" s="189"/>
      <c r="BK94" s="189"/>
      <c r="BL94" s="189"/>
      <c r="BM94" s="189"/>
      <c r="BN94" s="189"/>
      <c r="BO94" s="189"/>
      <c r="BP94" s="190"/>
      <c r="BQ94" s="190"/>
    </row>
    <row r="95" spans="1:78" ht="14.25" customHeight="1" x14ac:dyDescent="0.25">
      <c r="A95" s="31" t="s">
        <v>18</v>
      </c>
      <c r="B95" s="189" t="s">
        <v>162</v>
      </c>
      <c r="C95" s="189"/>
      <c r="D95" s="189"/>
      <c r="E95" s="189"/>
      <c r="F95" s="189"/>
      <c r="G95" s="189"/>
      <c r="H95" s="189"/>
      <c r="I95" s="189"/>
      <c r="J95" s="189"/>
      <c r="K95" s="189"/>
      <c r="L95" s="189"/>
      <c r="M95" s="189"/>
      <c r="N95" s="189"/>
      <c r="O95" s="189"/>
      <c r="P95" s="189"/>
      <c r="Q95" s="189"/>
      <c r="R95" s="189"/>
      <c r="S95" s="189"/>
      <c r="T95" s="189"/>
      <c r="U95" s="189"/>
      <c r="V95" s="189"/>
      <c r="W95" s="189"/>
      <c r="X95" s="189"/>
      <c r="Y95" s="189"/>
      <c r="Z95" s="189"/>
      <c r="AA95" s="189"/>
      <c r="AB95" s="189"/>
      <c r="AC95" s="189"/>
      <c r="AD95" s="189"/>
      <c r="AE95" s="189"/>
      <c r="AF95" s="189"/>
      <c r="AG95" s="189"/>
      <c r="AH95" s="189"/>
      <c r="AI95" s="189"/>
      <c r="AJ95" s="189"/>
      <c r="AK95" s="189"/>
      <c r="AL95" s="189"/>
      <c r="AM95" s="189"/>
      <c r="AN95" s="189"/>
      <c r="AO95" s="189"/>
      <c r="AP95" s="189"/>
      <c r="AQ95" s="189"/>
      <c r="AR95" s="189"/>
      <c r="AS95" s="189"/>
      <c r="AT95" s="189"/>
      <c r="AU95" s="189"/>
      <c r="AV95" s="189"/>
      <c r="AW95" s="189"/>
      <c r="AX95" s="189"/>
      <c r="AY95" s="189"/>
      <c r="AZ95" s="189"/>
      <c r="BA95" s="189"/>
      <c r="BB95" s="189"/>
      <c r="BC95" s="189"/>
      <c r="BD95" s="189"/>
      <c r="BE95" s="189"/>
      <c r="BF95" s="189"/>
      <c r="BG95" s="189"/>
      <c r="BH95" s="189"/>
      <c r="BI95" s="189"/>
      <c r="BJ95" s="189"/>
      <c r="BK95" s="189"/>
      <c r="BL95" s="189"/>
      <c r="BM95" s="189"/>
      <c r="BN95" s="189"/>
      <c r="BO95" s="189"/>
      <c r="BP95" s="189"/>
      <c r="BQ95" s="190"/>
      <c r="BR95" s="190"/>
    </row>
    <row r="96" spans="1:78" ht="14.25" customHeight="1" x14ac:dyDescent="0.25">
      <c r="A96" s="31"/>
      <c r="B96" s="189" t="s">
        <v>163</v>
      </c>
      <c r="C96" s="189"/>
      <c r="D96" s="189"/>
      <c r="E96" s="189"/>
      <c r="F96" s="189"/>
      <c r="G96" s="189"/>
      <c r="H96" s="189"/>
      <c r="I96" s="189"/>
      <c r="J96" s="189"/>
      <c r="K96" s="189"/>
      <c r="L96" s="189"/>
      <c r="M96" s="189"/>
      <c r="N96" s="189"/>
      <c r="O96" s="189"/>
      <c r="P96" s="189"/>
      <c r="Q96" s="189"/>
      <c r="R96" s="189"/>
      <c r="S96" s="189"/>
      <c r="T96" s="189"/>
      <c r="U96" s="189"/>
      <c r="V96" s="189"/>
      <c r="W96" s="189"/>
      <c r="X96" s="189"/>
      <c r="Y96" s="189"/>
      <c r="Z96" s="189"/>
      <c r="AA96" s="189"/>
      <c r="AB96" s="189"/>
      <c r="AC96" s="189"/>
      <c r="AD96" s="189"/>
      <c r="AE96" s="189"/>
      <c r="AF96" s="189"/>
      <c r="AG96" s="189"/>
      <c r="AH96" s="189"/>
      <c r="AI96" s="189"/>
      <c r="AJ96" s="189"/>
      <c r="AK96" s="189"/>
      <c r="AL96" s="189"/>
      <c r="AM96" s="189"/>
      <c r="AN96" s="189"/>
      <c r="AO96" s="189"/>
      <c r="AP96" s="189"/>
      <c r="AQ96" s="189"/>
      <c r="AR96" s="189"/>
      <c r="AS96" s="189"/>
      <c r="AT96" s="189"/>
      <c r="AU96" s="189"/>
      <c r="AV96" s="189"/>
      <c r="AW96" s="189"/>
      <c r="AX96" s="189"/>
      <c r="AY96" s="189"/>
      <c r="AZ96" s="189"/>
      <c r="BA96" s="189"/>
      <c r="BB96" s="189"/>
      <c r="BC96" s="189"/>
      <c r="BD96" s="189"/>
      <c r="BE96" s="189"/>
      <c r="BF96" s="189"/>
      <c r="BG96" s="189"/>
      <c r="BH96" s="189"/>
      <c r="BI96" s="189"/>
      <c r="BJ96" s="189"/>
      <c r="BK96" s="189"/>
      <c r="BL96" s="189"/>
      <c r="BM96" s="189"/>
      <c r="BN96" s="189"/>
      <c r="BO96" s="189"/>
      <c r="BP96" s="189"/>
      <c r="BQ96" s="190"/>
      <c r="BR96" s="190"/>
    </row>
    <row r="97" spans="1:70" ht="14.25" customHeight="1" x14ac:dyDescent="0.25">
      <c r="A97" s="31"/>
      <c r="B97" s="189" t="s">
        <v>164</v>
      </c>
      <c r="C97" s="189"/>
      <c r="D97" s="189"/>
      <c r="E97" s="189"/>
      <c r="F97" s="189"/>
      <c r="G97" s="189"/>
      <c r="H97" s="189"/>
      <c r="I97" s="189"/>
      <c r="J97" s="189"/>
      <c r="K97" s="189"/>
      <c r="L97" s="189"/>
      <c r="M97" s="189"/>
      <c r="N97" s="189"/>
      <c r="O97" s="189"/>
      <c r="P97" s="189"/>
      <c r="Q97" s="189"/>
      <c r="R97" s="189"/>
      <c r="S97" s="189"/>
      <c r="T97" s="189"/>
      <c r="U97" s="189"/>
      <c r="V97" s="189"/>
      <c r="W97" s="189"/>
      <c r="X97" s="189"/>
      <c r="Y97" s="189"/>
      <c r="Z97" s="189"/>
      <c r="AA97" s="189"/>
      <c r="AB97" s="189"/>
      <c r="AC97" s="189"/>
      <c r="AD97" s="189"/>
      <c r="AE97" s="189"/>
      <c r="AF97" s="189"/>
      <c r="AG97" s="189"/>
      <c r="AH97" s="189"/>
      <c r="AI97" s="189"/>
      <c r="AJ97" s="189"/>
      <c r="AK97" s="189"/>
      <c r="AL97" s="189"/>
      <c r="AM97" s="189"/>
      <c r="AN97" s="189"/>
      <c r="AO97" s="189"/>
      <c r="AP97" s="189"/>
      <c r="AQ97" s="189"/>
      <c r="AR97" s="189"/>
      <c r="AS97" s="189"/>
      <c r="AT97" s="189"/>
      <c r="AU97" s="189"/>
      <c r="AV97" s="189"/>
      <c r="AW97" s="189"/>
      <c r="AX97" s="189"/>
      <c r="AY97" s="189"/>
      <c r="AZ97" s="189"/>
      <c r="BA97" s="189"/>
      <c r="BB97" s="189"/>
      <c r="BC97" s="189"/>
      <c r="BD97" s="189"/>
      <c r="BE97" s="189"/>
      <c r="BF97" s="189"/>
      <c r="BG97" s="189"/>
      <c r="BH97" s="189"/>
      <c r="BI97" s="189"/>
      <c r="BJ97" s="189"/>
      <c r="BK97" s="189"/>
      <c r="BL97" s="189"/>
      <c r="BM97" s="189"/>
      <c r="BN97" s="189"/>
      <c r="BO97" s="189"/>
      <c r="BP97" s="189"/>
      <c r="BQ97" s="190"/>
      <c r="BR97" s="190"/>
    </row>
    <row r="98" spans="1:70" ht="14.25" customHeight="1" x14ac:dyDescent="0.25">
      <c r="A98" s="31"/>
      <c r="B98" s="189" t="s">
        <v>165</v>
      </c>
      <c r="C98" s="189"/>
      <c r="D98" s="189"/>
      <c r="E98" s="189"/>
      <c r="F98" s="189"/>
      <c r="G98" s="189"/>
      <c r="H98" s="189"/>
      <c r="I98" s="189"/>
      <c r="J98" s="189"/>
      <c r="K98" s="189"/>
      <c r="L98" s="189"/>
      <c r="M98" s="189"/>
      <c r="N98" s="189"/>
      <c r="O98" s="189"/>
      <c r="P98" s="189"/>
      <c r="Q98" s="189"/>
      <c r="R98" s="189"/>
      <c r="S98" s="189"/>
      <c r="T98" s="189"/>
      <c r="U98" s="189"/>
      <c r="V98" s="189"/>
      <c r="W98" s="189"/>
      <c r="X98" s="189"/>
      <c r="Y98" s="189"/>
      <c r="Z98" s="189"/>
      <c r="AA98" s="189"/>
      <c r="AB98" s="189"/>
      <c r="AC98" s="189"/>
      <c r="AD98" s="189"/>
      <c r="AE98" s="189"/>
      <c r="AF98" s="189"/>
      <c r="AG98" s="189"/>
      <c r="AH98" s="189"/>
      <c r="AI98" s="189"/>
      <c r="AJ98" s="189"/>
      <c r="AK98" s="189"/>
      <c r="AL98" s="189"/>
      <c r="AM98" s="189"/>
      <c r="AN98" s="189"/>
      <c r="AO98" s="189"/>
      <c r="AP98" s="189"/>
      <c r="AQ98" s="189"/>
      <c r="AR98" s="189"/>
      <c r="AS98" s="189"/>
      <c r="AT98" s="189"/>
      <c r="AU98" s="189"/>
      <c r="AV98" s="189"/>
      <c r="AW98" s="189"/>
      <c r="AX98" s="189"/>
      <c r="AY98" s="189"/>
      <c r="AZ98" s="189"/>
      <c r="BA98" s="189"/>
      <c r="BB98" s="189"/>
      <c r="BC98" s="189"/>
      <c r="BD98" s="189"/>
      <c r="BE98" s="189"/>
      <c r="BF98" s="189"/>
      <c r="BG98" s="189"/>
      <c r="BH98" s="189"/>
      <c r="BI98" s="189"/>
      <c r="BJ98" s="189"/>
      <c r="BK98" s="189"/>
      <c r="BL98" s="189"/>
      <c r="BM98" s="189"/>
      <c r="BN98" s="189"/>
      <c r="BO98" s="189"/>
      <c r="BP98" s="189"/>
      <c r="BQ98" s="190"/>
      <c r="BR98" s="190"/>
    </row>
    <row r="99" spans="1:70" ht="14.25" customHeight="1" x14ac:dyDescent="0.25">
      <c r="A99" s="31"/>
      <c r="B99" s="189" t="s">
        <v>166</v>
      </c>
      <c r="C99" s="189"/>
      <c r="D99" s="189"/>
      <c r="E99" s="189"/>
      <c r="F99" s="189"/>
      <c r="G99" s="189"/>
      <c r="H99" s="189"/>
      <c r="I99" s="189"/>
      <c r="J99" s="189"/>
      <c r="K99" s="189"/>
      <c r="L99" s="189"/>
      <c r="M99" s="189"/>
      <c r="N99" s="189"/>
      <c r="O99" s="189"/>
      <c r="P99" s="189"/>
      <c r="Q99" s="189"/>
      <c r="R99" s="189"/>
      <c r="S99" s="189"/>
      <c r="T99" s="189"/>
      <c r="U99" s="189"/>
      <c r="V99" s="189"/>
      <c r="W99" s="189"/>
      <c r="X99" s="189"/>
      <c r="Y99" s="189"/>
      <c r="Z99" s="189"/>
      <c r="AA99" s="189"/>
      <c r="AB99" s="189"/>
      <c r="AC99" s="189"/>
      <c r="AD99" s="189"/>
      <c r="AE99" s="189"/>
      <c r="AF99" s="189"/>
      <c r="AG99" s="189"/>
      <c r="AH99" s="189"/>
      <c r="AI99" s="189"/>
      <c r="AJ99" s="189"/>
      <c r="AK99" s="189"/>
      <c r="AL99" s="189"/>
      <c r="AM99" s="189"/>
      <c r="AN99" s="189"/>
      <c r="AO99" s="189"/>
      <c r="AP99" s="189"/>
      <c r="AQ99" s="189"/>
      <c r="AR99" s="189"/>
      <c r="AS99" s="189"/>
      <c r="AT99" s="189"/>
      <c r="AU99" s="189"/>
      <c r="AV99" s="189"/>
      <c r="AW99" s="189"/>
      <c r="AX99" s="189"/>
      <c r="AY99" s="189"/>
      <c r="AZ99" s="189"/>
      <c r="BA99" s="189"/>
      <c r="BB99" s="189"/>
      <c r="BC99" s="189"/>
      <c r="BD99" s="189"/>
      <c r="BE99" s="189"/>
      <c r="BF99" s="189"/>
      <c r="BG99" s="189"/>
      <c r="BH99" s="189"/>
      <c r="BI99" s="189"/>
      <c r="BJ99" s="189"/>
      <c r="BK99" s="189"/>
      <c r="BL99" s="189"/>
      <c r="BM99" s="189"/>
      <c r="BN99" s="189"/>
      <c r="BO99" s="189"/>
      <c r="BP99" s="189"/>
      <c r="BQ99" s="190"/>
      <c r="BR99" s="190"/>
    </row>
    <row r="100" spans="1:70" ht="14.25" customHeight="1" x14ac:dyDescent="0.25">
      <c r="A100" s="31" t="s">
        <v>19</v>
      </c>
      <c r="B100" s="189" t="s">
        <v>158</v>
      </c>
      <c r="C100" s="189"/>
      <c r="D100" s="189"/>
      <c r="E100" s="189"/>
      <c r="F100" s="189"/>
      <c r="G100" s="189"/>
      <c r="H100" s="189"/>
      <c r="I100" s="189"/>
      <c r="J100" s="189"/>
      <c r="K100" s="189"/>
      <c r="L100" s="189"/>
      <c r="M100" s="189"/>
      <c r="N100" s="189"/>
      <c r="O100" s="189"/>
      <c r="P100" s="189"/>
      <c r="Q100" s="189"/>
      <c r="R100" s="189"/>
      <c r="S100" s="189"/>
      <c r="T100" s="189"/>
      <c r="U100" s="189"/>
      <c r="V100" s="189"/>
      <c r="W100" s="189"/>
      <c r="X100" s="189"/>
      <c r="Y100" s="189"/>
      <c r="Z100" s="189"/>
      <c r="AA100" s="189"/>
      <c r="AB100" s="189"/>
      <c r="AC100" s="189"/>
      <c r="AD100" s="189"/>
      <c r="AE100" s="189"/>
      <c r="AF100" s="189"/>
      <c r="AG100" s="189"/>
      <c r="AH100" s="189"/>
      <c r="AI100" s="189"/>
      <c r="AJ100" s="189"/>
      <c r="AK100" s="189"/>
      <c r="AL100" s="189"/>
      <c r="AM100" s="189"/>
      <c r="AN100" s="189"/>
      <c r="AO100" s="189"/>
      <c r="AP100" s="189"/>
      <c r="AQ100" s="189"/>
      <c r="AR100" s="189"/>
      <c r="AS100" s="189"/>
      <c r="AT100" s="189"/>
      <c r="AU100" s="189"/>
      <c r="AV100" s="189"/>
      <c r="AW100" s="189"/>
      <c r="AX100" s="189"/>
      <c r="AY100" s="189"/>
      <c r="AZ100" s="189"/>
      <c r="BA100" s="189"/>
      <c r="BB100" s="189"/>
      <c r="BC100" s="189"/>
      <c r="BD100" s="189"/>
      <c r="BE100" s="189"/>
      <c r="BF100" s="189"/>
      <c r="BG100" s="189"/>
      <c r="BH100" s="189"/>
      <c r="BI100" s="189"/>
      <c r="BJ100" s="189"/>
      <c r="BK100" s="189"/>
      <c r="BL100" s="189"/>
      <c r="BM100" s="189"/>
      <c r="BN100" s="189"/>
      <c r="BO100" s="189"/>
      <c r="BP100" s="189"/>
      <c r="BQ100" s="190"/>
      <c r="BR100" s="190"/>
    </row>
    <row r="101" spans="1:70" ht="14.25" customHeight="1" x14ac:dyDescent="0.25">
      <c r="A101" s="31" t="s">
        <v>20</v>
      </c>
      <c r="B101" s="189" t="s">
        <v>167</v>
      </c>
      <c r="C101" s="189"/>
      <c r="D101" s="189"/>
      <c r="E101" s="189"/>
      <c r="F101" s="189"/>
      <c r="G101" s="189"/>
      <c r="H101" s="189"/>
      <c r="I101" s="189"/>
      <c r="J101" s="189"/>
      <c r="K101" s="189"/>
      <c r="L101" s="189"/>
      <c r="M101" s="189"/>
      <c r="N101" s="189"/>
      <c r="O101" s="189"/>
      <c r="P101" s="189"/>
      <c r="Q101" s="189"/>
      <c r="R101" s="189"/>
      <c r="S101" s="189"/>
      <c r="T101" s="189"/>
      <c r="U101" s="189"/>
      <c r="V101" s="189"/>
      <c r="W101" s="189"/>
      <c r="X101" s="189"/>
      <c r="Y101" s="189"/>
      <c r="Z101" s="189"/>
      <c r="AA101" s="189"/>
      <c r="AB101" s="189"/>
      <c r="AC101" s="189"/>
      <c r="AD101" s="189"/>
      <c r="AE101" s="189"/>
      <c r="AF101" s="189"/>
      <c r="AG101" s="189"/>
      <c r="AH101" s="189"/>
      <c r="AI101" s="189"/>
      <c r="AJ101" s="189"/>
      <c r="AK101" s="189"/>
      <c r="AL101" s="189"/>
      <c r="AM101" s="189"/>
      <c r="AN101" s="189"/>
      <c r="AO101" s="189"/>
      <c r="AP101" s="189"/>
      <c r="AQ101" s="189"/>
      <c r="AR101" s="189"/>
      <c r="AS101" s="189"/>
      <c r="AT101" s="189"/>
      <c r="AU101" s="189"/>
      <c r="AV101" s="189"/>
      <c r="AW101" s="189"/>
      <c r="AX101" s="189"/>
      <c r="AY101" s="189"/>
      <c r="AZ101" s="189"/>
      <c r="BA101" s="189"/>
      <c r="BB101" s="189"/>
      <c r="BC101" s="189"/>
      <c r="BD101" s="189"/>
      <c r="BE101" s="189"/>
      <c r="BF101" s="189"/>
      <c r="BG101" s="189"/>
      <c r="BH101" s="189"/>
      <c r="BI101" s="189"/>
      <c r="BJ101" s="189"/>
      <c r="BK101" s="189"/>
      <c r="BL101" s="189"/>
      <c r="BM101" s="189"/>
      <c r="BN101" s="189"/>
      <c r="BO101" s="189"/>
      <c r="BP101" s="189"/>
      <c r="BQ101" s="190"/>
      <c r="BR101" s="190"/>
    </row>
    <row r="102" spans="1:70" ht="14.25" customHeight="1" x14ac:dyDescent="0.25">
      <c r="A102" s="31"/>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row>
    <row r="103" spans="1:70" ht="14.25" customHeight="1" x14ac:dyDescent="0.25">
      <c r="A103" s="31"/>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row>
    <row r="104" spans="1:70" ht="14.25" customHeight="1" x14ac:dyDescent="0.25">
      <c r="A104" s="143"/>
      <c r="B104" s="143"/>
      <c r="C104" s="143"/>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32"/>
      <c r="Z104" s="32"/>
      <c r="AA104" s="32"/>
      <c r="AB104" s="32"/>
      <c r="AC104" s="32"/>
      <c r="AD104" s="32"/>
      <c r="AE104" s="32"/>
      <c r="AF104" s="32"/>
      <c r="AG104" s="32"/>
      <c r="AH104" s="32"/>
      <c r="AI104" s="32"/>
      <c r="AJ104" s="142" t="s">
        <v>71</v>
      </c>
      <c r="AK104" s="142"/>
      <c r="AL104" s="142"/>
      <c r="AM104" s="142"/>
      <c r="AN104" s="142"/>
      <c r="AO104" s="142"/>
      <c r="AP104" s="142"/>
      <c r="AQ104" s="142"/>
      <c r="AR104" s="142"/>
      <c r="AS104" s="142"/>
      <c r="AT104" s="142"/>
      <c r="AU104" s="142"/>
      <c r="AV104" s="142"/>
      <c r="AW104" s="142"/>
      <c r="AX104" s="142"/>
      <c r="AY104" s="142"/>
      <c r="AZ104" s="142"/>
      <c r="BA104" s="142"/>
      <c r="BB104" s="142"/>
      <c r="BC104" s="142"/>
      <c r="BD104" s="142"/>
      <c r="BE104" s="142"/>
      <c r="BF104" s="142"/>
      <c r="BG104" s="142"/>
      <c r="BH104" s="142"/>
      <c r="BI104" s="142"/>
      <c r="BJ104" s="142"/>
      <c r="BK104" s="142"/>
      <c r="BL104" s="142"/>
      <c r="BM104" s="142"/>
      <c r="BN104" s="142"/>
      <c r="BO104" s="142"/>
      <c r="BP104" s="142"/>
      <c r="BQ104" s="142"/>
      <c r="BR104" s="142"/>
    </row>
    <row r="105" spans="1:70" ht="14.25" customHeight="1" x14ac:dyDescent="0.25">
      <c r="A105" s="33"/>
      <c r="B105" s="34"/>
      <c r="C105" s="34"/>
      <c r="D105" s="33"/>
      <c r="E105" s="33"/>
      <c r="F105" s="33"/>
      <c r="G105" s="33"/>
      <c r="H105" s="33"/>
      <c r="I105" s="33"/>
      <c r="J105" s="33"/>
      <c r="K105" s="33"/>
      <c r="L105" s="33"/>
      <c r="M105" s="33"/>
      <c r="N105" s="33"/>
      <c r="O105" s="33"/>
      <c r="P105" s="33"/>
      <c r="Q105" s="33"/>
      <c r="R105" s="33"/>
      <c r="S105" s="33"/>
      <c r="T105" s="35"/>
      <c r="U105" s="35"/>
      <c r="V105" s="35"/>
      <c r="W105" s="35"/>
      <c r="X105" s="35"/>
      <c r="Y105" s="36"/>
      <c r="Z105" s="36"/>
      <c r="AA105" s="36"/>
      <c r="AB105" s="36"/>
      <c r="AC105" s="36"/>
      <c r="AD105" s="36"/>
      <c r="AE105" s="36"/>
      <c r="AF105" s="36"/>
      <c r="AG105" s="36"/>
      <c r="AH105" s="36"/>
      <c r="AI105" s="36"/>
      <c r="AJ105" s="142"/>
      <c r="AK105" s="142"/>
      <c r="AL105" s="142"/>
      <c r="AM105" s="142"/>
      <c r="AN105" s="142"/>
      <c r="AO105" s="142"/>
      <c r="AP105" s="142"/>
      <c r="AQ105" s="142"/>
      <c r="AR105" s="142"/>
      <c r="AS105" s="142"/>
      <c r="AT105" s="142"/>
      <c r="AU105" s="142"/>
      <c r="AV105" s="142"/>
      <c r="AW105" s="142"/>
      <c r="AX105" s="142"/>
      <c r="AY105" s="142"/>
      <c r="AZ105" s="142"/>
      <c r="BA105" s="142"/>
      <c r="BB105" s="142"/>
      <c r="BC105" s="142"/>
      <c r="BD105" s="142"/>
      <c r="BE105" s="142"/>
      <c r="BF105" s="142"/>
      <c r="BG105" s="142"/>
      <c r="BH105" s="142"/>
      <c r="BI105" s="142"/>
      <c r="BJ105" s="142"/>
      <c r="BK105" s="142"/>
      <c r="BL105" s="142"/>
      <c r="BM105" s="142"/>
      <c r="BN105" s="142"/>
      <c r="BO105" s="142"/>
      <c r="BP105" s="142"/>
      <c r="BQ105" s="142"/>
      <c r="BR105" s="142"/>
    </row>
    <row r="106" spans="1:70" ht="14.25" customHeight="1" x14ac:dyDescent="0.25">
      <c r="A106" s="33"/>
      <c r="B106" s="34"/>
      <c r="C106" s="34"/>
      <c r="D106" s="33"/>
      <c r="E106" s="33"/>
      <c r="F106" s="33"/>
      <c r="G106" s="33"/>
      <c r="H106" s="33"/>
      <c r="I106" s="33"/>
      <c r="J106" s="33"/>
      <c r="K106" s="33"/>
      <c r="L106" s="33"/>
      <c r="M106" s="33"/>
      <c r="N106" s="33"/>
      <c r="O106" s="33"/>
      <c r="P106" s="33"/>
      <c r="Q106" s="33"/>
      <c r="R106" s="33"/>
      <c r="S106" s="33"/>
      <c r="T106" s="35"/>
      <c r="U106" s="35"/>
      <c r="V106" s="35"/>
      <c r="W106" s="35"/>
      <c r="X106" s="35"/>
      <c r="Y106" s="36"/>
      <c r="Z106" s="36"/>
      <c r="AA106" s="36"/>
      <c r="AB106" s="36"/>
      <c r="AC106" s="36"/>
      <c r="AD106" s="36"/>
      <c r="AE106" s="36"/>
      <c r="AF106" s="36"/>
      <c r="AG106" s="36"/>
      <c r="AH106" s="36"/>
      <c r="AI106" s="36"/>
      <c r="AJ106" s="142"/>
      <c r="AK106" s="142"/>
      <c r="AL106" s="142"/>
      <c r="AM106" s="142"/>
      <c r="AN106" s="142"/>
      <c r="AO106" s="142"/>
      <c r="AP106" s="142"/>
      <c r="AQ106" s="142"/>
      <c r="AR106" s="142"/>
      <c r="AS106" s="142"/>
      <c r="AT106" s="142"/>
      <c r="AU106" s="142"/>
      <c r="AV106" s="142"/>
      <c r="AW106" s="142"/>
      <c r="AX106" s="142"/>
      <c r="AY106" s="142"/>
      <c r="AZ106" s="142"/>
      <c r="BA106" s="142"/>
      <c r="BB106" s="142"/>
      <c r="BC106" s="142"/>
      <c r="BD106" s="142"/>
      <c r="BE106" s="142"/>
      <c r="BF106" s="142"/>
      <c r="BG106" s="142"/>
      <c r="BH106" s="142"/>
      <c r="BI106" s="142"/>
      <c r="BJ106" s="142"/>
      <c r="BK106" s="142"/>
      <c r="BL106" s="142"/>
      <c r="BM106" s="142"/>
      <c r="BN106" s="142"/>
      <c r="BO106" s="142"/>
      <c r="BP106" s="142"/>
      <c r="BQ106" s="142"/>
      <c r="BR106" s="142"/>
    </row>
    <row r="107" spans="1:70" ht="14.25" customHeight="1" x14ac:dyDescent="0.25">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6"/>
      <c r="AG107" s="36"/>
      <c r="AH107" s="36"/>
      <c r="AI107" s="36"/>
      <c r="AJ107" s="142"/>
      <c r="AK107" s="142"/>
      <c r="AL107" s="142"/>
      <c r="AM107" s="142"/>
      <c r="AN107" s="142"/>
      <c r="AO107" s="142"/>
      <c r="AP107" s="142"/>
      <c r="AQ107" s="142"/>
      <c r="AR107" s="142"/>
      <c r="AS107" s="142"/>
      <c r="AT107" s="142"/>
      <c r="AU107" s="142"/>
      <c r="AV107" s="142"/>
      <c r="AW107" s="142"/>
      <c r="AX107" s="142"/>
      <c r="AY107" s="142"/>
      <c r="AZ107" s="142"/>
      <c r="BA107" s="142"/>
      <c r="BB107" s="142"/>
      <c r="BC107" s="142"/>
      <c r="BD107" s="142"/>
      <c r="BE107" s="142"/>
      <c r="BF107" s="142"/>
      <c r="BG107" s="142"/>
      <c r="BH107" s="142"/>
      <c r="BI107" s="142"/>
      <c r="BJ107" s="142"/>
      <c r="BK107" s="142"/>
      <c r="BL107" s="142"/>
      <c r="BM107" s="142"/>
      <c r="BN107" s="142"/>
      <c r="BO107" s="142"/>
      <c r="BP107" s="142"/>
      <c r="BQ107" s="142"/>
      <c r="BR107" s="142"/>
    </row>
    <row r="108" spans="1:70" ht="14.25" customHeight="1" x14ac:dyDescent="0.25">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6"/>
      <c r="AG108" s="36"/>
      <c r="AH108" s="36"/>
      <c r="AI108" s="36"/>
      <c r="AJ108" s="142"/>
      <c r="AK108" s="142"/>
      <c r="AL108" s="142"/>
      <c r="AM108" s="142"/>
      <c r="AN108" s="142"/>
      <c r="AO108" s="142"/>
      <c r="AP108" s="142"/>
      <c r="AQ108" s="142"/>
      <c r="AR108" s="142"/>
      <c r="AS108" s="142"/>
      <c r="AT108" s="142"/>
      <c r="AU108" s="142"/>
      <c r="AV108" s="142"/>
      <c r="AW108" s="142"/>
      <c r="AX108" s="142"/>
      <c r="AY108" s="142"/>
      <c r="AZ108" s="142"/>
      <c r="BA108" s="142"/>
      <c r="BB108" s="142"/>
      <c r="BC108" s="142"/>
      <c r="BD108" s="142"/>
      <c r="BE108" s="142"/>
      <c r="BF108" s="142"/>
      <c r="BG108" s="142"/>
      <c r="BH108" s="142"/>
      <c r="BI108" s="142"/>
      <c r="BJ108" s="142"/>
      <c r="BK108" s="142"/>
      <c r="BL108" s="142"/>
      <c r="BM108" s="142"/>
      <c r="BN108" s="142"/>
      <c r="BO108" s="142"/>
      <c r="BP108" s="142"/>
      <c r="BQ108" s="142"/>
      <c r="BR108" s="142"/>
    </row>
    <row r="109" spans="1:70" ht="14.25" customHeight="1" x14ac:dyDescent="0.25">
      <c r="A109" s="38"/>
      <c r="B109" s="16"/>
      <c r="C109" s="16"/>
      <c r="D109" s="38"/>
      <c r="E109" s="38"/>
      <c r="F109" s="38"/>
      <c r="G109" s="38"/>
      <c r="H109" s="38"/>
      <c r="I109" s="38"/>
      <c r="J109" s="38"/>
      <c r="K109" s="38"/>
      <c r="L109" s="38"/>
      <c r="M109" s="38"/>
      <c r="N109" s="38"/>
      <c r="O109" s="38"/>
      <c r="P109" s="38"/>
      <c r="Q109" s="38"/>
      <c r="R109" s="38"/>
      <c r="S109" s="38"/>
      <c r="T109" s="39"/>
      <c r="U109" s="39"/>
      <c r="V109" s="39"/>
      <c r="W109" s="39"/>
      <c r="X109" s="39"/>
      <c r="Y109" s="38"/>
      <c r="Z109" s="38"/>
      <c r="AA109" s="38"/>
      <c r="AB109" s="38"/>
      <c r="AC109" s="38"/>
      <c r="AD109" s="38"/>
      <c r="AE109" s="38"/>
      <c r="AF109" s="36"/>
      <c r="AG109" s="36"/>
      <c r="AH109" s="36"/>
      <c r="AI109" s="36"/>
      <c r="AJ109" s="142"/>
      <c r="AK109" s="142"/>
      <c r="AL109" s="142"/>
      <c r="AM109" s="142"/>
      <c r="AN109" s="142"/>
      <c r="AO109" s="142"/>
      <c r="AP109" s="142"/>
      <c r="AQ109" s="142"/>
      <c r="AR109" s="142"/>
      <c r="AS109" s="142"/>
      <c r="AT109" s="142"/>
      <c r="AU109" s="142"/>
      <c r="AV109" s="142"/>
      <c r="AW109" s="142"/>
      <c r="AX109" s="142"/>
      <c r="AY109" s="142"/>
      <c r="AZ109" s="142"/>
      <c r="BA109" s="142"/>
      <c r="BB109" s="142"/>
      <c r="BC109" s="142"/>
      <c r="BD109" s="142"/>
      <c r="BE109" s="142"/>
      <c r="BF109" s="142"/>
      <c r="BG109" s="142"/>
      <c r="BH109" s="142"/>
      <c r="BI109" s="142"/>
      <c r="BJ109" s="142"/>
      <c r="BK109" s="142"/>
      <c r="BL109" s="142"/>
      <c r="BM109" s="142"/>
      <c r="BN109" s="142"/>
      <c r="BO109" s="142"/>
      <c r="BP109" s="142"/>
      <c r="BQ109" s="142"/>
      <c r="BR109" s="142"/>
    </row>
    <row r="110" spans="1:70" ht="14.25" customHeight="1" x14ac:dyDescent="0.25">
      <c r="A110" s="70"/>
      <c r="B110" s="16"/>
      <c r="C110" s="16"/>
      <c r="D110" s="70"/>
      <c r="E110" s="70"/>
      <c r="F110" s="70"/>
      <c r="G110" s="70"/>
      <c r="H110" s="70"/>
      <c r="I110" s="70"/>
      <c r="J110" s="70"/>
      <c r="K110" s="70"/>
      <c r="L110" s="70"/>
      <c r="M110" s="70"/>
      <c r="N110" s="70"/>
      <c r="O110" s="70"/>
      <c r="P110" s="70"/>
      <c r="Q110" s="70"/>
      <c r="R110" s="70"/>
      <c r="S110" s="70"/>
      <c r="T110" s="40"/>
      <c r="U110" s="40"/>
      <c r="V110" s="40"/>
      <c r="W110" s="40"/>
      <c r="X110" s="40"/>
      <c r="Y110" s="38"/>
      <c r="Z110" s="38"/>
      <c r="AA110" s="38"/>
      <c r="AB110" s="38"/>
      <c r="AC110" s="38"/>
      <c r="AD110" s="38"/>
      <c r="AE110" s="38"/>
      <c r="AF110" s="36"/>
      <c r="AG110" s="36"/>
      <c r="AH110" s="36"/>
      <c r="AI110" s="36"/>
      <c r="AJ110" s="142"/>
      <c r="AK110" s="142"/>
      <c r="AL110" s="142"/>
      <c r="AM110" s="142"/>
      <c r="AN110" s="142"/>
      <c r="AO110" s="142"/>
      <c r="AP110" s="142"/>
      <c r="AQ110" s="142"/>
      <c r="AR110" s="142"/>
      <c r="AS110" s="142"/>
      <c r="AT110" s="142"/>
      <c r="AU110" s="142"/>
      <c r="AV110" s="142"/>
      <c r="AW110" s="142"/>
      <c r="AX110" s="142"/>
      <c r="AY110" s="142"/>
      <c r="AZ110" s="142"/>
      <c r="BA110" s="142"/>
      <c r="BB110" s="142"/>
      <c r="BC110" s="142"/>
      <c r="BD110" s="142"/>
      <c r="BE110" s="142"/>
      <c r="BF110" s="142"/>
      <c r="BG110" s="142"/>
      <c r="BH110" s="142"/>
      <c r="BI110" s="142"/>
      <c r="BJ110" s="142"/>
      <c r="BK110" s="142"/>
      <c r="BL110" s="142"/>
      <c r="BM110" s="142"/>
      <c r="BN110" s="142"/>
      <c r="BO110" s="142"/>
      <c r="BP110" s="142"/>
      <c r="BQ110" s="142"/>
      <c r="BR110" s="142"/>
    </row>
    <row r="111" spans="1:70" ht="14.25" customHeight="1" x14ac:dyDescent="0.3">
      <c r="A111" s="70"/>
      <c r="B111" s="16"/>
      <c r="C111" s="16"/>
      <c r="D111" s="70"/>
      <c r="E111" s="70"/>
      <c r="F111" s="70"/>
      <c r="G111" s="70"/>
      <c r="H111" s="70"/>
      <c r="I111" s="70"/>
      <c r="J111" s="70"/>
      <c r="K111" s="70"/>
      <c r="L111" s="70"/>
      <c r="M111" s="70"/>
      <c r="N111" s="70"/>
      <c r="O111" s="70"/>
      <c r="P111" s="70"/>
      <c r="Q111" s="70"/>
      <c r="R111" s="70"/>
      <c r="S111" s="70"/>
      <c r="T111" s="40"/>
      <c r="U111" s="40"/>
      <c r="V111" s="40"/>
      <c r="W111" s="40"/>
      <c r="X111" s="40"/>
      <c r="Y111" s="38"/>
      <c r="Z111" s="38"/>
      <c r="AA111" s="38"/>
      <c r="AB111" s="38"/>
      <c r="AC111" s="38"/>
      <c r="AD111" s="38"/>
      <c r="AE111" s="38"/>
      <c r="AF111" s="36"/>
      <c r="AG111" s="36"/>
      <c r="AH111" s="36"/>
      <c r="AI111" s="36"/>
      <c r="AJ111" s="36"/>
      <c r="AK111" s="41"/>
      <c r="AL111" s="69"/>
      <c r="AM111" s="69"/>
      <c r="AN111" s="69"/>
      <c r="AO111" s="69"/>
      <c r="AP111" s="69"/>
      <c r="AQ111" s="69"/>
      <c r="AR111" s="69"/>
      <c r="AS111" s="69"/>
      <c r="AT111" s="69"/>
      <c r="AU111" s="69"/>
      <c r="AV111" s="69"/>
      <c r="AW111" s="69"/>
      <c r="AX111" s="69"/>
      <c r="AY111" s="69"/>
      <c r="AZ111" s="69"/>
      <c r="BA111" s="69"/>
      <c r="BB111" s="69"/>
      <c r="BC111" s="69"/>
      <c r="BD111" s="69"/>
      <c r="BE111" s="69"/>
      <c r="BF111" s="69"/>
      <c r="BG111" s="69"/>
      <c r="BH111" s="69"/>
      <c r="BI111" s="69"/>
      <c r="BJ111" s="69"/>
      <c r="BK111" s="69"/>
      <c r="BL111" s="69"/>
      <c r="BM111" s="69"/>
      <c r="BN111" s="69"/>
      <c r="BO111" s="69"/>
      <c r="BP111" s="69"/>
    </row>
    <row r="112" spans="1:70" ht="14.25" customHeight="1" x14ac:dyDescent="0.3">
      <c r="A112" s="70"/>
      <c r="B112" s="16"/>
      <c r="C112" s="16"/>
      <c r="D112" s="70"/>
      <c r="E112" s="70"/>
      <c r="F112" s="70"/>
      <c r="G112" s="70"/>
      <c r="H112" s="70"/>
      <c r="I112" s="70"/>
      <c r="J112" s="70"/>
      <c r="K112" s="70"/>
      <c r="L112" s="70"/>
      <c r="M112" s="70"/>
      <c r="N112" s="70"/>
      <c r="O112" s="70"/>
      <c r="P112" s="70"/>
      <c r="Q112" s="70"/>
      <c r="R112" s="70"/>
      <c r="S112" s="70"/>
      <c r="T112" s="40"/>
      <c r="U112" s="40"/>
      <c r="V112" s="40"/>
      <c r="W112" s="40"/>
      <c r="X112" s="40"/>
      <c r="Y112" s="38"/>
      <c r="Z112" s="38"/>
      <c r="AA112" s="38"/>
      <c r="AB112" s="38"/>
      <c r="AC112" s="38"/>
      <c r="AD112" s="38"/>
      <c r="AE112" s="38"/>
      <c r="AF112" s="36"/>
      <c r="AG112" s="36"/>
      <c r="AH112" s="36"/>
      <c r="AI112" s="36"/>
      <c r="AJ112" s="36"/>
      <c r="AK112" s="41"/>
      <c r="AL112" s="69"/>
      <c r="AM112" s="69"/>
      <c r="AN112" s="69"/>
      <c r="AO112" s="69"/>
      <c r="AP112" s="69"/>
      <c r="AQ112" s="69"/>
      <c r="AR112" s="69"/>
      <c r="AS112" s="69"/>
      <c r="AT112" s="69"/>
      <c r="AU112" s="69"/>
      <c r="AV112" s="69"/>
      <c r="AW112" s="69"/>
      <c r="AX112" s="69"/>
      <c r="AY112" s="69"/>
      <c r="AZ112" s="69"/>
      <c r="BA112" s="69"/>
      <c r="BB112" s="69"/>
      <c r="BC112" s="69"/>
      <c r="BD112" s="69"/>
      <c r="BE112" s="69"/>
      <c r="BF112" s="69"/>
      <c r="BG112" s="69"/>
      <c r="BH112" s="69"/>
      <c r="BI112" s="69"/>
      <c r="BJ112" s="69"/>
      <c r="BK112" s="69"/>
      <c r="BL112" s="69"/>
      <c r="BM112" s="69"/>
      <c r="BN112" s="69"/>
      <c r="BO112" s="69"/>
      <c r="BP112" s="69"/>
    </row>
    <row r="113" spans="1:70" ht="14.25" customHeight="1" x14ac:dyDescent="0.25">
      <c r="A113" s="141" t="s">
        <v>67</v>
      </c>
      <c r="B113" s="141"/>
      <c r="C113" s="141"/>
      <c r="D113" s="141"/>
      <c r="E113" s="141"/>
      <c r="F113" s="141"/>
      <c r="G113" s="141"/>
      <c r="H113" s="141"/>
      <c r="I113" s="141"/>
      <c r="J113" s="141"/>
      <c r="K113" s="141"/>
      <c r="L113" s="141"/>
      <c r="M113" s="141"/>
      <c r="N113" s="141"/>
      <c r="O113" s="141"/>
      <c r="P113" s="142" t="s">
        <v>21</v>
      </c>
      <c r="Q113" s="142"/>
      <c r="R113" s="142"/>
      <c r="S113" s="142"/>
      <c r="T113" s="142"/>
      <c r="U113" s="142"/>
      <c r="V113" s="142"/>
      <c r="W113" s="142"/>
      <c r="X113" s="142"/>
      <c r="Y113" s="141" t="s">
        <v>68</v>
      </c>
      <c r="Z113" s="141"/>
      <c r="AA113" s="141"/>
      <c r="AB113" s="141"/>
      <c r="AC113" s="141"/>
      <c r="AD113" s="141"/>
      <c r="AE113" s="141"/>
      <c r="AF113" s="42"/>
      <c r="AG113" s="42"/>
      <c r="AH113" s="43"/>
      <c r="AI113" s="43"/>
      <c r="AJ113" s="203" t="s">
        <v>238</v>
      </c>
      <c r="AK113" s="203"/>
      <c r="AL113" s="203"/>
      <c r="AM113" s="203"/>
      <c r="AN113" s="203"/>
      <c r="AO113" s="203"/>
      <c r="AP113" s="203"/>
      <c r="AQ113" s="203"/>
      <c r="AR113" s="203"/>
      <c r="AS113" s="203"/>
      <c r="AT113" s="203"/>
      <c r="AU113" s="203"/>
      <c r="AV113" s="203"/>
      <c r="AW113" s="203"/>
      <c r="AX113" s="203"/>
      <c r="AY113" s="142" t="s">
        <v>21</v>
      </c>
      <c r="AZ113" s="142"/>
      <c r="BA113" s="142"/>
      <c r="BB113" s="142"/>
      <c r="BC113" s="142"/>
      <c r="BD113" s="142"/>
      <c r="BE113" s="142"/>
      <c r="BF113" s="142"/>
      <c r="BG113" s="142"/>
      <c r="BH113" s="203" t="s">
        <v>241</v>
      </c>
      <c r="BI113" s="203"/>
      <c r="BJ113" s="203"/>
      <c r="BK113" s="203"/>
      <c r="BL113" s="203"/>
      <c r="BM113" s="203"/>
      <c r="BN113" s="203"/>
      <c r="BO113" s="203"/>
      <c r="BP113" s="203"/>
      <c r="BQ113" s="203"/>
      <c r="BR113" s="203"/>
    </row>
    <row r="114" spans="1:70" ht="14.25" customHeight="1" x14ac:dyDescent="0.25">
      <c r="A114" s="141"/>
      <c r="B114" s="141"/>
      <c r="C114" s="141"/>
      <c r="D114" s="141"/>
      <c r="E114" s="141"/>
      <c r="F114" s="141"/>
      <c r="G114" s="141"/>
      <c r="H114" s="141"/>
      <c r="I114" s="141"/>
      <c r="J114" s="141"/>
      <c r="K114" s="141"/>
      <c r="L114" s="141"/>
      <c r="M114" s="141"/>
      <c r="N114" s="141"/>
      <c r="O114" s="141"/>
      <c r="P114" s="142"/>
      <c r="Q114" s="142"/>
      <c r="R114" s="142"/>
      <c r="S114" s="142"/>
      <c r="T114" s="142"/>
      <c r="U114" s="142"/>
      <c r="V114" s="142"/>
      <c r="W114" s="142"/>
      <c r="X114" s="142"/>
      <c r="Y114" s="141"/>
      <c r="Z114" s="141"/>
      <c r="AA114" s="141"/>
      <c r="AB114" s="141"/>
      <c r="AC114" s="141"/>
      <c r="AD114" s="141"/>
      <c r="AE114" s="141"/>
      <c r="AF114" s="42"/>
      <c r="AG114" s="42"/>
      <c r="AH114" s="43"/>
      <c r="AI114" s="43"/>
      <c r="AJ114" s="203"/>
      <c r="AK114" s="203"/>
      <c r="AL114" s="203"/>
      <c r="AM114" s="203"/>
      <c r="AN114" s="203"/>
      <c r="AO114" s="203"/>
      <c r="AP114" s="203"/>
      <c r="AQ114" s="203"/>
      <c r="AR114" s="203"/>
      <c r="AS114" s="203"/>
      <c r="AT114" s="203"/>
      <c r="AU114" s="203"/>
      <c r="AV114" s="203"/>
      <c r="AW114" s="203"/>
      <c r="AX114" s="203"/>
      <c r="AY114" s="142"/>
      <c r="AZ114" s="142"/>
      <c r="BA114" s="142"/>
      <c r="BB114" s="142"/>
      <c r="BC114" s="142"/>
      <c r="BD114" s="142"/>
      <c r="BE114" s="142"/>
      <c r="BF114" s="142"/>
      <c r="BG114" s="142"/>
      <c r="BH114" s="203"/>
      <c r="BI114" s="203"/>
      <c r="BJ114" s="203"/>
      <c r="BK114" s="203"/>
      <c r="BL114" s="203"/>
      <c r="BM114" s="203"/>
      <c r="BN114" s="203"/>
      <c r="BO114" s="203"/>
      <c r="BP114" s="203"/>
      <c r="BQ114" s="203"/>
      <c r="BR114" s="203"/>
    </row>
    <row r="115" spans="1:70" ht="14.25" customHeight="1" x14ac:dyDescent="0.25">
      <c r="A115" s="141"/>
      <c r="B115" s="141"/>
      <c r="C115" s="141"/>
      <c r="D115" s="141"/>
      <c r="E115" s="141"/>
      <c r="F115" s="141"/>
      <c r="G115" s="141"/>
      <c r="H115" s="141"/>
      <c r="I115" s="141"/>
      <c r="J115" s="141"/>
      <c r="K115" s="141"/>
      <c r="L115" s="141"/>
      <c r="M115" s="141"/>
      <c r="N115" s="141"/>
      <c r="O115" s="141"/>
      <c r="P115" s="142"/>
      <c r="Q115" s="142"/>
      <c r="R115" s="142"/>
      <c r="S115" s="142"/>
      <c r="T115" s="142"/>
      <c r="U115" s="142"/>
      <c r="V115" s="142"/>
      <c r="W115" s="142"/>
      <c r="X115" s="142"/>
      <c r="Y115" s="141"/>
      <c r="Z115" s="141"/>
      <c r="AA115" s="141"/>
      <c r="AB115" s="141"/>
      <c r="AC115" s="141"/>
      <c r="AD115" s="141"/>
      <c r="AE115" s="141"/>
      <c r="AF115" s="42"/>
      <c r="AG115" s="42"/>
      <c r="AH115" s="43"/>
      <c r="AI115" s="43"/>
      <c r="AJ115" s="203"/>
      <c r="AK115" s="203"/>
      <c r="AL115" s="203"/>
      <c r="AM115" s="203"/>
      <c r="AN115" s="203"/>
      <c r="AO115" s="203"/>
      <c r="AP115" s="203"/>
      <c r="AQ115" s="203"/>
      <c r="AR115" s="203"/>
      <c r="AS115" s="203"/>
      <c r="AT115" s="203"/>
      <c r="AU115" s="203"/>
      <c r="AV115" s="203"/>
      <c r="AW115" s="203"/>
      <c r="AX115" s="203"/>
      <c r="AY115" s="142"/>
      <c r="AZ115" s="142"/>
      <c r="BA115" s="142"/>
      <c r="BB115" s="142"/>
      <c r="BC115" s="142"/>
      <c r="BD115" s="142"/>
      <c r="BE115" s="142"/>
      <c r="BF115" s="142"/>
      <c r="BG115" s="142"/>
      <c r="BH115" s="203"/>
      <c r="BI115" s="203"/>
      <c r="BJ115" s="203"/>
      <c r="BK115" s="203"/>
      <c r="BL115" s="203"/>
      <c r="BM115" s="203"/>
      <c r="BN115" s="203"/>
      <c r="BO115" s="203"/>
      <c r="BP115" s="203"/>
      <c r="BQ115" s="203"/>
      <c r="BR115" s="203"/>
    </row>
    <row r="116" spans="1:70" ht="14.25" customHeight="1" x14ac:dyDescent="0.25">
      <c r="A116" s="141"/>
      <c r="B116" s="141"/>
      <c r="C116" s="141"/>
      <c r="D116" s="141"/>
      <c r="E116" s="141"/>
      <c r="F116" s="141"/>
      <c r="G116" s="141"/>
      <c r="H116" s="141"/>
      <c r="I116" s="141"/>
      <c r="J116" s="141"/>
      <c r="K116" s="141"/>
      <c r="L116" s="141"/>
      <c r="M116" s="141"/>
      <c r="N116" s="141"/>
      <c r="O116" s="141"/>
      <c r="P116" s="142"/>
      <c r="Q116" s="142"/>
      <c r="R116" s="142"/>
      <c r="S116" s="142"/>
      <c r="T116" s="142"/>
      <c r="U116" s="142"/>
      <c r="V116" s="142"/>
      <c r="W116" s="142"/>
      <c r="X116" s="142"/>
      <c r="Y116" s="141"/>
      <c r="Z116" s="141"/>
      <c r="AA116" s="141"/>
      <c r="AB116" s="141"/>
      <c r="AC116" s="141"/>
      <c r="AD116" s="141"/>
      <c r="AE116" s="141"/>
      <c r="AF116" s="42"/>
      <c r="AG116" s="42"/>
      <c r="AH116" s="43"/>
      <c r="AI116" s="43"/>
      <c r="AJ116" s="203"/>
      <c r="AK116" s="203"/>
      <c r="AL116" s="203"/>
      <c r="AM116" s="203"/>
      <c r="AN116" s="203"/>
      <c r="AO116" s="203"/>
      <c r="AP116" s="203"/>
      <c r="AQ116" s="203"/>
      <c r="AR116" s="203"/>
      <c r="AS116" s="203"/>
      <c r="AT116" s="203"/>
      <c r="AU116" s="203"/>
      <c r="AV116" s="203"/>
      <c r="AW116" s="203"/>
      <c r="AX116" s="203"/>
      <c r="AY116" s="142"/>
      <c r="AZ116" s="142"/>
      <c r="BA116" s="142"/>
      <c r="BB116" s="142"/>
      <c r="BC116" s="142"/>
      <c r="BD116" s="142"/>
      <c r="BE116" s="142"/>
      <c r="BF116" s="142"/>
      <c r="BG116" s="142"/>
      <c r="BH116" s="203"/>
      <c r="BI116" s="203"/>
      <c r="BJ116" s="203"/>
      <c r="BK116" s="203"/>
      <c r="BL116" s="203"/>
      <c r="BM116" s="203"/>
      <c r="BN116" s="203"/>
      <c r="BO116" s="203"/>
      <c r="BP116" s="203"/>
      <c r="BQ116" s="203"/>
      <c r="BR116" s="203"/>
    </row>
    <row r="117" spans="1:70" ht="14.25" customHeight="1" x14ac:dyDescent="0.25">
      <c r="A117" s="68"/>
      <c r="B117" s="68"/>
      <c r="C117" s="68"/>
      <c r="D117" s="68"/>
      <c r="E117" s="68"/>
      <c r="F117" s="68"/>
      <c r="G117" s="68"/>
      <c r="H117" s="68"/>
      <c r="I117" s="68"/>
      <c r="J117" s="68"/>
      <c r="K117" s="68"/>
      <c r="L117" s="68"/>
      <c r="M117" s="68"/>
      <c r="N117" s="68"/>
      <c r="O117" s="68"/>
      <c r="P117" s="69"/>
      <c r="Q117" s="69"/>
      <c r="R117" s="69"/>
      <c r="S117" s="69"/>
      <c r="T117" s="69"/>
      <c r="U117" s="69"/>
      <c r="V117" s="69"/>
      <c r="W117" s="69"/>
      <c r="X117" s="69"/>
      <c r="Y117" s="68"/>
      <c r="Z117" s="68"/>
      <c r="AA117" s="68"/>
      <c r="AB117" s="68"/>
      <c r="AC117" s="68"/>
      <c r="AD117" s="68"/>
      <c r="AE117" s="68"/>
      <c r="AF117" s="42"/>
      <c r="AG117" s="42"/>
      <c r="AH117" s="43"/>
      <c r="AI117" s="43"/>
      <c r="AJ117" s="68"/>
      <c r="AK117" s="68"/>
      <c r="AL117" s="68"/>
      <c r="AM117" s="68"/>
      <c r="AN117" s="68"/>
      <c r="AO117" s="68"/>
      <c r="AP117" s="68"/>
      <c r="AQ117" s="68"/>
      <c r="AR117" s="68"/>
      <c r="AS117" s="68"/>
      <c r="AT117" s="68"/>
      <c r="AU117" s="68"/>
      <c r="AV117" s="68"/>
      <c r="AW117" s="68"/>
      <c r="AX117" s="68"/>
      <c r="AY117" s="69"/>
      <c r="AZ117" s="69"/>
      <c r="BA117" s="69"/>
      <c r="BB117" s="69"/>
      <c r="BC117" s="69"/>
      <c r="BD117" s="69"/>
      <c r="BE117" s="69"/>
      <c r="BF117" s="69"/>
      <c r="BG117" s="69"/>
      <c r="BH117" s="81"/>
      <c r="BI117" s="81"/>
      <c r="BJ117" s="81"/>
      <c r="BK117" s="81"/>
      <c r="BL117" s="81"/>
      <c r="BM117" s="81"/>
      <c r="BN117" s="81"/>
      <c r="BO117" s="81"/>
      <c r="BP117" s="81"/>
      <c r="BQ117" s="81"/>
      <c r="BR117" s="81"/>
    </row>
    <row r="118" spans="1:70" ht="14.25" customHeight="1" x14ac:dyDescent="0.3">
      <c r="A118" s="68"/>
      <c r="B118" s="68"/>
      <c r="C118" s="68"/>
      <c r="D118" s="68"/>
      <c r="E118" s="68"/>
      <c r="F118" s="68"/>
      <c r="G118" s="68"/>
      <c r="H118" s="68"/>
      <c r="I118" s="68"/>
      <c r="J118" s="68"/>
      <c r="K118" s="68"/>
      <c r="L118" s="68"/>
      <c r="M118" s="68"/>
      <c r="N118" s="68"/>
      <c r="O118" s="68"/>
      <c r="P118" s="68"/>
      <c r="Q118" s="42"/>
      <c r="R118" s="42"/>
      <c r="S118" s="42"/>
      <c r="T118" s="68"/>
      <c r="U118" s="68"/>
      <c r="V118" s="44"/>
      <c r="W118" s="44"/>
      <c r="X118" s="44"/>
      <c r="Y118" s="81"/>
      <c r="Z118" s="81"/>
      <c r="AA118" s="81"/>
      <c r="AB118" s="81"/>
      <c r="AC118" s="81"/>
      <c r="AD118" s="81"/>
      <c r="AE118" s="81"/>
      <c r="AF118" s="81"/>
      <c r="AG118" s="81"/>
      <c r="AH118" s="81"/>
      <c r="AI118" s="43"/>
      <c r="AJ118" s="68"/>
      <c r="AK118" s="68"/>
      <c r="AL118" s="68"/>
      <c r="AM118" s="68"/>
      <c r="AN118" s="68"/>
      <c r="AO118" s="68"/>
      <c r="AP118" s="68"/>
      <c r="AQ118" s="68"/>
      <c r="AR118" s="68"/>
      <c r="AS118" s="68"/>
      <c r="AT118" s="68"/>
      <c r="AU118" s="68"/>
      <c r="AV118" s="68"/>
      <c r="AW118" s="68"/>
      <c r="AX118" s="68"/>
      <c r="AY118" s="68"/>
      <c r="AZ118" s="42"/>
      <c r="BA118" s="42"/>
      <c r="BB118" s="42"/>
      <c r="BC118" s="68"/>
      <c r="BD118" s="68"/>
      <c r="BE118" s="44"/>
      <c r="BF118" s="44"/>
      <c r="BG118" s="44"/>
      <c r="BH118" s="81"/>
      <c r="BI118" s="81"/>
      <c r="BJ118" s="81"/>
      <c r="BK118" s="81"/>
      <c r="BL118" s="81"/>
      <c r="BM118" s="81"/>
      <c r="BN118" s="81"/>
      <c r="BO118" s="45"/>
      <c r="BP118" s="45"/>
    </row>
    <row r="119" spans="1:70" ht="14.25" customHeight="1" x14ac:dyDescent="0.25">
      <c r="A119" s="141" t="s">
        <v>254</v>
      </c>
      <c r="B119" s="141"/>
      <c r="C119" s="141"/>
      <c r="D119" s="141"/>
      <c r="E119" s="141"/>
      <c r="F119" s="141"/>
      <c r="G119" s="141"/>
      <c r="H119" s="141"/>
      <c r="I119" s="141"/>
      <c r="J119" s="141"/>
      <c r="K119" s="141"/>
      <c r="L119" s="141"/>
      <c r="M119" s="141"/>
      <c r="N119" s="141"/>
      <c r="O119" s="141"/>
      <c r="P119" s="142" t="s">
        <v>21</v>
      </c>
      <c r="Q119" s="142"/>
      <c r="R119" s="142"/>
      <c r="S119" s="142"/>
      <c r="T119" s="142"/>
      <c r="U119" s="142"/>
      <c r="V119" s="142"/>
      <c r="W119" s="142"/>
      <c r="X119" s="142"/>
      <c r="Y119" s="141" t="s">
        <v>69</v>
      </c>
      <c r="Z119" s="141"/>
      <c r="AA119" s="141"/>
      <c r="AB119" s="141"/>
      <c r="AC119" s="141"/>
      <c r="AD119" s="141"/>
      <c r="AE119" s="141"/>
      <c r="AF119" s="42"/>
      <c r="AG119" s="42"/>
      <c r="AH119" s="43"/>
      <c r="AI119" s="43"/>
      <c r="AJ119" s="141" t="s">
        <v>242</v>
      </c>
      <c r="AK119" s="141"/>
      <c r="AL119" s="141"/>
      <c r="AM119" s="141"/>
      <c r="AN119" s="141"/>
      <c r="AO119" s="141"/>
      <c r="AP119" s="141"/>
      <c r="AQ119" s="141"/>
      <c r="AR119" s="141"/>
      <c r="AS119" s="141"/>
      <c r="AT119" s="141"/>
      <c r="AU119" s="141"/>
      <c r="AV119" s="141"/>
      <c r="AW119" s="141"/>
      <c r="AX119" s="141"/>
      <c r="AY119" s="142" t="s">
        <v>21</v>
      </c>
      <c r="AZ119" s="142"/>
      <c r="BA119" s="142"/>
      <c r="BB119" s="142"/>
      <c r="BC119" s="142"/>
      <c r="BD119" s="142"/>
      <c r="BE119" s="142"/>
      <c r="BF119" s="142"/>
      <c r="BG119" s="142"/>
      <c r="BH119" s="203" t="s">
        <v>275</v>
      </c>
      <c r="BI119" s="203"/>
      <c r="BJ119" s="203"/>
      <c r="BK119" s="203"/>
      <c r="BL119" s="203"/>
      <c r="BM119" s="203"/>
      <c r="BN119" s="203"/>
      <c r="BO119" s="203"/>
      <c r="BP119" s="203"/>
      <c r="BQ119" s="203"/>
      <c r="BR119" s="203"/>
    </row>
    <row r="120" spans="1:70" ht="14.25" customHeight="1" x14ac:dyDescent="0.25">
      <c r="A120" s="141"/>
      <c r="B120" s="141"/>
      <c r="C120" s="141"/>
      <c r="D120" s="141"/>
      <c r="E120" s="141"/>
      <c r="F120" s="141"/>
      <c r="G120" s="141"/>
      <c r="H120" s="141"/>
      <c r="I120" s="141"/>
      <c r="J120" s="141"/>
      <c r="K120" s="141"/>
      <c r="L120" s="141"/>
      <c r="M120" s="141"/>
      <c r="N120" s="141"/>
      <c r="O120" s="141"/>
      <c r="P120" s="142"/>
      <c r="Q120" s="142"/>
      <c r="R120" s="142"/>
      <c r="S120" s="142"/>
      <c r="T120" s="142"/>
      <c r="U120" s="142"/>
      <c r="V120" s="142"/>
      <c r="W120" s="142"/>
      <c r="X120" s="142"/>
      <c r="Y120" s="141"/>
      <c r="Z120" s="141"/>
      <c r="AA120" s="141"/>
      <c r="AB120" s="141"/>
      <c r="AC120" s="141"/>
      <c r="AD120" s="141"/>
      <c r="AE120" s="141"/>
      <c r="AF120" s="42"/>
      <c r="AG120" s="42"/>
      <c r="AH120" s="43"/>
      <c r="AI120" s="43"/>
      <c r="AJ120" s="141"/>
      <c r="AK120" s="141"/>
      <c r="AL120" s="141"/>
      <c r="AM120" s="141"/>
      <c r="AN120" s="141"/>
      <c r="AO120" s="141"/>
      <c r="AP120" s="141"/>
      <c r="AQ120" s="141"/>
      <c r="AR120" s="141"/>
      <c r="AS120" s="141"/>
      <c r="AT120" s="141"/>
      <c r="AU120" s="141"/>
      <c r="AV120" s="141"/>
      <c r="AW120" s="141"/>
      <c r="AX120" s="141"/>
      <c r="AY120" s="142"/>
      <c r="AZ120" s="142"/>
      <c r="BA120" s="142"/>
      <c r="BB120" s="142"/>
      <c r="BC120" s="142"/>
      <c r="BD120" s="142"/>
      <c r="BE120" s="142"/>
      <c r="BF120" s="142"/>
      <c r="BG120" s="142"/>
      <c r="BH120" s="203"/>
      <c r="BI120" s="203"/>
      <c r="BJ120" s="203"/>
      <c r="BK120" s="203"/>
      <c r="BL120" s="203"/>
      <c r="BM120" s="203"/>
      <c r="BN120" s="203"/>
      <c r="BO120" s="203"/>
      <c r="BP120" s="203"/>
      <c r="BQ120" s="203"/>
      <c r="BR120" s="203"/>
    </row>
    <row r="121" spans="1:70" ht="14.25" customHeight="1" x14ac:dyDescent="0.25">
      <c r="A121" s="141"/>
      <c r="B121" s="141"/>
      <c r="C121" s="141"/>
      <c r="D121" s="141"/>
      <c r="E121" s="141"/>
      <c r="F121" s="141"/>
      <c r="G121" s="141"/>
      <c r="H121" s="141"/>
      <c r="I121" s="141"/>
      <c r="J121" s="141"/>
      <c r="K121" s="141"/>
      <c r="L121" s="141"/>
      <c r="M121" s="141"/>
      <c r="N121" s="141"/>
      <c r="O121" s="141"/>
      <c r="P121" s="142"/>
      <c r="Q121" s="142"/>
      <c r="R121" s="142"/>
      <c r="S121" s="142"/>
      <c r="T121" s="142"/>
      <c r="U121" s="142"/>
      <c r="V121" s="142"/>
      <c r="W121" s="142"/>
      <c r="X121" s="142"/>
      <c r="Y121" s="141"/>
      <c r="Z121" s="141"/>
      <c r="AA121" s="141"/>
      <c r="AB121" s="141"/>
      <c r="AC121" s="141"/>
      <c r="AD121" s="141"/>
      <c r="AE121" s="141"/>
      <c r="AF121" s="42"/>
      <c r="AG121" s="42"/>
      <c r="AH121" s="43"/>
      <c r="AI121" s="43"/>
      <c r="AJ121" s="141"/>
      <c r="AK121" s="141"/>
      <c r="AL121" s="141"/>
      <c r="AM121" s="141"/>
      <c r="AN121" s="141"/>
      <c r="AO121" s="141"/>
      <c r="AP121" s="141"/>
      <c r="AQ121" s="141"/>
      <c r="AR121" s="141"/>
      <c r="AS121" s="141"/>
      <c r="AT121" s="141"/>
      <c r="AU121" s="141"/>
      <c r="AV121" s="141"/>
      <c r="AW121" s="141"/>
      <c r="AX121" s="141"/>
      <c r="AY121" s="142"/>
      <c r="AZ121" s="142"/>
      <c r="BA121" s="142"/>
      <c r="BB121" s="142"/>
      <c r="BC121" s="142"/>
      <c r="BD121" s="142"/>
      <c r="BE121" s="142"/>
      <c r="BF121" s="142"/>
      <c r="BG121" s="142"/>
      <c r="BH121" s="203"/>
      <c r="BI121" s="203"/>
      <c r="BJ121" s="203"/>
      <c r="BK121" s="203"/>
      <c r="BL121" s="203"/>
      <c r="BM121" s="203"/>
      <c r="BN121" s="203"/>
      <c r="BO121" s="203"/>
      <c r="BP121" s="203"/>
      <c r="BQ121" s="203"/>
      <c r="BR121" s="203"/>
    </row>
    <row r="122" spans="1:70" ht="14.25" customHeight="1" x14ac:dyDescent="0.25">
      <c r="A122" s="141"/>
      <c r="B122" s="141"/>
      <c r="C122" s="141"/>
      <c r="D122" s="141"/>
      <c r="E122" s="141"/>
      <c r="F122" s="141"/>
      <c r="G122" s="141"/>
      <c r="H122" s="141"/>
      <c r="I122" s="141"/>
      <c r="J122" s="141"/>
      <c r="K122" s="141"/>
      <c r="L122" s="141"/>
      <c r="M122" s="141"/>
      <c r="N122" s="141"/>
      <c r="O122" s="141"/>
      <c r="P122" s="142"/>
      <c r="Q122" s="142"/>
      <c r="R122" s="142"/>
      <c r="S122" s="142"/>
      <c r="T122" s="142"/>
      <c r="U122" s="142"/>
      <c r="V122" s="142"/>
      <c r="W122" s="142"/>
      <c r="X122" s="142"/>
      <c r="Y122" s="141"/>
      <c r="Z122" s="141"/>
      <c r="AA122" s="141"/>
      <c r="AB122" s="141"/>
      <c r="AC122" s="141"/>
      <c r="AD122" s="141"/>
      <c r="AE122" s="141"/>
      <c r="AF122" s="42"/>
      <c r="AG122" s="42"/>
      <c r="AH122" s="43"/>
      <c r="AI122" s="81"/>
      <c r="AJ122" s="141"/>
      <c r="AK122" s="141"/>
      <c r="AL122" s="141"/>
      <c r="AM122" s="141"/>
      <c r="AN122" s="141"/>
      <c r="AO122" s="141"/>
      <c r="AP122" s="141"/>
      <c r="AQ122" s="141"/>
      <c r="AR122" s="141"/>
      <c r="AS122" s="141"/>
      <c r="AT122" s="141"/>
      <c r="AU122" s="141"/>
      <c r="AV122" s="141"/>
      <c r="AW122" s="141"/>
      <c r="AX122" s="141"/>
      <c r="AY122" s="142"/>
      <c r="AZ122" s="142"/>
      <c r="BA122" s="142"/>
      <c r="BB122" s="142"/>
      <c r="BC122" s="142"/>
      <c r="BD122" s="142"/>
      <c r="BE122" s="142"/>
      <c r="BF122" s="142"/>
      <c r="BG122" s="142"/>
      <c r="BH122" s="203"/>
      <c r="BI122" s="203"/>
      <c r="BJ122" s="203"/>
      <c r="BK122" s="203"/>
      <c r="BL122" s="203"/>
      <c r="BM122" s="203"/>
      <c r="BN122" s="203"/>
      <c r="BO122" s="203"/>
      <c r="BP122" s="203"/>
      <c r="BQ122" s="203"/>
      <c r="BR122" s="203"/>
    </row>
    <row r="123" spans="1:70" ht="14.25" customHeight="1" x14ac:dyDescent="0.25">
      <c r="A123" s="68"/>
      <c r="B123" s="68"/>
      <c r="C123" s="68"/>
      <c r="D123" s="68"/>
      <c r="E123" s="68"/>
      <c r="F123" s="68"/>
      <c r="G123" s="68"/>
      <c r="H123" s="68"/>
      <c r="I123" s="68"/>
      <c r="J123" s="68"/>
      <c r="K123" s="68"/>
      <c r="L123" s="68"/>
      <c r="M123" s="68"/>
      <c r="N123" s="68"/>
      <c r="O123" s="68"/>
      <c r="P123" s="43"/>
      <c r="Q123" s="43"/>
      <c r="R123" s="43"/>
      <c r="S123" s="43"/>
      <c r="T123" s="43"/>
      <c r="U123" s="43"/>
      <c r="V123" s="43"/>
      <c r="W123" s="43"/>
      <c r="X123" s="43"/>
      <c r="Y123" s="81"/>
      <c r="Z123" s="81"/>
      <c r="AA123" s="81"/>
      <c r="AB123" s="81"/>
      <c r="AC123" s="81"/>
      <c r="AD123" s="81"/>
      <c r="AE123" s="81"/>
      <c r="AF123" s="81"/>
      <c r="AG123" s="81"/>
      <c r="AH123" s="43"/>
      <c r="AI123" s="81"/>
      <c r="AJ123" s="68"/>
      <c r="AK123" s="68"/>
      <c r="AL123" s="68"/>
      <c r="AM123" s="68"/>
      <c r="AN123" s="68"/>
      <c r="AO123" s="68"/>
      <c r="AP123" s="68"/>
      <c r="AQ123" s="68"/>
      <c r="AR123" s="68"/>
      <c r="AS123" s="68"/>
      <c r="AT123" s="68"/>
      <c r="AU123" s="68"/>
      <c r="AV123" s="68"/>
      <c r="AW123" s="68"/>
      <c r="AX123" s="68"/>
      <c r="AY123" s="43"/>
      <c r="AZ123" s="43"/>
      <c r="BA123" s="43"/>
      <c r="BB123" s="43"/>
      <c r="BC123" s="43"/>
      <c r="BD123" s="43"/>
      <c r="BE123" s="43"/>
      <c r="BF123" s="43"/>
      <c r="BG123" s="43"/>
      <c r="BH123" s="81"/>
      <c r="BI123" s="81"/>
      <c r="BJ123" s="81"/>
      <c r="BK123" s="81"/>
      <c r="BL123" s="81"/>
      <c r="BM123" s="81"/>
      <c r="BN123" s="81"/>
      <c r="BO123" s="61"/>
      <c r="BP123" s="61"/>
    </row>
    <row r="124" spans="1:70" ht="14.25" customHeight="1" x14ac:dyDescent="0.25">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3"/>
      <c r="Z124" s="43"/>
      <c r="AA124" s="43"/>
      <c r="AB124" s="43"/>
      <c r="AC124" s="43"/>
      <c r="AD124" s="43"/>
      <c r="AE124" s="43"/>
      <c r="AF124" s="42"/>
      <c r="AG124" s="42"/>
      <c r="AH124" s="43"/>
      <c r="AI124" s="43"/>
      <c r="AJ124" s="42"/>
      <c r="AK124" s="42"/>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42"/>
      <c r="BH124" s="42"/>
      <c r="BI124" s="42"/>
      <c r="BJ124" s="42"/>
      <c r="BK124" s="42"/>
      <c r="BL124" s="42"/>
      <c r="BM124" s="42"/>
      <c r="BN124" s="42"/>
      <c r="BO124" s="61"/>
      <c r="BP124" s="61"/>
    </row>
    <row r="125" spans="1:70" ht="14.25" customHeight="1" x14ac:dyDescent="0.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3"/>
      <c r="Z125" s="43"/>
      <c r="AA125" s="43"/>
      <c r="AB125" s="43"/>
      <c r="AC125" s="43"/>
      <c r="AD125" s="43"/>
      <c r="AE125" s="43"/>
      <c r="AF125" s="42"/>
      <c r="AG125" s="42"/>
      <c r="AH125" s="43"/>
      <c r="AI125" s="43"/>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c r="BO125" s="61"/>
      <c r="BP125" s="61"/>
    </row>
    <row r="126" spans="1:70" ht="14.25" customHeight="1" x14ac:dyDescent="0.25">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3"/>
      <c r="Z126" s="43"/>
      <c r="AA126" s="43"/>
      <c r="AB126" s="43"/>
      <c r="AC126" s="43"/>
      <c r="AD126" s="43"/>
      <c r="AE126" s="43"/>
      <c r="AF126" s="42"/>
      <c r="AG126" s="42"/>
      <c r="AH126" s="43"/>
      <c r="AI126" s="43"/>
      <c r="AJ126" s="42"/>
      <c r="AK126" s="42"/>
      <c r="AL126" s="42"/>
      <c r="AM126" s="42"/>
      <c r="AN126" s="42"/>
      <c r="AO126" s="42"/>
      <c r="AP126" s="42"/>
      <c r="AQ126" s="42"/>
      <c r="AR126" s="42"/>
      <c r="AS126" s="42"/>
      <c r="AT126" s="42"/>
      <c r="AU126" s="42"/>
      <c r="AV126" s="42"/>
      <c r="AW126" s="42"/>
      <c r="AX126" s="42"/>
      <c r="AY126" s="42"/>
      <c r="AZ126" s="42"/>
      <c r="BA126" s="42"/>
      <c r="BB126" s="42"/>
      <c r="BC126" s="42"/>
      <c r="BD126" s="42"/>
      <c r="BE126" s="42"/>
      <c r="BF126" s="42"/>
      <c r="BG126" s="42"/>
      <c r="BH126" s="42"/>
      <c r="BI126" s="42"/>
      <c r="BJ126" s="42"/>
      <c r="BK126" s="42"/>
      <c r="BL126" s="42"/>
      <c r="BM126" s="42"/>
      <c r="BN126" s="42"/>
      <c r="BO126" s="61"/>
      <c r="BP126" s="61"/>
    </row>
    <row r="127" spans="1:70" ht="14.25" customHeight="1" x14ac:dyDescent="0.25">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3"/>
      <c r="Z127" s="43"/>
      <c r="AA127" s="43"/>
      <c r="AB127" s="43"/>
      <c r="AC127" s="43"/>
      <c r="AD127" s="43"/>
      <c r="AE127" s="43"/>
      <c r="AF127" s="42"/>
      <c r="AG127" s="42"/>
      <c r="AH127" s="43"/>
      <c r="AI127" s="37"/>
      <c r="AJ127" s="42"/>
      <c r="AK127" s="42"/>
      <c r="AL127" s="42"/>
      <c r="AM127" s="42"/>
      <c r="AN127" s="42"/>
      <c r="AO127" s="42"/>
      <c r="AP127" s="42"/>
      <c r="AQ127" s="42"/>
      <c r="AR127" s="42"/>
      <c r="AS127" s="42"/>
      <c r="AT127" s="42"/>
      <c r="AU127" s="42"/>
      <c r="AV127" s="42"/>
      <c r="AW127" s="42"/>
      <c r="AX127" s="42"/>
      <c r="AY127" s="42"/>
      <c r="AZ127" s="42"/>
      <c r="BA127" s="42"/>
      <c r="BB127" s="42"/>
      <c r="BC127" s="42"/>
      <c r="BD127" s="42"/>
      <c r="BE127" s="42"/>
      <c r="BF127" s="42"/>
      <c r="BG127" s="42"/>
      <c r="BH127" s="42"/>
      <c r="BI127" s="42"/>
      <c r="BJ127" s="42"/>
      <c r="BK127" s="42"/>
      <c r="BL127" s="42"/>
      <c r="BM127" s="42"/>
      <c r="BN127" s="42"/>
    </row>
    <row r="128" spans="1:70" ht="14.25" customHeight="1" x14ac:dyDescent="0.3">
      <c r="A128" s="68"/>
      <c r="B128" s="46"/>
      <c r="C128" s="46"/>
      <c r="D128" s="68"/>
      <c r="E128" s="68"/>
      <c r="F128" s="68"/>
      <c r="G128" s="68"/>
      <c r="H128" s="68"/>
      <c r="I128" s="68"/>
      <c r="J128" s="68"/>
      <c r="K128" s="68"/>
      <c r="L128" s="68"/>
      <c r="M128" s="68"/>
      <c r="N128" s="68"/>
      <c r="O128" s="68"/>
      <c r="P128" s="42"/>
      <c r="Q128" s="42"/>
      <c r="R128" s="42"/>
      <c r="S128" s="42"/>
      <c r="T128" s="42"/>
      <c r="U128" s="42"/>
      <c r="V128" s="42"/>
      <c r="W128" s="42"/>
      <c r="X128" s="42"/>
      <c r="Y128" s="43"/>
      <c r="Z128" s="43"/>
      <c r="AA128" s="43"/>
      <c r="AB128" s="43"/>
      <c r="AC128" s="43"/>
      <c r="AD128" s="43"/>
      <c r="AE128" s="43"/>
      <c r="AF128" s="47"/>
      <c r="AG128" s="47"/>
      <c r="AH128" s="48"/>
      <c r="AI128" s="47"/>
      <c r="AJ128" s="68"/>
      <c r="AK128" s="68"/>
      <c r="AL128" s="68"/>
      <c r="AM128" s="68"/>
      <c r="AN128" s="68"/>
      <c r="AO128" s="68"/>
      <c r="AP128" s="68"/>
      <c r="AQ128" s="68"/>
      <c r="AR128" s="68"/>
      <c r="AS128" s="68"/>
      <c r="AT128" s="68"/>
      <c r="AU128" s="68"/>
      <c r="AV128" s="68"/>
      <c r="AW128" s="68"/>
      <c r="AX128" s="68"/>
      <c r="AY128" s="187"/>
      <c r="AZ128" s="187"/>
      <c r="BA128" s="187"/>
      <c r="BB128" s="187"/>
      <c r="BC128" s="187"/>
      <c r="BD128" s="187"/>
      <c r="BE128" s="187"/>
      <c r="BF128" s="187"/>
      <c r="BG128" s="187"/>
      <c r="BH128" s="187"/>
      <c r="BI128" s="187"/>
      <c r="BJ128" s="187"/>
      <c r="BK128" s="187"/>
      <c r="BL128" s="187"/>
      <c r="BM128" s="187"/>
      <c r="BN128" s="187"/>
      <c r="BO128" s="187"/>
      <c r="BP128" s="187"/>
    </row>
    <row r="129" spans="1:68" ht="14.25" customHeight="1" x14ac:dyDescent="0.3">
      <c r="A129" s="68"/>
      <c r="B129" s="46"/>
      <c r="C129" s="46"/>
      <c r="D129" s="68"/>
      <c r="E129" s="68"/>
      <c r="F129" s="68"/>
      <c r="G129" s="68"/>
      <c r="H129" s="68"/>
      <c r="I129" s="68"/>
      <c r="J129" s="68"/>
      <c r="K129" s="68"/>
      <c r="L129" s="68"/>
      <c r="M129" s="68"/>
      <c r="N129" s="68"/>
      <c r="O129" s="68"/>
      <c r="P129" s="42"/>
      <c r="Q129" s="42"/>
      <c r="R129" s="42"/>
      <c r="S129" s="42"/>
      <c r="T129" s="42"/>
      <c r="U129" s="42"/>
      <c r="V129" s="42"/>
      <c r="W129" s="42"/>
      <c r="X129" s="42"/>
      <c r="Y129" s="43"/>
      <c r="Z129" s="43"/>
      <c r="AA129" s="43"/>
      <c r="AB129" s="43"/>
      <c r="AC129" s="43"/>
      <c r="AD129" s="43"/>
      <c r="AE129" s="43"/>
      <c r="AF129" s="47"/>
      <c r="AG129" s="47"/>
      <c r="AH129" s="48"/>
      <c r="AI129" s="47"/>
      <c r="AJ129" s="68"/>
      <c r="AK129" s="68"/>
      <c r="AL129" s="68"/>
      <c r="AM129" s="68"/>
      <c r="AN129" s="68"/>
      <c r="AO129" s="68"/>
      <c r="AP129" s="68"/>
      <c r="AQ129" s="68"/>
      <c r="AR129" s="68"/>
      <c r="AS129" s="68"/>
      <c r="AT129" s="68"/>
      <c r="AU129" s="68"/>
      <c r="AV129" s="68"/>
      <c r="AW129" s="68"/>
      <c r="AX129" s="68"/>
      <c r="AY129" s="78"/>
      <c r="AZ129" s="78"/>
      <c r="BA129" s="78"/>
      <c r="BB129" s="78"/>
      <c r="BC129" s="78"/>
      <c r="BD129" s="78"/>
      <c r="BE129" s="78"/>
      <c r="BF129" s="78"/>
      <c r="BG129" s="78"/>
      <c r="BH129" s="78"/>
      <c r="BI129" s="78"/>
      <c r="BJ129" s="78"/>
      <c r="BK129" s="78"/>
      <c r="BL129" s="78"/>
      <c r="BM129" s="78"/>
      <c r="BN129" s="78"/>
      <c r="BO129" s="78"/>
      <c r="BP129" s="78"/>
    </row>
    <row r="130" spans="1:68" ht="14.25" customHeight="1" x14ac:dyDescent="0.3">
      <c r="A130" s="68"/>
      <c r="B130" s="46"/>
      <c r="C130" s="46"/>
      <c r="D130" s="68"/>
      <c r="E130" s="68"/>
      <c r="F130" s="68"/>
      <c r="G130" s="68"/>
      <c r="H130" s="68"/>
      <c r="I130" s="68"/>
      <c r="J130" s="68"/>
      <c r="K130" s="68"/>
      <c r="L130" s="68"/>
      <c r="M130" s="68"/>
      <c r="N130" s="68"/>
      <c r="O130" s="68"/>
      <c r="P130" s="42"/>
      <c r="Q130" s="42"/>
      <c r="R130" s="42"/>
      <c r="S130" s="42"/>
      <c r="T130" s="42"/>
      <c r="U130" s="42"/>
      <c r="V130" s="42"/>
      <c r="W130" s="42"/>
      <c r="X130" s="42"/>
      <c r="Y130" s="43"/>
      <c r="Z130" s="43"/>
      <c r="AA130" s="43"/>
      <c r="AB130" s="43"/>
      <c r="AC130" s="43"/>
      <c r="AD130" s="43"/>
      <c r="AE130" s="43"/>
      <c r="AF130" s="47"/>
      <c r="AG130" s="47"/>
      <c r="AH130" s="48"/>
      <c r="AI130" s="47"/>
      <c r="AJ130" s="68"/>
      <c r="AK130" s="68"/>
      <c r="AL130" s="68"/>
      <c r="AM130" s="68"/>
      <c r="AN130" s="68"/>
      <c r="AO130" s="68"/>
      <c r="AP130" s="68"/>
      <c r="AQ130" s="68"/>
      <c r="AR130" s="68"/>
      <c r="AS130" s="68"/>
      <c r="AT130" s="68"/>
      <c r="AU130" s="68"/>
      <c r="AV130" s="68"/>
      <c r="AW130" s="68"/>
      <c r="AX130" s="68"/>
      <c r="AY130" s="78"/>
      <c r="AZ130" s="78"/>
      <c r="BA130" s="78"/>
      <c r="BB130" s="78"/>
      <c r="BC130" s="78"/>
      <c r="BD130" s="78"/>
      <c r="BE130" s="78"/>
      <c r="BF130" s="78"/>
      <c r="BG130" s="78"/>
      <c r="BH130" s="78"/>
      <c r="BI130" s="78"/>
      <c r="BJ130" s="78"/>
      <c r="BK130" s="78"/>
      <c r="BL130" s="78"/>
      <c r="BM130" s="78"/>
      <c r="BN130" s="78"/>
      <c r="BO130" s="78"/>
      <c r="BP130" s="78"/>
    </row>
    <row r="131" spans="1:68" ht="14.25" customHeight="1" x14ac:dyDescent="0.3">
      <c r="A131" s="45"/>
      <c r="B131" s="45"/>
      <c r="C131" s="45"/>
      <c r="D131" s="45"/>
      <c r="E131" s="45"/>
      <c r="F131" s="45"/>
      <c r="G131" s="45"/>
      <c r="H131" s="45"/>
      <c r="I131" s="45"/>
      <c r="J131" s="45"/>
      <c r="K131" s="45"/>
      <c r="L131" s="45"/>
      <c r="M131" s="45"/>
      <c r="N131" s="45"/>
      <c r="O131" s="45"/>
      <c r="P131" s="42"/>
      <c r="Q131" s="42"/>
      <c r="R131" s="42"/>
      <c r="S131" s="42"/>
      <c r="T131" s="42"/>
      <c r="U131" s="42"/>
      <c r="V131" s="42"/>
      <c r="W131" s="42"/>
      <c r="X131" s="42"/>
      <c r="Y131" s="43"/>
      <c r="Z131" s="43"/>
      <c r="AA131" s="43"/>
      <c r="AB131" s="43"/>
      <c r="AC131" s="43"/>
      <c r="AD131" s="43"/>
      <c r="AE131" s="43"/>
      <c r="AF131" s="45"/>
      <c r="AG131" s="45"/>
      <c r="AH131" s="48"/>
      <c r="AI131" s="48"/>
      <c r="AJ131" s="206"/>
      <c r="AK131" s="206"/>
      <c r="AL131" s="206"/>
      <c r="AM131" s="206"/>
      <c r="AN131" s="206"/>
      <c r="AO131" s="206"/>
      <c r="AP131" s="206"/>
      <c r="AQ131" s="206"/>
      <c r="AR131" s="206"/>
      <c r="AS131" s="206"/>
      <c r="AT131" s="206"/>
      <c r="AU131" s="206"/>
      <c r="AV131" s="206"/>
      <c r="AW131" s="206"/>
      <c r="AX131" s="206"/>
      <c r="AY131" s="187"/>
      <c r="AZ131" s="187"/>
      <c r="BA131" s="187"/>
      <c r="BB131" s="187"/>
      <c r="BC131" s="187"/>
      <c r="BD131" s="187"/>
      <c r="BE131" s="187"/>
      <c r="BF131" s="187"/>
      <c r="BG131" s="187"/>
      <c r="BH131" s="187"/>
      <c r="BI131" s="187"/>
      <c r="BJ131" s="187"/>
      <c r="BK131" s="187"/>
      <c r="BL131" s="187"/>
      <c r="BM131" s="187"/>
      <c r="BN131" s="187"/>
      <c r="BO131" s="187"/>
      <c r="BP131" s="187"/>
    </row>
    <row r="132" spans="1:68" ht="14.25" customHeight="1" x14ac:dyDescent="0.3">
      <c r="A132" s="45"/>
      <c r="B132" s="45"/>
      <c r="C132" s="45"/>
      <c r="D132" s="45"/>
      <c r="E132" s="45"/>
      <c r="F132" s="45"/>
      <c r="G132" s="45"/>
      <c r="H132" s="45"/>
      <c r="I132" s="45"/>
      <c r="J132" s="45"/>
      <c r="K132" s="45"/>
      <c r="L132" s="45"/>
      <c r="M132" s="45"/>
      <c r="N132" s="45"/>
      <c r="O132" s="45"/>
      <c r="P132" s="42"/>
      <c r="Q132" s="42"/>
      <c r="R132" s="42"/>
      <c r="S132" s="42"/>
      <c r="T132" s="42"/>
      <c r="U132" s="42"/>
      <c r="V132" s="42"/>
      <c r="W132" s="42"/>
      <c r="X132" s="42"/>
      <c r="Y132" s="43"/>
      <c r="Z132" s="43"/>
      <c r="AA132" s="43"/>
      <c r="AB132" s="43"/>
      <c r="AC132" s="43"/>
      <c r="AD132" s="43"/>
      <c r="AE132" s="43"/>
      <c r="AF132" s="45"/>
      <c r="AG132" s="45"/>
      <c r="AH132" s="48"/>
      <c r="AI132" s="37"/>
      <c r="AJ132" s="206"/>
      <c r="AK132" s="206"/>
      <c r="AL132" s="206"/>
      <c r="AM132" s="206"/>
      <c r="AN132" s="206"/>
      <c r="AO132" s="206"/>
      <c r="AP132" s="206"/>
      <c r="AQ132" s="206"/>
      <c r="AR132" s="206"/>
      <c r="AS132" s="206"/>
      <c r="AT132" s="206"/>
      <c r="AU132" s="206"/>
      <c r="AV132" s="206"/>
      <c r="AW132" s="206"/>
      <c r="AX132" s="206"/>
      <c r="AY132" s="45"/>
      <c r="AZ132" s="45"/>
      <c r="BA132" s="45"/>
      <c r="BB132" s="45"/>
      <c r="BC132" s="45"/>
      <c r="BD132" s="45"/>
      <c r="BE132" s="45"/>
      <c r="BF132" s="45"/>
      <c r="BG132" s="45"/>
    </row>
    <row r="133" spans="1:68" ht="14.25" customHeight="1" x14ac:dyDescent="0.3">
      <c r="A133" s="49"/>
      <c r="B133" s="55"/>
      <c r="C133" s="55"/>
      <c r="D133" s="55"/>
      <c r="E133" s="55"/>
      <c r="F133" s="55"/>
      <c r="G133" s="55"/>
      <c r="H133" s="55"/>
      <c r="I133" s="55"/>
      <c r="J133" s="55"/>
      <c r="K133" s="55"/>
      <c r="L133" s="55"/>
      <c r="M133" s="55"/>
      <c r="N133" s="55"/>
      <c r="O133" s="55"/>
      <c r="P133" s="55"/>
      <c r="Q133" s="55"/>
      <c r="R133" s="55"/>
      <c r="S133" s="55"/>
      <c r="T133" s="55"/>
      <c r="U133" s="52"/>
      <c r="V133" s="54"/>
      <c r="W133" s="49"/>
      <c r="X133" s="49"/>
      <c r="Y133" s="49"/>
      <c r="Z133" s="49"/>
      <c r="AA133" s="49"/>
      <c r="AB133" s="49"/>
      <c r="AC133" s="49"/>
      <c r="AD133" s="49"/>
      <c r="AE133" s="49"/>
      <c r="AF133" s="49"/>
      <c r="AG133" s="49"/>
      <c r="AH133" s="56"/>
      <c r="AI133" s="56"/>
      <c r="AJ133" s="62"/>
      <c r="AK133" s="62"/>
      <c r="AL133" s="62"/>
      <c r="AM133" s="62"/>
      <c r="AN133" s="62"/>
      <c r="AO133" s="62"/>
      <c r="AP133" s="62"/>
    </row>
    <row r="134" spans="1:68" ht="14.25" customHeight="1" x14ac:dyDescent="0.25">
      <c r="A134" s="55"/>
      <c r="B134" s="55"/>
      <c r="C134" s="55"/>
      <c r="D134" s="55"/>
      <c r="E134" s="55"/>
      <c r="F134" s="55"/>
      <c r="G134" s="55"/>
      <c r="H134" s="55"/>
      <c r="I134" s="55"/>
      <c r="J134" s="55"/>
      <c r="K134" s="55"/>
      <c r="L134" s="55"/>
      <c r="M134" s="55"/>
      <c r="N134" s="55"/>
      <c r="O134" s="55"/>
      <c r="P134" s="55"/>
      <c r="Q134" s="55"/>
      <c r="R134" s="55"/>
      <c r="S134" s="56"/>
      <c r="T134" s="52"/>
      <c r="U134" s="52"/>
      <c r="V134" s="54"/>
      <c r="W134" s="54"/>
      <c r="X134" s="57"/>
      <c r="Y134" s="56"/>
      <c r="Z134" s="55"/>
      <c r="AA134" s="55"/>
      <c r="AB134" s="55"/>
      <c r="AC134" s="55"/>
      <c r="AD134" s="55"/>
      <c r="AE134" s="55"/>
      <c r="AF134" s="55"/>
      <c r="AG134" s="55"/>
      <c r="AH134" s="56"/>
      <c r="AI134" s="56"/>
      <c r="AJ134" s="55"/>
      <c r="AK134" s="55"/>
      <c r="AL134" s="55"/>
      <c r="AM134" s="55"/>
      <c r="AN134" s="55"/>
      <c r="AO134" s="55"/>
      <c r="AP134" s="55"/>
    </row>
    <row r="135" spans="1:68" ht="14.25" customHeight="1" x14ac:dyDescent="0.25">
      <c r="A135" s="55"/>
      <c r="B135" s="55"/>
      <c r="C135" s="55"/>
      <c r="D135" s="55"/>
      <c r="E135" s="55"/>
      <c r="F135" s="55"/>
      <c r="G135" s="55"/>
      <c r="H135" s="55"/>
      <c r="I135" s="55"/>
      <c r="J135" s="55"/>
      <c r="K135" s="55"/>
      <c r="L135" s="55"/>
      <c r="M135" s="55"/>
      <c r="N135" s="55"/>
      <c r="O135" s="55"/>
      <c r="P135" s="55"/>
      <c r="Q135" s="55"/>
      <c r="R135" s="55"/>
      <c r="S135" s="55"/>
      <c r="T135" s="56"/>
      <c r="U135" s="52"/>
      <c r="V135" s="54"/>
      <c r="W135" s="54"/>
      <c r="X135" s="52"/>
      <c r="Y135" s="55"/>
      <c r="Z135" s="55"/>
      <c r="AA135" s="55"/>
      <c r="AB135" s="55"/>
      <c r="AC135" s="55"/>
      <c r="AD135" s="55"/>
      <c r="AE135" s="55"/>
      <c r="AF135" s="55"/>
      <c r="AG135" s="55"/>
      <c r="AH135" s="55"/>
      <c r="AI135" s="55"/>
      <c r="AJ135" s="55"/>
      <c r="AK135" s="55"/>
      <c r="AL135" s="55"/>
      <c r="AM135" s="55"/>
      <c r="AN135" s="55"/>
      <c r="AO135" s="55"/>
      <c r="AP135" s="55"/>
    </row>
    <row r="136" spans="1:68" ht="14.25" customHeight="1" x14ac:dyDescent="0.3">
      <c r="A136" s="49"/>
      <c r="B136" s="49"/>
      <c r="C136" s="49"/>
      <c r="D136" s="49"/>
      <c r="E136" s="49"/>
      <c r="F136" s="49"/>
      <c r="G136" s="49"/>
      <c r="H136" s="49"/>
      <c r="I136" s="49"/>
      <c r="J136" s="49"/>
      <c r="K136" s="49"/>
      <c r="L136" s="49"/>
      <c r="M136" s="49"/>
      <c r="N136" s="49"/>
      <c r="O136" s="49"/>
      <c r="P136" s="49"/>
      <c r="Q136" s="49"/>
      <c r="R136" s="49"/>
      <c r="S136" s="49"/>
      <c r="T136" s="49"/>
      <c r="U136" s="49"/>
      <c r="V136" s="54"/>
      <c r="W136" s="49"/>
      <c r="X136" s="49"/>
      <c r="Y136" s="49"/>
      <c r="Z136" s="49"/>
      <c r="AA136" s="49"/>
      <c r="AB136" s="49"/>
      <c r="AC136" s="49"/>
      <c r="AD136" s="49"/>
      <c r="AE136" s="49"/>
      <c r="AF136" s="49"/>
      <c r="AG136" s="49"/>
      <c r="AH136" s="50"/>
      <c r="AI136" s="50"/>
      <c r="AJ136" s="62"/>
      <c r="AK136" s="62"/>
      <c r="AL136" s="62"/>
      <c r="AM136" s="62"/>
      <c r="AN136" s="62"/>
      <c r="AO136" s="62"/>
      <c r="AP136" s="62"/>
    </row>
    <row r="137" spans="1:68" ht="14.25" customHeight="1" x14ac:dyDescent="0.25">
      <c r="A137" s="82"/>
      <c r="B137" s="64"/>
      <c r="C137" s="64"/>
      <c r="D137" s="82"/>
      <c r="E137" s="82"/>
      <c r="F137" s="82"/>
      <c r="G137" s="82"/>
      <c r="H137" s="82"/>
      <c r="I137" s="82"/>
      <c r="J137" s="82"/>
      <c r="K137" s="82"/>
      <c r="L137" s="82"/>
      <c r="M137" s="82"/>
      <c r="N137" s="82"/>
      <c r="O137" s="82"/>
      <c r="P137" s="82"/>
      <c r="Q137" s="82"/>
      <c r="R137" s="82"/>
      <c r="S137" s="82"/>
      <c r="T137" s="82"/>
      <c r="U137" s="82"/>
      <c r="V137" s="54"/>
      <c r="W137" s="54"/>
      <c r="X137" s="52"/>
      <c r="Y137" s="50"/>
      <c r="Z137" s="50"/>
      <c r="AA137" s="50"/>
      <c r="AB137" s="77"/>
      <c r="AC137" s="77"/>
      <c r="AD137" s="77"/>
      <c r="AE137" s="77"/>
      <c r="AF137" s="77"/>
      <c r="AG137" s="77"/>
      <c r="AH137" s="77"/>
      <c r="AI137" s="77"/>
      <c r="AJ137" s="50"/>
      <c r="AK137" s="77"/>
      <c r="AL137" s="77"/>
      <c r="AM137" s="77"/>
      <c r="AN137" s="77"/>
      <c r="AO137" s="77"/>
      <c r="AP137" s="77"/>
    </row>
    <row r="138" spans="1:68" ht="14.25" customHeight="1" x14ac:dyDescent="0.3">
      <c r="A138" s="49"/>
      <c r="B138" s="49"/>
      <c r="C138" s="49"/>
      <c r="D138" s="49"/>
      <c r="E138" s="49"/>
      <c r="F138" s="49"/>
      <c r="G138" s="49"/>
      <c r="H138" s="49"/>
      <c r="I138" s="49"/>
      <c r="J138" s="49"/>
      <c r="K138" s="49"/>
      <c r="L138" s="49"/>
      <c r="M138" s="49"/>
      <c r="N138" s="49"/>
      <c r="O138" s="49"/>
      <c r="P138" s="49"/>
      <c r="Q138" s="49"/>
      <c r="R138" s="49"/>
      <c r="S138" s="49"/>
      <c r="T138" s="49"/>
      <c r="U138" s="49"/>
      <c r="V138" s="54"/>
      <c r="W138" s="49"/>
      <c r="X138" s="49"/>
      <c r="Y138" s="49"/>
      <c r="Z138" s="49"/>
      <c r="AA138" s="49"/>
      <c r="AB138" s="49"/>
      <c r="AC138" s="49"/>
      <c r="AD138" s="49"/>
      <c r="AE138" s="49"/>
      <c r="AF138" s="49"/>
      <c r="AG138" s="49"/>
      <c r="AH138" s="50"/>
      <c r="AI138" s="50"/>
      <c r="AJ138" s="62"/>
      <c r="AK138" s="62"/>
      <c r="AL138" s="62"/>
      <c r="AM138" s="62"/>
      <c r="AN138" s="62"/>
      <c r="AO138" s="62"/>
      <c r="AP138" s="62"/>
    </row>
    <row r="139" spans="1:68" ht="14.25" customHeight="1" x14ac:dyDescent="0.25"/>
    <row r="140" spans="1:68" ht="14.25" customHeight="1" x14ac:dyDescent="0.25"/>
    <row r="141" spans="1:68" ht="14.25" customHeight="1" x14ac:dyDescent="0.25"/>
    <row r="142" spans="1:68" ht="14.25" customHeight="1" x14ac:dyDescent="0.25"/>
    <row r="143" spans="1:68" ht="14.25" customHeight="1" x14ac:dyDescent="0.25"/>
    <row r="144" spans="1:68"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sheetData>
  <mergeCells count="685">
    <mergeCell ref="A23:Q26"/>
    <mergeCell ref="R23:AY26"/>
    <mergeCell ref="AZ23:BR26"/>
    <mergeCell ref="A7:Q10"/>
    <mergeCell ref="R7:AY10"/>
    <mergeCell ref="AZ7:BR10"/>
    <mergeCell ref="A11:Q14"/>
    <mergeCell ref="R11:AY14"/>
    <mergeCell ref="AZ11:BR14"/>
    <mergeCell ref="A15:Q18"/>
    <mergeCell ref="R15:AY18"/>
    <mergeCell ref="AZ15:BR18"/>
    <mergeCell ref="BT31:CA31"/>
    <mergeCell ref="CB31:CC34"/>
    <mergeCell ref="CD31:CE34"/>
    <mergeCell ref="CF31:CG34"/>
    <mergeCell ref="BE32:BF34"/>
    <mergeCell ref="BK32:BL34"/>
    <mergeCell ref="BT32:BV34"/>
    <mergeCell ref="BW32:BX34"/>
    <mergeCell ref="BY32:CA34"/>
    <mergeCell ref="BG32:BH34"/>
    <mergeCell ref="BI32:BJ34"/>
    <mergeCell ref="BE31:BL31"/>
    <mergeCell ref="BO73:BR73"/>
    <mergeCell ref="AK73:AM73"/>
    <mergeCell ref="AN73:AP73"/>
    <mergeCell ref="AQ73:AS73"/>
    <mergeCell ref="AT73:AV73"/>
    <mergeCell ref="AW73:AY73"/>
    <mergeCell ref="AZ73:BB73"/>
    <mergeCell ref="BC73:BE73"/>
    <mergeCell ref="BF73:BH73"/>
    <mergeCell ref="BI73:BK73"/>
    <mergeCell ref="BL73:BN73"/>
    <mergeCell ref="A1:BR2"/>
    <mergeCell ref="A29:BR30"/>
    <mergeCell ref="V62:X62"/>
    <mergeCell ref="Y62:AA62"/>
    <mergeCell ref="AB62:AD62"/>
    <mergeCell ref="AE62:AG62"/>
    <mergeCell ref="AQ61:AS61"/>
    <mergeCell ref="AT61:AV61"/>
    <mergeCell ref="AH62:AJ62"/>
    <mergeCell ref="BM35:BN35"/>
    <mergeCell ref="B62:C62"/>
    <mergeCell ref="BC62:BE62"/>
    <mergeCell ref="BF62:BH62"/>
    <mergeCell ref="BI62:BK62"/>
    <mergeCell ref="BL62:BN62"/>
    <mergeCell ref="AN61:AP61"/>
    <mergeCell ref="AN62:AP62"/>
    <mergeCell ref="AQ62:AS62"/>
    <mergeCell ref="AT62:AV62"/>
    <mergeCell ref="AW62:AY62"/>
    <mergeCell ref="B56:C56"/>
    <mergeCell ref="A19:Q22"/>
    <mergeCell ref="R19:AY22"/>
    <mergeCell ref="AZ19:BR22"/>
    <mergeCell ref="AW63:AY63"/>
    <mergeCell ref="AZ63:BB63"/>
    <mergeCell ref="BC63:BE63"/>
    <mergeCell ref="BF63:BH63"/>
    <mergeCell ref="BI63:BK63"/>
    <mergeCell ref="BL63:BN63"/>
    <mergeCell ref="D64:O64"/>
    <mergeCell ref="P64:R64"/>
    <mergeCell ref="S64:U64"/>
    <mergeCell ref="V64:X64"/>
    <mergeCell ref="Y64:AA64"/>
    <mergeCell ref="AB64:AD64"/>
    <mergeCell ref="AE64:AG64"/>
    <mergeCell ref="AH64:AJ64"/>
    <mergeCell ref="D63:O63"/>
    <mergeCell ref="P63:R63"/>
    <mergeCell ref="S63:U63"/>
    <mergeCell ref="V63:X63"/>
    <mergeCell ref="Y63:AA63"/>
    <mergeCell ref="AB63:AD63"/>
    <mergeCell ref="AH63:AJ63"/>
    <mergeCell ref="AQ63:AS63"/>
    <mergeCell ref="B79:C79"/>
    <mergeCell ref="D79:O79"/>
    <mergeCell ref="P79:R79"/>
    <mergeCell ref="S79:U79"/>
    <mergeCell ref="V79:X79"/>
    <mergeCell ref="Y79:AA79"/>
    <mergeCell ref="AB79:AD79"/>
    <mergeCell ref="B90:BQ90"/>
    <mergeCell ref="B91:BQ91"/>
    <mergeCell ref="BL81:BN81"/>
    <mergeCell ref="AE81:AG81"/>
    <mergeCell ref="BC81:BE81"/>
    <mergeCell ref="BF81:BH81"/>
    <mergeCell ref="BI81:BK81"/>
    <mergeCell ref="BO81:BR81"/>
    <mergeCell ref="B80:C80"/>
    <mergeCell ref="D80:O80"/>
    <mergeCell ref="P80:R80"/>
    <mergeCell ref="S80:U80"/>
    <mergeCell ref="V80:X80"/>
    <mergeCell ref="Y80:AA80"/>
    <mergeCell ref="AB80:AD80"/>
    <mergeCell ref="AW80:AY80"/>
    <mergeCell ref="AZ80:BB80"/>
    <mergeCell ref="B73:C73"/>
    <mergeCell ref="D73:O73"/>
    <mergeCell ref="P73:R73"/>
    <mergeCell ref="S73:U73"/>
    <mergeCell ref="V73:X73"/>
    <mergeCell ref="Y73:AA73"/>
    <mergeCell ref="AB73:AD73"/>
    <mergeCell ref="D78:O78"/>
    <mergeCell ref="P78:R78"/>
    <mergeCell ref="S78:U78"/>
    <mergeCell ref="V78:X78"/>
    <mergeCell ref="B78:C78"/>
    <mergeCell ref="D77:O77"/>
    <mergeCell ref="P77:R77"/>
    <mergeCell ref="S77:U77"/>
    <mergeCell ref="B75:C75"/>
    <mergeCell ref="Y78:AA78"/>
    <mergeCell ref="AB78:AD78"/>
    <mergeCell ref="B77:C77"/>
    <mergeCell ref="D75:O75"/>
    <mergeCell ref="V77:X77"/>
    <mergeCell ref="Y77:AA77"/>
    <mergeCell ref="AB77:AD77"/>
    <mergeCell ref="B100:BR100"/>
    <mergeCell ref="B101:BR101"/>
    <mergeCell ref="AH81:AJ81"/>
    <mergeCell ref="AK81:AM81"/>
    <mergeCell ref="AN81:AP81"/>
    <mergeCell ref="AQ81:AS81"/>
    <mergeCell ref="B81:C81"/>
    <mergeCell ref="D81:O81"/>
    <mergeCell ref="P81:R81"/>
    <mergeCell ref="S81:U81"/>
    <mergeCell ref="V81:X81"/>
    <mergeCell ref="Y81:AA81"/>
    <mergeCell ref="AW81:AY81"/>
    <mergeCell ref="AZ81:BB81"/>
    <mergeCell ref="B95:BR95"/>
    <mergeCell ref="B96:BR96"/>
    <mergeCell ref="B97:BR97"/>
    <mergeCell ref="B92:BQ92"/>
    <mergeCell ref="AT81:AV81"/>
    <mergeCell ref="AB81:AD81"/>
    <mergeCell ref="BI79:BK79"/>
    <mergeCell ref="AW79:AY79"/>
    <mergeCell ref="AE79:AG79"/>
    <mergeCell ref="AH79:AJ79"/>
    <mergeCell ref="AK79:AM79"/>
    <mergeCell ref="AN79:AP79"/>
    <mergeCell ref="AQ79:AS79"/>
    <mergeCell ref="AT79:AV79"/>
    <mergeCell ref="AW78:AY78"/>
    <mergeCell ref="AZ78:BB78"/>
    <mergeCell ref="BC78:BE78"/>
    <mergeCell ref="BF78:BH78"/>
    <mergeCell ref="AE78:AG78"/>
    <mergeCell ref="AH78:AJ78"/>
    <mergeCell ref="AK78:AM78"/>
    <mergeCell ref="AN78:AP78"/>
    <mergeCell ref="AQ78:AS78"/>
    <mergeCell ref="AT78:AV78"/>
    <mergeCell ref="AE80:AG80"/>
    <mergeCell ref="AH80:AJ80"/>
    <mergeCell ref="AQ80:AS80"/>
    <mergeCell ref="AT80:AV80"/>
    <mergeCell ref="AK80:AM80"/>
    <mergeCell ref="AN80:AP80"/>
    <mergeCell ref="BF80:BH80"/>
    <mergeCell ref="AZ79:BB79"/>
    <mergeCell ref="BC79:BE79"/>
    <mergeCell ref="BF79:BH79"/>
    <mergeCell ref="AE69:AG69"/>
    <mergeCell ref="AH69:AJ69"/>
    <mergeCell ref="AK69:AM69"/>
    <mergeCell ref="AN69:AP69"/>
    <mergeCell ref="BF71:BH71"/>
    <mergeCell ref="AT75:AV75"/>
    <mergeCell ref="AW74:AY74"/>
    <mergeCell ref="AZ74:BB74"/>
    <mergeCell ref="BC74:BE74"/>
    <mergeCell ref="BF74:BH74"/>
    <mergeCell ref="AK70:AM70"/>
    <mergeCell ref="AN70:AP70"/>
    <mergeCell ref="AE73:AG73"/>
    <mergeCell ref="AH73:AJ73"/>
    <mergeCell ref="AN71:AP71"/>
    <mergeCell ref="AK71:AM71"/>
    <mergeCell ref="AQ69:AS69"/>
    <mergeCell ref="AK72:AM72"/>
    <mergeCell ref="AN72:AP72"/>
    <mergeCell ref="BC65:BE65"/>
    <mergeCell ref="BF65:BH65"/>
    <mergeCell ref="AB69:AD69"/>
    <mergeCell ref="B68:C68"/>
    <mergeCell ref="P68:R68"/>
    <mergeCell ref="S68:U68"/>
    <mergeCell ref="V68:X68"/>
    <mergeCell ref="Y68:AA68"/>
    <mergeCell ref="AB68:AD68"/>
    <mergeCell ref="AE68:AG68"/>
    <mergeCell ref="AH68:AJ68"/>
    <mergeCell ref="BC68:BE68"/>
    <mergeCell ref="BF68:BH68"/>
    <mergeCell ref="AK68:AM68"/>
    <mergeCell ref="AN68:AP68"/>
    <mergeCell ref="AQ68:AS68"/>
    <mergeCell ref="AT68:AV68"/>
    <mergeCell ref="AW68:AY68"/>
    <mergeCell ref="AZ68:BB68"/>
    <mergeCell ref="B66:C66"/>
    <mergeCell ref="B65:C65"/>
    <mergeCell ref="D65:O65"/>
    <mergeCell ref="P65:R65"/>
    <mergeCell ref="S65:U65"/>
    <mergeCell ref="AT60:AV60"/>
    <mergeCell ref="AE60:AG60"/>
    <mergeCell ref="AH60:AJ60"/>
    <mergeCell ref="AK60:AM60"/>
    <mergeCell ref="AN60:AP60"/>
    <mergeCell ref="AK61:AM61"/>
    <mergeCell ref="AK65:AM65"/>
    <mergeCell ref="AN65:AP65"/>
    <mergeCell ref="Y66:AA66"/>
    <mergeCell ref="AB66:AD66"/>
    <mergeCell ref="AK63:AM63"/>
    <mergeCell ref="AN63:AP63"/>
    <mergeCell ref="AB65:AD65"/>
    <mergeCell ref="AE65:AG65"/>
    <mergeCell ref="AH65:AJ65"/>
    <mergeCell ref="AB60:AD60"/>
    <mergeCell ref="AQ60:AS60"/>
    <mergeCell ref="AQ65:AS65"/>
    <mergeCell ref="AK62:AM62"/>
    <mergeCell ref="AB61:AD61"/>
    <mergeCell ref="AE61:AG61"/>
    <mergeCell ref="AH61:AJ61"/>
    <mergeCell ref="D62:O62"/>
    <mergeCell ref="P62:R62"/>
    <mergeCell ref="S62:U62"/>
    <mergeCell ref="Y61:AA61"/>
    <mergeCell ref="Y65:AA65"/>
    <mergeCell ref="B64:C64"/>
    <mergeCell ref="B63:C63"/>
    <mergeCell ref="V69:X69"/>
    <mergeCell ref="B67:C67"/>
    <mergeCell ref="D67:O67"/>
    <mergeCell ref="P67:R67"/>
    <mergeCell ref="S67:U67"/>
    <mergeCell ref="P69:R69"/>
    <mergeCell ref="V65:X65"/>
    <mergeCell ref="D68:O68"/>
    <mergeCell ref="D66:O66"/>
    <mergeCell ref="P66:R66"/>
    <mergeCell ref="S66:U66"/>
    <mergeCell ref="V66:X66"/>
    <mergeCell ref="S57:U57"/>
    <mergeCell ref="V57:X57"/>
    <mergeCell ref="AT69:AV69"/>
    <mergeCell ref="Y69:AA69"/>
    <mergeCell ref="B60:C60"/>
    <mergeCell ref="D60:O60"/>
    <mergeCell ref="AN57:AP57"/>
    <mergeCell ref="AQ57:AS57"/>
    <mergeCell ref="AT57:AV57"/>
    <mergeCell ref="AE59:AG59"/>
    <mergeCell ref="AH59:AJ59"/>
    <mergeCell ref="AE63:AG63"/>
    <mergeCell ref="AK67:AM67"/>
    <mergeCell ref="AN67:AP67"/>
    <mergeCell ref="AQ67:AS67"/>
    <mergeCell ref="P60:R60"/>
    <mergeCell ref="B69:C69"/>
    <mergeCell ref="D69:O69"/>
    <mergeCell ref="S69:U69"/>
    <mergeCell ref="B61:C61"/>
    <mergeCell ref="D61:O61"/>
    <mergeCell ref="P61:R61"/>
    <mergeCell ref="S61:U61"/>
    <mergeCell ref="V61:X61"/>
    <mergeCell ref="BF56:BH56"/>
    <mergeCell ref="BI56:BK56"/>
    <mergeCell ref="BL56:BN56"/>
    <mergeCell ref="AE56:AG56"/>
    <mergeCell ref="AH56:AJ56"/>
    <mergeCell ref="AK56:AM56"/>
    <mergeCell ref="AN56:AP56"/>
    <mergeCell ref="AQ56:AS56"/>
    <mergeCell ref="AT56:AV56"/>
    <mergeCell ref="AW57:AY57"/>
    <mergeCell ref="AZ57:BB57"/>
    <mergeCell ref="BC57:BE57"/>
    <mergeCell ref="BF57:BH57"/>
    <mergeCell ref="BL69:BN69"/>
    <mergeCell ref="B57:C57"/>
    <mergeCell ref="D57:O57"/>
    <mergeCell ref="P57:R57"/>
    <mergeCell ref="BM37:BN37"/>
    <mergeCell ref="AZ54:BB55"/>
    <mergeCell ref="BC54:BE55"/>
    <mergeCell ref="BF54:BH55"/>
    <mergeCell ref="BI54:BK55"/>
    <mergeCell ref="AT50:AV51"/>
    <mergeCell ref="AW50:AY51"/>
    <mergeCell ref="AZ50:BB51"/>
    <mergeCell ref="BC50:BE51"/>
    <mergeCell ref="BF50:BH51"/>
    <mergeCell ref="BI50:BK51"/>
    <mergeCell ref="BL54:BN55"/>
    <mergeCell ref="AQ46:BB47"/>
    <mergeCell ref="BC46:BN47"/>
    <mergeCell ref="BC48:BH49"/>
    <mergeCell ref="BI48:BN49"/>
    <mergeCell ref="BL50:BN51"/>
    <mergeCell ref="AQ52:BB53"/>
    <mergeCell ref="BC52:BN53"/>
    <mergeCell ref="AQ54:AS55"/>
    <mergeCell ref="AT54:AV55"/>
    <mergeCell ref="AW54:AY55"/>
    <mergeCell ref="AQ50:AS51"/>
    <mergeCell ref="BC37:BD37"/>
    <mergeCell ref="A35:B35"/>
    <mergeCell ref="BC35:BD35"/>
    <mergeCell ref="BE35:BF35"/>
    <mergeCell ref="BK35:BL35"/>
    <mergeCell ref="BG36:BH36"/>
    <mergeCell ref="BI36:BJ36"/>
    <mergeCell ref="S55:U55"/>
    <mergeCell ref="A46:A55"/>
    <mergeCell ref="B46:C55"/>
    <mergeCell ref="AW39:AY41"/>
    <mergeCell ref="AZ39:BC41"/>
    <mergeCell ref="B39:C41"/>
    <mergeCell ref="D39:J41"/>
    <mergeCell ref="K39:N41"/>
    <mergeCell ref="O39:R41"/>
    <mergeCell ref="S39:U41"/>
    <mergeCell ref="V39:AA41"/>
    <mergeCell ref="AB39:AD41"/>
    <mergeCell ref="AF39:AM41"/>
    <mergeCell ref="AN39:AP41"/>
    <mergeCell ref="A44:BR45"/>
    <mergeCell ref="BO46:BR55"/>
    <mergeCell ref="K33:O33"/>
    <mergeCell ref="AW56:AY56"/>
    <mergeCell ref="AZ56:BB56"/>
    <mergeCell ref="BC56:BE56"/>
    <mergeCell ref="BG37:BH37"/>
    <mergeCell ref="BI37:BJ37"/>
    <mergeCell ref="BG35:BH35"/>
    <mergeCell ref="BI35:BJ35"/>
    <mergeCell ref="AY33:BB33"/>
    <mergeCell ref="Y33:AB33"/>
    <mergeCell ref="D56:O56"/>
    <mergeCell ref="P56:R56"/>
    <mergeCell ref="S56:U56"/>
    <mergeCell ref="V56:X56"/>
    <mergeCell ref="Y56:AA56"/>
    <mergeCell ref="AB56:AD56"/>
    <mergeCell ref="Y50:AA55"/>
    <mergeCell ref="AB50:AD55"/>
    <mergeCell ref="D46:O55"/>
    <mergeCell ref="P46:AP47"/>
    <mergeCell ref="V50:X55"/>
    <mergeCell ref="AE50:AG55"/>
    <mergeCell ref="AH50:AJ55"/>
    <mergeCell ref="AK50:AM55"/>
    <mergeCell ref="AK57:AM57"/>
    <mergeCell ref="A37:BB37"/>
    <mergeCell ref="A31:B34"/>
    <mergeCell ref="C31:BB32"/>
    <mergeCell ref="A36:B36"/>
    <mergeCell ref="P48:U54"/>
    <mergeCell ref="V48:AM49"/>
    <mergeCell ref="AN48:AP55"/>
    <mergeCell ref="AQ48:AV49"/>
    <mergeCell ref="AW48:BB49"/>
    <mergeCell ref="P55:R55"/>
    <mergeCell ref="Y57:AA57"/>
    <mergeCell ref="AB57:AD57"/>
    <mergeCell ref="AE57:AG57"/>
    <mergeCell ref="AH57:AJ57"/>
    <mergeCell ref="C33:F33"/>
    <mergeCell ref="P33:S33"/>
    <mergeCell ref="T33:X33"/>
    <mergeCell ref="AC33:AF33"/>
    <mergeCell ref="AG33:AJ33"/>
    <mergeCell ref="AK33:AO33"/>
    <mergeCell ref="AP33:AS33"/>
    <mergeCell ref="AT33:AX33"/>
    <mergeCell ref="G33:J33"/>
    <mergeCell ref="BO56:BR56"/>
    <mergeCell ref="BO57:BR57"/>
    <mergeCell ref="BI57:BK57"/>
    <mergeCell ref="BL57:BN57"/>
    <mergeCell ref="BM31:BN34"/>
    <mergeCell ref="BO31:BP34"/>
    <mergeCell ref="BQ31:BR34"/>
    <mergeCell ref="BO35:BP35"/>
    <mergeCell ref="BQ35:BR35"/>
    <mergeCell ref="BM36:BN36"/>
    <mergeCell ref="BO36:BP36"/>
    <mergeCell ref="BO37:BP37"/>
    <mergeCell ref="BD39:BG41"/>
    <mergeCell ref="BH39:BN41"/>
    <mergeCell ref="BE36:BF36"/>
    <mergeCell ref="BK36:BL36"/>
    <mergeCell ref="BQ36:BR36"/>
    <mergeCell ref="BQ37:BR37"/>
    <mergeCell ref="BE37:BF37"/>
    <mergeCell ref="BK37:BL37"/>
    <mergeCell ref="BC31:BD34"/>
    <mergeCell ref="BC36:BD36"/>
    <mergeCell ref="BO75:BR75"/>
    <mergeCell ref="BO77:BR77"/>
    <mergeCell ref="BO78:BR78"/>
    <mergeCell ref="BO79:BR79"/>
    <mergeCell ref="BO80:BR80"/>
    <mergeCell ref="BC69:BE69"/>
    <mergeCell ref="BF69:BH69"/>
    <mergeCell ref="BI69:BK69"/>
    <mergeCell ref="BI68:BK68"/>
    <mergeCell ref="BL68:BN68"/>
    <mergeCell ref="BL74:BN74"/>
    <mergeCell ref="BO74:BR74"/>
    <mergeCell ref="BI78:BK78"/>
    <mergeCell ref="BL79:BN79"/>
    <mergeCell ref="BC80:BE80"/>
    <mergeCell ref="BL70:BN70"/>
    <mergeCell ref="BO70:BR70"/>
    <mergeCell ref="BL71:BN71"/>
    <mergeCell ref="BO71:BR71"/>
    <mergeCell ref="BL72:BN72"/>
    <mergeCell ref="BO72:BR72"/>
    <mergeCell ref="BL78:BN78"/>
    <mergeCell ref="BL80:BN80"/>
    <mergeCell ref="BI80:BK80"/>
    <mergeCell ref="BO58:BR58"/>
    <mergeCell ref="BO59:BR59"/>
    <mergeCell ref="AW60:AY60"/>
    <mergeCell ref="AZ60:BB60"/>
    <mergeCell ref="BC60:BE60"/>
    <mergeCell ref="BF60:BH60"/>
    <mergeCell ref="BI60:BK60"/>
    <mergeCell ref="BL60:BN60"/>
    <mergeCell ref="BL61:BN61"/>
    <mergeCell ref="AW61:AY61"/>
    <mergeCell ref="AZ61:BB61"/>
    <mergeCell ref="BI61:BK61"/>
    <mergeCell ref="AW58:AY58"/>
    <mergeCell ref="AZ58:BB58"/>
    <mergeCell ref="BC58:BE58"/>
    <mergeCell ref="BL58:BN58"/>
    <mergeCell ref="BL59:BN59"/>
    <mergeCell ref="BC61:BE61"/>
    <mergeCell ref="BF61:BH61"/>
    <mergeCell ref="BF58:BH58"/>
    <mergeCell ref="BI58:BK58"/>
    <mergeCell ref="BO60:BR60"/>
    <mergeCell ref="BO61:BR61"/>
    <mergeCell ref="AW59:AY59"/>
    <mergeCell ref="B58:C58"/>
    <mergeCell ref="D58:O58"/>
    <mergeCell ref="P58:R58"/>
    <mergeCell ref="S58:U58"/>
    <mergeCell ref="V58:X58"/>
    <mergeCell ref="Y58:AA58"/>
    <mergeCell ref="AB58:AD58"/>
    <mergeCell ref="AE58:AG58"/>
    <mergeCell ref="AH58:AJ58"/>
    <mergeCell ref="AZ59:BB59"/>
    <mergeCell ref="BC59:BE59"/>
    <mergeCell ref="BF59:BH59"/>
    <mergeCell ref="BI59:BK59"/>
    <mergeCell ref="B59:C59"/>
    <mergeCell ref="D59:O59"/>
    <mergeCell ref="P59:R59"/>
    <mergeCell ref="S59:U59"/>
    <mergeCell ref="V59:X59"/>
    <mergeCell ref="Y59:AA59"/>
    <mergeCell ref="AB59:AD59"/>
    <mergeCell ref="BO62:BR62"/>
    <mergeCell ref="BO66:BR66"/>
    <mergeCell ref="BO65:BR65"/>
    <mergeCell ref="BF67:BH67"/>
    <mergeCell ref="BI67:BK67"/>
    <mergeCell ref="BL67:BN67"/>
    <mergeCell ref="BO67:BR67"/>
    <mergeCell ref="AZ62:BB62"/>
    <mergeCell ref="AW69:AY69"/>
    <mergeCell ref="AZ69:BB69"/>
    <mergeCell ref="BO68:BR68"/>
    <mergeCell ref="BO69:BR69"/>
    <mergeCell ref="BI66:BK66"/>
    <mergeCell ref="BL66:BN66"/>
    <mergeCell ref="AW65:AY65"/>
    <mergeCell ref="AZ65:BB65"/>
    <mergeCell ref="BO63:BR63"/>
    <mergeCell ref="BO64:BR64"/>
    <mergeCell ref="AW64:AY64"/>
    <mergeCell ref="AZ64:BB64"/>
    <mergeCell ref="BC64:BE64"/>
    <mergeCell ref="BF64:BH64"/>
    <mergeCell ref="BI64:BK64"/>
    <mergeCell ref="BL64:BN64"/>
    <mergeCell ref="AW67:AY67"/>
    <mergeCell ref="AZ67:BB67"/>
    <mergeCell ref="BC67:BE67"/>
    <mergeCell ref="S60:U60"/>
    <mergeCell ref="V60:X60"/>
    <mergeCell ref="Y60:AA60"/>
    <mergeCell ref="BI65:BK65"/>
    <mergeCell ref="BL65:BN65"/>
    <mergeCell ref="AW66:AY66"/>
    <mergeCell ref="AZ66:BB66"/>
    <mergeCell ref="BC66:BE66"/>
    <mergeCell ref="BF66:BH66"/>
    <mergeCell ref="AE66:AG66"/>
    <mergeCell ref="AH66:AJ66"/>
    <mergeCell ref="AK66:AM66"/>
    <mergeCell ref="AN66:AP66"/>
    <mergeCell ref="AQ66:AS66"/>
    <mergeCell ref="AT66:AV66"/>
    <mergeCell ref="AT65:AV65"/>
    <mergeCell ref="AT63:AV63"/>
    <mergeCell ref="AK64:AM64"/>
    <mergeCell ref="AN64:AP64"/>
    <mergeCell ref="AQ64:AS64"/>
    <mergeCell ref="AT64:AV64"/>
    <mergeCell ref="AR39:AU41"/>
    <mergeCell ref="V74:X74"/>
    <mergeCell ref="Y74:AA74"/>
    <mergeCell ref="AB74:AD74"/>
    <mergeCell ref="AE74:AG74"/>
    <mergeCell ref="AH74:AJ74"/>
    <mergeCell ref="AK74:AM74"/>
    <mergeCell ref="AN74:AP74"/>
    <mergeCell ref="AQ74:AS74"/>
    <mergeCell ref="V67:X67"/>
    <mergeCell ref="Y67:AA67"/>
    <mergeCell ref="AB67:AD67"/>
    <mergeCell ref="AE67:AG67"/>
    <mergeCell ref="AH67:AJ67"/>
    <mergeCell ref="AT67:AV67"/>
    <mergeCell ref="AK59:AM59"/>
    <mergeCell ref="AT74:AV74"/>
    <mergeCell ref="AN59:AP59"/>
    <mergeCell ref="AQ59:AS59"/>
    <mergeCell ref="AT59:AV59"/>
    <mergeCell ref="AK58:AM58"/>
    <mergeCell ref="AN58:AP58"/>
    <mergeCell ref="AQ58:AS58"/>
    <mergeCell ref="AT58:AV58"/>
    <mergeCell ref="Y119:AE122"/>
    <mergeCell ref="B74:C74"/>
    <mergeCell ref="D74:O74"/>
    <mergeCell ref="P74:R74"/>
    <mergeCell ref="S74:U74"/>
    <mergeCell ref="AE77:AG77"/>
    <mergeCell ref="AH77:AJ77"/>
    <mergeCell ref="P75:R75"/>
    <mergeCell ref="D76:O76"/>
    <mergeCell ref="P76:R76"/>
    <mergeCell ref="S76:U76"/>
    <mergeCell ref="V76:X76"/>
    <mergeCell ref="Y76:AA76"/>
    <mergeCell ref="AB76:AD76"/>
    <mergeCell ref="S75:U75"/>
    <mergeCell ref="V75:X75"/>
    <mergeCell ref="Y75:AA75"/>
    <mergeCell ref="AB75:AD75"/>
    <mergeCell ref="AE76:AG76"/>
    <mergeCell ref="AH76:AJ76"/>
    <mergeCell ref="AE75:AG75"/>
    <mergeCell ref="AH75:AJ75"/>
    <mergeCell ref="B98:BR98"/>
    <mergeCell ref="B99:BR99"/>
    <mergeCell ref="BL77:BN77"/>
    <mergeCell ref="AK75:AM75"/>
    <mergeCell ref="AN75:AP75"/>
    <mergeCell ref="AQ75:AS75"/>
    <mergeCell ref="AT77:AV77"/>
    <mergeCell ref="BC75:BE75"/>
    <mergeCell ref="BF75:BH75"/>
    <mergeCell ref="BI75:BK75"/>
    <mergeCell ref="BL75:BN75"/>
    <mergeCell ref="AQ77:AS77"/>
    <mergeCell ref="AK77:AM77"/>
    <mergeCell ref="AN77:AP77"/>
    <mergeCell ref="AK76:AM76"/>
    <mergeCell ref="AN76:AP76"/>
    <mergeCell ref="BF77:BH77"/>
    <mergeCell ref="BI77:BK77"/>
    <mergeCell ref="AW75:AY75"/>
    <mergeCell ref="AZ75:BB75"/>
    <mergeCell ref="BI74:BK74"/>
    <mergeCell ref="AW77:AY77"/>
    <mergeCell ref="AZ77:BB77"/>
    <mergeCell ref="BC77:BE77"/>
    <mergeCell ref="AQ70:AS70"/>
    <mergeCell ref="AT70:AV70"/>
    <mergeCell ref="AW70:AY70"/>
    <mergeCell ref="AZ70:BB70"/>
    <mergeCell ref="BC70:BE70"/>
    <mergeCell ref="BF70:BH70"/>
    <mergeCell ref="BI70:BK70"/>
    <mergeCell ref="AZ72:BB72"/>
    <mergeCell ref="BC72:BE72"/>
    <mergeCell ref="BF72:BH72"/>
    <mergeCell ref="BI72:BK72"/>
    <mergeCell ref="AQ71:AS71"/>
    <mergeCell ref="AT71:AV71"/>
    <mergeCell ref="AW71:AY71"/>
    <mergeCell ref="AZ71:BB71"/>
    <mergeCell ref="BC71:BE71"/>
    <mergeCell ref="B70:C70"/>
    <mergeCell ref="D70:O70"/>
    <mergeCell ref="P70:R70"/>
    <mergeCell ref="S70:U70"/>
    <mergeCell ref="V70:X70"/>
    <mergeCell ref="Y70:AA70"/>
    <mergeCell ref="AB70:AD70"/>
    <mergeCell ref="AE70:AG70"/>
    <mergeCell ref="AH70:AJ70"/>
    <mergeCell ref="A3:BR4"/>
    <mergeCell ref="AQ76:AS76"/>
    <mergeCell ref="AT76:AV76"/>
    <mergeCell ref="AW76:AY76"/>
    <mergeCell ref="AZ76:BB76"/>
    <mergeCell ref="BC76:BE76"/>
    <mergeCell ref="BF76:BH76"/>
    <mergeCell ref="BI76:BK76"/>
    <mergeCell ref="BL76:BN76"/>
    <mergeCell ref="BO76:BR76"/>
    <mergeCell ref="B76:C76"/>
    <mergeCell ref="B72:C72"/>
    <mergeCell ref="D72:O72"/>
    <mergeCell ref="P72:R72"/>
    <mergeCell ref="S72:U72"/>
    <mergeCell ref="V72:X72"/>
    <mergeCell ref="Y72:AA72"/>
    <mergeCell ref="AB72:AD72"/>
    <mergeCell ref="AE72:AG72"/>
    <mergeCell ref="BI71:BK71"/>
    <mergeCell ref="AQ72:AS72"/>
    <mergeCell ref="AT72:AV72"/>
    <mergeCell ref="AW72:AY72"/>
    <mergeCell ref="AH72:AJ72"/>
    <mergeCell ref="BH119:BR122"/>
    <mergeCell ref="AY128:BG128"/>
    <mergeCell ref="BH128:BP128"/>
    <mergeCell ref="AJ131:AX132"/>
    <mergeCell ref="AY131:BG131"/>
    <mergeCell ref="BH131:BP131"/>
    <mergeCell ref="V84:AZ85"/>
    <mergeCell ref="V86:AZ87"/>
    <mergeCell ref="AJ119:AX122"/>
    <mergeCell ref="AY119:BG122"/>
    <mergeCell ref="B93:BQ93"/>
    <mergeCell ref="B94:BQ94"/>
    <mergeCell ref="A104:O104"/>
    <mergeCell ref="P104:S104"/>
    <mergeCell ref="T104:X104"/>
    <mergeCell ref="AJ104:BR110"/>
    <mergeCell ref="A113:O116"/>
    <mergeCell ref="P113:X116"/>
    <mergeCell ref="Y113:AE116"/>
    <mergeCell ref="AJ113:AX116"/>
    <mergeCell ref="AY113:BG116"/>
    <mergeCell ref="BH113:BR116"/>
    <mergeCell ref="A119:O122"/>
    <mergeCell ref="P119:X122"/>
    <mergeCell ref="B71:C71"/>
    <mergeCell ref="D71:O71"/>
    <mergeCell ref="P71:R71"/>
    <mergeCell ref="S71:U71"/>
    <mergeCell ref="V71:X71"/>
    <mergeCell ref="Y71:AA71"/>
    <mergeCell ref="AB71:AD71"/>
    <mergeCell ref="AE71:AG71"/>
    <mergeCell ref="AH71:AJ71"/>
  </mergeCells>
  <conditionalFormatting sqref="BW58:BW81">
    <cfRule type="expression" dxfId="9" priority="2">
      <formula>BV58=0</formula>
    </cfRule>
  </conditionalFormatting>
  <conditionalFormatting sqref="BZ58:BZ81">
    <cfRule type="expression" dxfId="8" priority="1">
      <formula>BY58=0</formula>
    </cfRule>
  </conditionalFormatting>
  <pageMargins left="0.19685039370078741" right="0.19685039370078741" top="0.19685039370078741" bottom="0.19685039370078741" header="0.31496062992125984" footer="0.31496062992125984"/>
  <pageSetup paperSize="9" scale="50" orientation="landscape" r:id="rId1"/>
  <rowBreaks count="1" manualBreakCount="1">
    <brk id="65" max="6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157"/>
  <sheetViews>
    <sheetView view="pageBreakPreview" topLeftCell="A45" zoomScale="70" zoomScaleNormal="55" zoomScaleSheetLayoutView="70" zoomScalePageLayoutView="55" workbookViewId="0">
      <selection activeCell="D66" sqref="D66:O66"/>
    </sheetView>
  </sheetViews>
  <sheetFormatPr defaultColWidth="9.140625" defaultRowHeight="15.75" x14ac:dyDescent="0.25"/>
  <cols>
    <col min="1" max="1" width="12.28515625" style="2" customWidth="1"/>
    <col min="2" max="2" width="12.28515625" style="65" customWidth="1"/>
    <col min="3" max="3" width="3.85546875" style="65" customWidth="1"/>
    <col min="4" max="70" width="3.85546875" style="2" customWidth="1"/>
    <col min="71" max="74" width="6.5703125" style="1" customWidth="1"/>
    <col min="75" max="75" width="15.42578125" style="1" customWidth="1"/>
    <col min="76" max="77" width="6.5703125" style="1" customWidth="1"/>
    <col min="78" max="78" width="15.42578125" style="1" customWidth="1"/>
    <col min="79" max="16384" width="9.140625" style="2"/>
  </cols>
  <sheetData>
    <row r="1" spans="1:70" ht="14.25" customHeight="1" x14ac:dyDescent="0.25">
      <c r="A1" s="140" t="s">
        <v>252</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c r="BD1" s="140"/>
      <c r="BE1" s="140"/>
      <c r="BF1" s="140"/>
      <c r="BG1" s="140"/>
      <c r="BH1" s="140"/>
      <c r="BI1" s="140"/>
      <c r="BJ1" s="140"/>
      <c r="BK1" s="140"/>
      <c r="BL1" s="140"/>
      <c r="BM1" s="140"/>
      <c r="BN1" s="140"/>
      <c r="BO1" s="140"/>
      <c r="BP1" s="140"/>
      <c r="BQ1" s="140"/>
      <c r="BR1" s="140"/>
    </row>
    <row r="2" spans="1:70" ht="14.25" customHeight="1" x14ac:dyDescent="0.25">
      <c r="A2" s="140"/>
      <c r="B2" s="140"/>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c r="AH2" s="140"/>
      <c r="AI2" s="140"/>
      <c r="AJ2" s="140"/>
      <c r="AK2" s="140"/>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row>
    <row r="3" spans="1:70" ht="14.25" customHeight="1" x14ac:dyDescent="0.25">
      <c r="A3" s="140" t="s">
        <v>56</v>
      </c>
      <c r="B3" s="140"/>
      <c r="C3" s="140"/>
      <c r="D3" s="140"/>
      <c r="E3" s="140"/>
      <c r="F3" s="140"/>
      <c r="G3" s="140"/>
      <c r="H3" s="140"/>
      <c r="I3" s="140"/>
      <c r="J3" s="140"/>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row>
    <row r="4" spans="1:70" ht="14.25" customHeight="1" x14ac:dyDescent="0.25">
      <c r="A4" s="140"/>
      <c r="B4" s="140"/>
      <c r="C4" s="140"/>
      <c r="D4" s="140"/>
      <c r="E4" s="140"/>
      <c r="F4" s="140"/>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row>
    <row r="5" spans="1:70" ht="14.25" customHeight="1" x14ac:dyDescent="0.25">
      <c r="A5" s="67"/>
      <c r="B5" s="67"/>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row>
    <row r="6" spans="1:70" ht="14.25" customHeight="1" x14ac:dyDescent="0.25">
      <c r="A6" s="67"/>
      <c r="B6" s="67"/>
      <c r="C6" s="67"/>
      <c r="D6" s="67"/>
      <c r="E6" s="67"/>
      <c r="F6" s="67"/>
      <c r="G6" s="67"/>
      <c r="H6" s="67"/>
      <c r="I6" s="67"/>
      <c r="J6" s="67"/>
      <c r="K6" s="67"/>
      <c r="L6" s="67"/>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row>
    <row r="7" spans="1:70" ht="14.25" customHeight="1" x14ac:dyDescent="0.25">
      <c r="A7" s="170" t="s">
        <v>57</v>
      </c>
      <c r="B7" s="170"/>
      <c r="C7" s="170"/>
      <c r="D7" s="170"/>
      <c r="E7" s="170"/>
      <c r="F7" s="170"/>
      <c r="G7" s="170"/>
      <c r="H7" s="170"/>
      <c r="I7" s="170"/>
      <c r="J7" s="170"/>
      <c r="K7" s="170"/>
      <c r="L7" s="170"/>
      <c r="M7" s="170"/>
      <c r="N7" s="170"/>
      <c r="O7" s="170"/>
      <c r="P7" s="170"/>
      <c r="Q7" s="170"/>
      <c r="R7" s="170" t="s">
        <v>239</v>
      </c>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t="s">
        <v>64</v>
      </c>
      <c r="BA7" s="170"/>
      <c r="BB7" s="170"/>
      <c r="BC7" s="170"/>
      <c r="BD7" s="170"/>
      <c r="BE7" s="170"/>
      <c r="BF7" s="170"/>
      <c r="BG7" s="170"/>
      <c r="BH7" s="170"/>
      <c r="BI7" s="170"/>
      <c r="BJ7" s="170"/>
      <c r="BK7" s="170"/>
      <c r="BL7" s="170"/>
      <c r="BM7" s="170"/>
      <c r="BN7" s="170"/>
      <c r="BO7" s="170"/>
      <c r="BP7" s="170"/>
      <c r="BQ7" s="170"/>
      <c r="BR7" s="170"/>
    </row>
    <row r="8" spans="1:70" ht="14.25" customHeight="1" x14ac:dyDescent="0.25">
      <c r="A8" s="170"/>
      <c r="B8" s="170"/>
      <c r="C8" s="170"/>
      <c r="D8" s="170"/>
      <c r="E8" s="170"/>
      <c r="F8" s="170"/>
      <c r="G8" s="170"/>
      <c r="H8" s="170"/>
      <c r="I8" s="170"/>
      <c r="J8" s="170"/>
      <c r="K8" s="170"/>
      <c r="L8" s="170"/>
      <c r="M8" s="170"/>
      <c r="N8" s="170"/>
      <c r="O8" s="170"/>
      <c r="P8" s="170"/>
      <c r="Q8" s="170"/>
      <c r="R8" s="170"/>
      <c r="S8" s="170"/>
      <c r="T8" s="170"/>
      <c r="U8" s="170"/>
      <c r="V8" s="170"/>
      <c r="W8" s="170"/>
      <c r="X8" s="170"/>
      <c r="Y8" s="170"/>
      <c r="Z8" s="170"/>
      <c r="AA8" s="170"/>
      <c r="AB8" s="170"/>
      <c r="AC8" s="170"/>
      <c r="AD8" s="170"/>
      <c r="AE8" s="170"/>
      <c r="AF8" s="170"/>
      <c r="AG8" s="170"/>
      <c r="AH8" s="170"/>
      <c r="AI8" s="170"/>
      <c r="AJ8" s="170"/>
      <c r="AK8" s="170"/>
      <c r="AL8" s="170"/>
      <c r="AM8" s="170"/>
      <c r="AN8" s="170"/>
      <c r="AO8" s="170"/>
      <c r="AP8" s="170"/>
      <c r="AQ8" s="170"/>
      <c r="AR8" s="170"/>
      <c r="AS8" s="170"/>
      <c r="AT8" s="170"/>
      <c r="AU8" s="170"/>
      <c r="AV8" s="170"/>
      <c r="AW8" s="170"/>
      <c r="AX8" s="170"/>
      <c r="AY8" s="170"/>
      <c r="AZ8" s="170"/>
      <c r="BA8" s="170"/>
      <c r="BB8" s="170"/>
      <c r="BC8" s="170"/>
      <c r="BD8" s="170"/>
      <c r="BE8" s="170"/>
      <c r="BF8" s="170"/>
      <c r="BG8" s="170"/>
      <c r="BH8" s="170"/>
      <c r="BI8" s="170"/>
      <c r="BJ8" s="170"/>
      <c r="BK8" s="170"/>
      <c r="BL8" s="170"/>
      <c r="BM8" s="170"/>
      <c r="BN8" s="170"/>
      <c r="BO8" s="170"/>
      <c r="BP8" s="170"/>
      <c r="BQ8" s="170"/>
      <c r="BR8" s="170"/>
    </row>
    <row r="9" spans="1:70" ht="14.25" customHeight="1" x14ac:dyDescent="0.25">
      <c r="A9" s="170"/>
      <c r="B9" s="170"/>
      <c r="C9" s="170"/>
      <c r="D9" s="170"/>
      <c r="E9" s="170"/>
      <c r="F9" s="170"/>
      <c r="G9" s="170"/>
      <c r="H9" s="170"/>
      <c r="I9" s="170"/>
      <c r="J9" s="170"/>
      <c r="K9" s="170"/>
      <c r="L9" s="170"/>
      <c r="M9" s="170"/>
      <c r="N9" s="170"/>
      <c r="O9" s="170"/>
      <c r="P9" s="170"/>
      <c r="Q9" s="170"/>
      <c r="R9" s="170"/>
      <c r="S9" s="170"/>
      <c r="T9" s="170"/>
      <c r="U9" s="170"/>
      <c r="V9" s="170"/>
      <c r="W9" s="170"/>
      <c r="X9" s="170"/>
      <c r="Y9" s="170"/>
      <c r="Z9" s="170"/>
      <c r="AA9" s="170"/>
      <c r="AB9" s="170"/>
      <c r="AC9" s="170"/>
      <c r="AD9" s="170"/>
      <c r="AE9" s="170"/>
      <c r="AF9" s="170"/>
      <c r="AG9" s="170"/>
      <c r="AH9" s="170"/>
      <c r="AI9" s="170"/>
      <c r="AJ9" s="170"/>
      <c r="AK9" s="170"/>
      <c r="AL9" s="170"/>
      <c r="AM9" s="170"/>
      <c r="AN9" s="170"/>
      <c r="AO9" s="170"/>
      <c r="AP9" s="170"/>
      <c r="AQ9" s="170"/>
      <c r="AR9" s="170"/>
      <c r="AS9" s="170"/>
      <c r="AT9" s="170"/>
      <c r="AU9" s="170"/>
      <c r="AV9" s="170"/>
      <c r="AW9" s="170"/>
      <c r="AX9" s="170"/>
      <c r="AY9" s="170"/>
      <c r="AZ9" s="170"/>
      <c r="BA9" s="170"/>
      <c r="BB9" s="170"/>
      <c r="BC9" s="170"/>
      <c r="BD9" s="170"/>
      <c r="BE9" s="170"/>
      <c r="BF9" s="170"/>
      <c r="BG9" s="170"/>
      <c r="BH9" s="170"/>
      <c r="BI9" s="170"/>
      <c r="BJ9" s="170"/>
      <c r="BK9" s="170"/>
      <c r="BL9" s="170"/>
      <c r="BM9" s="170"/>
      <c r="BN9" s="170"/>
      <c r="BO9" s="170"/>
      <c r="BP9" s="170"/>
      <c r="BQ9" s="170"/>
      <c r="BR9" s="170"/>
    </row>
    <row r="10" spans="1:70" ht="14.25" customHeight="1" x14ac:dyDescent="0.25">
      <c r="A10" s="170"/>
      <c r="B10" s="170"/>
      <c r="C10" s="170"/>
      <c r="D10" s="170"/>
      <c r="E10" s="170"/>
      <c r="F10" s="170"/>
      <c r="G10" s="170"/>
      <c r="H10" s="170"/>
      <c r="I10" s="170"/>
      <c r="J10" s="170"/>
      <c r="K10" s="170"/>
      <c r="L10" s="170"/>
      <c r="M10" s="170"/>
      <c r="N10" s="170"/>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0"/>
      <c r="AM10" s="170"/>
      <c r="AN10" s="170"/>
      <c r="AO10" s="170"/>
      <c r="AP10" s="170"/>
      <c r="AQ10" s="170"/>
      <c r="AR10" s="170"/>
      <c r="AS10" s="170"/>
      <c r="AT10" s="170"/>
      <c r="AU10" s="170"/>
      <c r="AV10" s="170"/>
      <c r="AW10" s="170"/>
      <c r="AX10" s="170"/>
      <c r="AY10" s="170"/>
      <c r="AZ10" s="170"/>
      <c r="BA10" s="170"/>
      <c r="BB10" s="170"/>
      <c r="BC10" s="170"/>
      <c r="BD10" s="170"/>
      <c r="BE10" s="170"/>
      <c r="BF10" s="170"/>
      <c r="BG10" s="170"/>
      <c r="BH10" s="170"/>
      <c r="BI10" s="170"/>
      <c r="BJ10" s="170"/>
      <c r="BK10" s="170"/>
      <c r="BL10" s="170"/>
      <c r="BM10" s="170"/>
      <c r="BN10" s="170"/>
      <c r="BO10" s="170"/>
      <c r="BP10" s="170"/>
      <c r="BQ10" s="170"/>
      <c r="BR10" s="170"/>
    </row>
    <row r="11" spans="1:70" ht="14.25" customHeight="1" x14ac:dyDescent="0.25">
      <c r="A11" s="171" t="s">
        <v>58</v>
      </c>
      <c r="B11" s="171"/>
      <c r="C11" s="171"/>
      <c r="D11" s="171"/>
      <c r="E11" s="171"/>
      <c r="F11" s="171"/>
      <c r="G11" s="171"/>
      <c r="H11" s="171"/>
      <c r="I11" s="171"/>
      <c r="J11" s="171"/>
      <c r="K11" s="171"/>
      <c r="L11" s="171"/>
      <c r="M11" s="171"/>
      <c r="N11" s="171"/>
      <c r="O11" s="171"/>
      <c r="P11" s="171"/>
      <c r="Q11" s="171"/>
      <c r="R11" s="174" t="s">
        <v>72</v>
      </c>
      <c r="S11" s="174"/>
      <c r="T11" s="174"/>
      <c r="U11" s="174"/>
      <c r="V11" s="174"/>
      <c r="W11" s="174"/>
      <c r="X11" s="174"/>
      <c r="Y11" s="174"/>
      <c r="Z11" s="174"/>
      <c r="AA11" s="174"/>
      <c r="AB11" s="174"/>
      <c r="AC11" s="174"/>
      <c r="AD11" s="174"/>
      <c r="AE11" s="174"/>
      <c r="AF11" s="174"/>
      <c r="AG11" s="174"/>
      <c r="AH11" s="174"/>
      <c r="AI11" s="174"/>
      <c r="AJ11" s="174"/>
      <c r="AK11" s="174"/>
      <c r="AL11" s="174"/>
      <c r="AM11" s="174"/>
      <c r="AN11" s="174"/>
      <c r="AO11" s="174"/>
      <c r="AP11" s="174"/>
      <c r="AQ11" s="174"/>
      <c r="AR11" s="174"/>
      <c r="AS11" s="174"/>
      <c r="AT11" s="174"/>
      <c r="AU11" s="174"/>
      <c r="AV11" s="174"/>
      <c r="AW11" s="174"/>
      <c r="AX11" s="174"/>
      <c r="AY11" s="174"/>
      <c r="AZ11" s="171" t="s">
        <v>63</v>
      </c>
      <c r="BA11" s="170"/>
      <c r="BB11" s="170"/>
      <c r="BC11" s="170"/>
      <c r="BD11" s="170"/>
      <c r="BE11" s="170"/>
      <c r="BF11" s="170"/>
      <c r="BG11" s="170"/>
      <c r="BH11" s="170"/>
      <c r="BI11" s="170"/>
      <c r="BJ11" s="170"/>
      <c r="BK11" s="170"/>
      <c r="BL11" s="170"/>
      <c r="BM11" s="170"/>
      <c r="BN11" s="170"/>
      <c r="BO11" s="170"/>
      <c r="BP11" s="170"/>
      <c r="BQ11" s="170"/>
      <c r="BR11" s="170"/>
    </row>
    <row r="12" spans="1:70" ht="14.25" customHeight="1" x14ac:dyDescent="0.25">
      <c r="A12" s="171"/>
      <c r="B12" s="171"/>
      <c r="C12" s="171"/>
      <c r="D12" s="171"/>
      <c r="E12" s="171"/>
      <c r="F12" s="171"/>
      <c r="G12" s="171"/>
      <c r="H12" s="171"/>
      <c r="I12" s="171"/>
      <c r="J12" s="171"/>
      <c r="K12" s="171"/>
      <c r="L12" s="171"/>
      <c r="M12" s="171"/>
      <c r="N12" s="171"/>
      <c r="O12" s="171"/>
      <c r="P12" s="171"/>
      <c r="Q12" s="171"/>
      <c r="R12" s="174"/>
      <c r="S12" s="174"/>
      <c r="T12" s="174"/>
      <c r="U12" s="174"/>
      <c r="V12" s="174"/>
      <c r="W12" s="174"/>
      <c r="X12" s="174"/>
      <c r="Y12" s="174"/>
      <c r="Z12" s="174"/>
      <c r="AA12" s="174"/>
      <c r="AB12" s="174"/>
      <c r="AC12" s="174"/>
      <c r="AD12" s="174"/>
      <c r="AE12" s="174"/>
      <c r="AF12" s="174"/>
      <c r="AG12" s="174"/>
      <c r="AH12" s="174"/>
      <c r="AI12" s="174"/>
      <c r="AJ12" s="174"/>
      <c r="AK12" s="174"/>
      <c r="AL12" s="174"/>
      <c r="AM12" s="174"/>
      <c r="AN12" s="174"/>
      <c r="AO12" s="174"/>
      <c r="AP12" s="174"/>
      <c r="AQ12" s="174"/>
      <c r="AR12" s="174"/>
      <c r="AS12" s="174"/>
      <c r="AT12" s="174"/>
      <c r="AU12" s="174"/>
      <c r="AV12" s="174"/>
      <c r="AW12" s="174"/>
      <c r="AX12" s="174"/>
      <c r="AY12" s="174"/>
      <c r="AZ12" s="171"/>
      <c r="BA12" s="170"/>
      <c r="BB12" s="170"/>
      <c r="BC12" s="170"/>
      <c r="BD12" s="170"/>
      <c r="BE12" s="170"/>
      <c r="BF12" s="170"/>
      <c r="BG12" s="170"/>
      <c r="BH12" s="170"/>
      <c r="BI12" s="170"/>
      <c r="BJ12" s="170"/>
      <c r="BK12" s="170"/>
      <c r="BL12" s="170"/>
      <c r="BM12" s="170"/>
      <c r="BN12" s="170"/>
      <c r="BO12" s="170"/>
      <c r="BP12" s="170"/>
      <c r="BQ12" s="170"/>
      <c r="BR12" s="170"/>
    </row>
    <row r="13" spans="1:70" ht="14.25" customHeight="1" x14ac:dyDescent="0.25">
      <c r="A13" s="171"/>
      <c r="B13" s="171"/>
      <c r="C13" s="171"/>
      <c r="D13" s="171"/>
      <c r="E13" s="171"/>
      <c r="F13" s="171"/>
      <c r="G13" s="171"/>
      <c r="H13" s="171"/>
      <c r="I13" s="171"/>
      <c r="J13" s="171"/>
      <c r="K13" s="171"/>
      <c r="L13" s="171"/>
      <c r="M13" s="171"/>
      <c r="N13" s="171"/>
      <c r="O13" s="171"/>
      <c r="P13" s="171"/>
      <c r="Q13" s="171"/>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1"/>
      <c r="BA13" s="170"/>
      <c r="BB13" s="170"/>
      <c r="BC13" s="170"/>
      <c r="BD13" s="170"/>
      <c r="BE13" s="170"/>
      <c r="BF13" s="170"/>
      <c r="BG13" s="170"/>
      <c r="BH13" s="170"/>
      <c r="BI13" s="170"/>
      <c r="BJ13" s="170"/>
      <c r="BK13" s="170"/>
      <c r="BL13" s="170"/>
      <c r="BM13" s="170"/>
      <c r="BN13" s="170"/>
      <c r="BO13" s="170"/>
      <c r="BP13" s="170"/>
      <c r="BQ13" s="170"/>
      <c r="BR13" s="170"/>
    </row>
    <row r="14" spans="1:70" ht="14.25" customHeight="1" x14ac:dyDescent="0.25">
      <c r="A14" s="171"/>
      <c r="B14" s="171"/>
      <c r="C14" s="171"/>
      <c r="D14" s="171"/>
      <c r="E14" s="171"/>
      <c r="F14" s="171"/>
      <c r="G14" s="171"/>
      <c r="H14" s="171"/>
      <c r="I14" s="171"/>
      <c r="J14" s="171"/>
      <c r="K14" s="171"/>
      <c r="L14" s="171"/>
      <c r="M14" s="171"/>
      <c r="N14" s="171"/>
      <c r="O14" s="171"/>
      <c r="P14" s="171"/>
      <c r="Q14" s="171"/>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0"/>
      <c r="BA14" s="170"/>
      <c r="BB14" s="170"/>
      <c r="BC14" s="170"/>
      <c r="BD14" s="170"/>
      <c r="BE14" s="170"/>
      <c r="BF14" s="170"/>
      <c r="BG14" s="170"/>
      <c r="BH14" s="170"/>
      <c r="BI14" s="170"/>
      <c r="BJ14" s="170"/>
      <c r="BK14" s="170"/>
      <c r="BL14" s="170"/>
      <c r="BM14" s="170"/>
      <c r="BN14" s="170"/>
      <c r="BO14" s="170"/>
      <c r="BP14" s="170"/>
      <c r="BQ14" s="170"/>
      <c r="BR14" s="170"/>
    </row>
    <row r="15" spans="1:70" ht="14.25" customHeight="1" x14ac:dyDescent="0.25">
      <c r="A15" s="170" t="s">
        <v>59</v>
      </c>
      <c r="B15" s="170"/>
      <c r="C15" s="170"/>
      <c r="D15" s="170"/>
      <c r="E15" s="170"/>
      <c r="F15" s="170"/>
      <c r="G15" s="170"/>
      <c r="H15" s="170"/>
      <c r="I15" s="170"/>
      <c r="J15" s="170"/>
      <c r="K15" s="170"/>
      <c r="L15" s="170"/>
      <c r="M15" s="170"/>
      <c r="N15" s="170"/>
      <c r="O15" s="170"/>
      <c r="P15" s="170"/>
      <c r="Q15" s="170"/>
      <c r="R15" s="175" t="s">
        <v>128</v>
      </c>
      <c r="S15" s="175"/>
      <c r="T15" s="175"/>
      <c r="U15" s="175"/>
      <c r="V15" s="175"/>
      <c r="W15" s="175"/>
      <c r="X15" s="175"/>
      <c r="Y15" s="175"/>
      <c r="Z15" s="175"/>
      <c r="AA15" s="175"/>
      <c r="AB15" s="175"/>
      <c r="AC15" s="175"/>
      <c r="AD15" s="175"/>
      <c r="AE15" s="175"/>
      <c r="AF15" s="175"/>
      <c r="AG15" s="175"/>
      <c r="AH15" s="175"/>
      <c r="AI15" s="175"/>
      <c r="AJ15" s="175"/>
      <c r="AK15" s="175"/>
      <c r="AL15" s="175"/>
      <c r="AM15" s="175"/>
      <c r="AN15" s="175"/>
      <c r="AO15" s="175"/>
      <c r="AP15" s="175"/>
      <c r="AQ15" s="175"/>
      <c r="AR15" s="175"/>
      <c r="AS15" s="175"/>
      <c r="AT15" s="175"/>
      <c r="AU15" s="175"/>
      <c r="AV15" s="175"/>
      <c r="AW15" s="175"/>
      <c r="AX15" s="175"/>
      <c r="AY15" s="175"/>
      <c r="AZ15" s="170" t="s">
        <v>62</v>
      </c>
      <c r="BA15" s="170"/>
      <c r="BB15" s="170"/>
      <c r="BC15" s="170"/>
      <c r="BD15" s="170"/>
      <c r="BE15" s="170"/>
      <c r="BF15" s="170"/>
      <c r="BG15" s="170"/>
      <c r="BH15" s="170"/>
      <c r="BI15" s="170"/>
      <c r="BJ15" s="170"/>
      <c r="BK15" s="170"/>
      <c r="BL15" s="170"/>
      <c r="BM15" s="170"/>
      <c r="BN15" s="170"/>
      <c r="BO15" s="170"/>
      <c r="BP15" s="170"/>
      <c r="BQ15" s="170"/>
      <c r="BR15" s="170"/>
    </row>
    <row r="16" spans="1:70" ht="14.25" customHeight="1" x14ac:dyDescent="0.25">
      <c r="A16" s="170"/>
      <c r="B16" s="170"/>
      <c r="C16" s="170"/>
      <c r="D16" s="170"/>
      <c r="E16" s="170"/>
      <c r="F16" s="170"/>
      <c r="G16" s="170"/>
      <c r="H16" s="170"/>
      <c r="I16" s="170"/>
      <c r="J16" s="170"/>
      <c r="K16" s="170"/>
      <c r="L16" s="170"/>
      <c r="M16" s="170"/>
      <c r="N16" s="170"/>
      <c r="O16" s="170"/>
      <c r="P16" s="170"/>
      <c r="Q16" s="170"/>
      <c r="R16" s="175"/>
      <c r="S16" s="175"/>
      <c r="T16" s="175"/>
      <c r="U16" s="175"/>
      <c r="V16" s="175"/>
      <c r="W16" s="175"/>
      <c r="X16" s="175"/>
      <c r="Y16" s="175"/>
      <c r="Z16" s="175"/>
      <c r="AA16" s="175"/>
      <c r="AB16" s="175"/>
      <c r="AC16" s="175"/>
      <c r="AD16" s="175"/>
      <c r="AE16" s="175"/>
      <c r="AF16" s="175"/>
      <c r="AG16" s="175"/>
      <c r="AH16" s="175"/>
      <c r="AI16" s="175"/>
      <c r="AJ16" s="175"/>
      <c r="AK16" s="175"/>
      <c r="AL16" s="175"/>
      <c r="AM16" s="175"/>
      <c r="AN16" s="175"/>
      <c r="AO16" s="175"/>
      <c r="AP16" s="175"/>
      <c r="AQ16" s="175"/>
      <c r="AR16" s="175"/>
      <c r="AS16" s="175"/>
      <c r="AT16" s="175"/>
      <c r="AU16" s="175"/>
      <c r="AV16" s="175"/>
      <c r="AW16" s="175"/>
      <c r="AX16" s="175"/>
      <c r="AY16" s="175"/>
      <c r="AZ16" s="170"/>
      <c r="BA16" s="170"/>
      <c r="BB16" s="170"/>
      <c r="BC16" s="170"/>
      <c r="BD16" s="170"/>
      <c r="BE16" s="170"/>
      <c r="BF16" s="170"/>
      <c r="BG16" s="170"/>
      <c r="BH16" s="170"/>
      <c r="BI16" s="170"/>
      <c r="BJ16" s="170"/>
      <c r="BK16" s="170"/>
      <c r="BL16" s="170"/>
      <c r="BM16" s="170"/>
      <c r="BN16" s="170"/>
      <c r="BO16" s="170"/>
      <c r="BP16" s="170"/>
      <c r="BQ16" s="170"/>
      <c r="BR16" s="170"/>
    </row>
    <row r="17" spans="1:85" ht="14.25" customHeight="1" x14ac:dyDescent="0.25">
      <c r="A17" s="170"/>
      <c r="B17" s="170"/>
      <c r="C17" s="170"/>
      <c r="D17" s="170"/>
      <c r="E17" s="170"/>
      <c r="F17" s="170"/>
      <c r="G17" s="170"/>
      <c r="H17" s="170"/>
      <c r="I17" s="170"/>
      <c r="J17" s="170"/>
      <c r="K17" s="170"/>
      <c r="L17" s="170"/>
      <c r="M17" s="170"/>
      <c r="N17" s="170"/>
      <c r="O17" s="170"/>
      <c r="P17" s="170"/>
      <c r="Q17" s="170"/>
      <c r="R17" s="175"/>
      <c r="S17" s="175"/>
      <c r="T17" s="175"/>
      <c r="U17" s="175"/>
      <c r="V17" s="175"/>
      <c r="W17" s="175"/>
      <c r="X17" s="175"/>
      <c r="Y17" s="175"/>
      <c r="Z17" s="175"/>
      <c r="AA17" s="175"/>
      <c r="AB17" s="175"/>
      <c r="AC17" s="175"/>
      <c r="AD17" s="175"/>
      <c r="AE17" s="175"/>
      <c r="AF17" s="175"/>
      <c r="AG17" s="175"/>
      <c r="AH17" s="175"/>
      <c r="AI17" s="175"/>
      <c r="AJ17" s="175"/>
      <c r="AK17" s="175"/>
      <c r="AL17" s="175"/>
      <c r="AM17" s="175"/>
      <c r="AN17" s="175"/>
      <c r="AO17" s="175"/>
      <c r="AP17" s="175"/>
      <c r="AQ17" s="175"/>
      <c r="AR17" s="175"/>
      <c r="AS17" s="175"/>
      <c r="AT17" s="175"/>
      <c r="AU17" s="175"/>
      <c r="AV17" s="175"/>
      <c r="AW17" s="175"/>
      <c r="AX17" s="175"/>
      <c r="AY17" s="175"/>
      <c r="AZ17" s="170"/>
      <c r="BA17" s="170"/>
      <c r="BB17" s="170"/>
      <c r="BC17" s="170"/>
      <c r="BD17" s="170"/>
      <c r="BE17" s="170"/>
      <c r="BF17" s="170"/>
      <c r="BG17" s="170"/>
      <c r="BH17" s="170"/>
      <c r="BI17" s="170"/>
      <c r="BJ17" s="170"/>
      <c r="BK17" s="170"/>
      <c r="BL17" s="170"/>
      <c r="BM17" s="170"/>
      <c r="BN17" s="170"/>
      <c r="BO17" s="170"/>
      <c r="BP17" s="170"/>
      <c r="BQ17" s="170"/>
      <c r="BR17" s="170"/>
    </row>
    <row r="18" spans="1:85" ht="14.25" customHeight="1" x14ac:dyDescent="0.25">
      <c r="A18" s="170"/>
      <c r="B18" s="170"/>
      <c r="C18" s="170"/>
      <c r="D18" s="170"/>
      <c r="E18" s="170"/>
      <c r="F18" s="170"/>
      <c r="G18" s="170"/>
      <c r="H18" s="170"/>
      <c r="I18" s="170"/>
      <c r="J18" s="170"/>
      <c r="K18" s="170"/>
      <c r="L18" s="170"/>
      <c r="M18" s="170"/>
      <c r="N18" s="170"/>
      <c r="O18" s="170"/>
      <c r="P18" s="170"/>
      <c r="Q18" s="170"/>
      <c r="R18" s="175"/>
      <c r="S18" s="175"/>
      <c r="T18" s="175"/>
      <c r="U18" s="175"/>
      <c r="V18" s="175"/>
      <c r="W18" s="175"/>
      <c r="X18" s="175"/>
      <c r="Y18" s="175"/>
      <c r="Z18" s="175"/>
      <c r="AA18" s="175"/>
      <c r="AB18" s="175"/>
      <c r="AC18" s="175"/>
      <c r="AD18" s="175"/>
      <c r="AE18" s="175"/>
      <c r="AF18" s="175"/>
      <c r="AG18" s="175"/>
      <c r="AH18" s="175"/>
      <c r="AI18" s="175"/>
      <c r="AJ18" s="175"/>
      <c r="AK18" s="175"/>
      <c r="AL18" s="175"/>
      <c r="AM18" s="175"/>
      <c r="AN18" s="175"/>
      <c r="AO18" s="175"/>
      <c r="AP18" s="175"/>
      <c r="AQ18" s="175"/>
      <c r="AR18" s="175"/>
      <c r="AS18" s="175"/>
      <c r="AT18" s="175"/>
      <c r="AU18" s="175"/>
      <c r="AV18" s="175"/>
      <c r="AW18" s="175"/>
      <c r="AX18" s="175"/>
      <c r="AY18" s="175"/>
      <c r="AZ18" s="170"/>
      <c r="BA18" s="170"/>
      <c r="BB18" s="170"/>
      <c r="BC18" s="170"/>
      <c r="BD18" s="170"/>
      <c r="BE18" s="170"/>
      <c r="BF18" s="170"/>
      <c r="BG18" s="170"/>
      <c r="BH18" s="170"/>
      <c r="BI18" s="170"/>
      <c r="BJ18" s="170"/>
      <c r="BK18" s="170"/>
      <c r="BL18" s="170"/>
      <c r="BM18" s="170"/>
      <c r="BN18" s="170"/>
      <c r="BO18" s="170"/>
      <c r="BP18" s="170"/>
      <c r="BQ18" s="170"/>
      <c r="BR18" s="170"/>
    </row>
    <row r="19" spans="1:85" ht="14.25" customHeight="1" x14ac:dyDescent="0.25">
      <c r="A19" s="170" t="s">
        <v>60</v>
      </c>
      <c r="B19" s="170"/>
      <c r="C19" s="170"/>
      <c r="D19" s="170"/>
      <c r="E19" s="170"/>
      <c r="F19" s="170"/>
      <c r="G19" s="170"/>
      <c r="H19" s="170"/>
      <c r="I19" s="170"/>
      <c r="J19" s="170"/>
      <c r="K19" s="170"/>
      <c r="L19" s="170"/>
      <c r="M19" s="170"/>
      <c r="N19" s="170"/>
      <c r="O19" s="170"/>
      <c r="P19" s="170"/>
      <c r="Q19" s="170"/>
      <c r="R19" s="170" t="s">
        <v>253</v>
      </c>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t="s">
        <v>235</v>
      </c>
      <c r="BA19" s="170"/>
      <c r="BB19" s="170"/>
      <c r="BC19" s="170"/>
      <c r="BD19" s="170"/>
      <c r="BE19" s="170"/>
      <c r="BF19" s="170"/>
      <c r="BG19" s="170"/>
      <c r="BH19" s="170"/>
      <c r="BI19" s="170"/>
      <c r="BJ19" s="170"/>
      <c r="BK19" s="170"/>
      <c r="BL19" s="170"/>
      <c r="BM19" s="170"/>
      <c r="BN19" s="170"/>
      <c r="BO19" s="170"/>
      <c r="BP19" s="170"/>
      <c r="BQ19" s="170"/>
      <c r="BR19" s="170"/>
    </row>
    <row r="20" spans="1:85" ht="14.25" customHeight="1" x14ac:dyDescent="0.25">
      <c r="A20" s="170"/>
      <c r="B20" s="170"/>
      <c r="C20" s="170"/>
      <c r="D20" s="170"/>
      <c r="E20" s="170"/>
      <c r="F20" s="170"/>
      <c r="G20" s="170"/>
      <c r="H20" s="170"/>
      <c r="I20" s="170"/>
      <c r="J20" s="170"/>
      <c r="K20" s="170"/>
      <c r="L20" s="170"/>
      <c r="M20" s="170"/>
      <c r="N20" s="170"/>
      <c r="O20" s="170"/>
      <c r="P20" s="170"/>
      <c r="Q20" s="170"/>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0"/>
      <c r="BD20" s="170"/>
      <c r="BE20" s="170"/>
      <c r="BF20" s="170"/>
      <c r="BG20" s="170"/>
      <c r="BH20" s="170"/>
      <c r="BI20" s="170"/>
      <c r="BJ20" s="170"/>
      <c r="BK20" s="170"/>
      <c r="BL20" s="170"/>
      <c r="BM20" s="170"/>
      <c r="BN20" s="170"/>
      <c r="BO20" s="170"/>
      <c r="BP20" s="170"/>
      <c r="BQ20" s="170"/>
      <c r="BR20" s="170"/>
    </row>
    <row r="21" spans="1:85" ht="14.25" customHeight="1" x14ac:dyDescent="0.25">
      <c r="A21" s="170"/>
      <c r="B21" s="170"/>
      <c r="C21" s="170"/>
      <c r="D21" s="170"/>
      <c r="E21" s="170"/>
      <c r="F21" s="170"/>
      <c r="G21" s="170"/>
      <c r="H21" s="170"/>
      <c r="I21" s="170"/>
      <c r="J21" s="170"/>
      <c r="K21" s="170"/>
      <c r="L21" s="170"/>
      <c r="M21" s="170"/>
      <c r="N21" s="170"/>
      <c r="O21" s="170"/>
      <c r="P21" s="170"/>
      <c r="Q21" s="170"/>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0"/>
      <c r="BD21" s="170"/>
      <c r="BE21" s="170"/>
      <c r="BF21" s="170"/>
      <c r="BG21" s="170"/>
      <c r="BH21" s="170"/>
      <c r="BI21" s="170"/>
      <c r="BJ21" s="170"/>
      <c r="BK21" s="170"/>
      <c r="BL21" s="170"/>
      <c r="BM21" s="170"/>
      <c r="BN21" s="170"/>
      <c r="BO21" s="170"/>
      <c r="BP21" s="170"/>
      <c r="BQ21" s="170"/>
      <c r="BR21" s="170"/>
    </row>
    <row r="22" spans="1:85" ht="14.25" customHeight="1" x14ac:dyDescent="0.25">
      <c r="A22" s="170"/>
      <c r="B22" s="170"/>
      <c r="C22" s="170"/>
      <c r="D22" s="170"/>
      <c r="E22" s="170"/>
      <c r="F22" s="170"/>
      <c r="G22" s="170"/>
      <c r="H22" s="170"/>
      <c r="I22" s="170"/>
      <c r="J22" s="170"/>
      <c r="K22" s="170"/>
      <c r="L22" s="170"/>
      <c r="M22" s="170"/>
      <c r="N22" s="170"/>
      <c r="O22" s="170"/>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0"/>
      <c r="BD22" s="170"/>
      <c r="BE22" s="170"/>
      <c r="BF22" s="170"/>
      <c r="BG22" s="170"/>
      <c r="BH22" s="170"/>
      <c r="BI22" s="170"/>
      <c r="BJ22" s="170"/>
      <c r="BK22" s="170"/>
      <c r="BL22" s="170"/>
      <c r="BM22" s="170"/>
      <c r="BN22" s="170"/>
      <c r="BO22" s="170"/>
      <c r="BP22" s="170"/>
      <c r="BQ22" s="170"/>
      <c r="BR22" s="170"/>
    </row>
    <row r="23" spans="1:85" ht="14.25" customHeight="1" x14ac:dyDescent="0.25">
      <c r="A23" s="173" t="s">
        <v>61</v>
      </c>
      <c r="B23" s="173"/>
      <c r="C23" s="173"/>
      <c r="D23" s="173"/>
      <c r="E23" s="173"/>
      <c r="F23" s="173"/>
      <c r="G23" s="173"/>
      <c r="H23" s="173"/>
      <c r="I23" s="173"/>
      <c r="J23" s="173"/>
      <c r="K23" s="173"/>
      <c r="L23" s="173"/>
      <c r="M23" s="173"/>
      <c r="N23" s="173"/>
      <c r="O23" s="173"/>
      <c r="P23" s="173"/>
      <c r="Q23" s="173"/>
      <c r="R23" s="170" t="s">
        <v>124</v>
      </c>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2"/>
      <c r="BA23" s="172"/>
      <c r="BB23" s="172"/>
      <c r="BC23" s="172"/>
      <c r="BD23" s="172"/>
      <c r="BE23" s="172"/>
      <c r="BF23" s="172"/>
      <c r="BG23" s="172"/>
      <c r="BH23" s="172"/>
      <c r="BI23" s="172"/>
      <c r="BJ23" s="172"/>
      <c r="BK23" s="172"/>
      <c r="BL23" s="172"/>
      <c r="BM23" s="172"/>
      <c r="BN23" s="172"/>
      <c r="BO23" s="172"/>
      <c r="BP23" s="172"/>
      <c r="BQ23" s="172"/>
      <c r="BR23" s="172"/>
    </row>
    <row r="24" spans="1:85" ht="14.25" customHeight="1" x14ac:dyDescent="0.25">
      <c r="A24" s="173"/>
      <c r="B24" s="173"/>
      <c r="C24" s="173"/>
      <c r="D24" s="173"/>
      <c r="E24" s="173"/>
      <c r="F24" s="173"/>
      <c r="G24" s="173"/>
      <c r="H24" s="173"/>
      <c r="I24" s="173"/>
      <c r="J24" s="173"/>
      <c r="K24" s="173"/>
      <c r="L24" s="173"/>
      <c r="M24" s="173"/>
      <c r="N24" s="173"/>
      <c r="O24" s="173"/>
      <c r="P24" s="173"/>
      <c r="Q24" s="173"/>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2"/>
      <c r="BA24" s="172"/>
      <c r="BB24" s="172"/>
      <c r="BC24" s="172"/>
      <c r="BD24" s="172"/>
      <c r="BE24" s="172"/>
      <c r="BF24" s="172"/>
      <c r="BG24" s="172"/>
      <c r="BH24" s="172"/>
      <c r="BI24" s="172"/>
      <c r="BJ24" s="172"/>
      <c r="BK24" s="172"/>
      <c r="BL24" s="172"/>
      <c r="BM24" s="172"/>
      <c r="BN24" s="172"/>
      <c r="BO24" s="172"/>
      <c r="BP24" s="172"/>
      <c r="BQ24" s="172"/>
      <c r="BR24" s="172"/>
    </row>
    <row r="25" spans="1:85" ht="14.25" customHeight="1" x14ac:dyDescent="0.25">
      <c r="A25" s="173"/>
      <c r="B25" s="173"/>
      <c r="C25" s="173"/>
      <c r="D25" s="173"/>
      <c r="E25" s="173"/>
      <c r="F25" s="173"/>
      <c r="G25" s="173"/>
      <c r="H25" s="173"/>
      <c r="I25" s="173"/>
      <c r="J25" s="173"/>
      <c r="K25" s="173"/>
      <c r="L25" s="173"/>
      <c r="M25" s="173"/>
      <c r="N25" s="173"/>
      <c r="O25" s="173"/>
      <c r="P25" s="173"/>
      <c r="Q25" s="173"/>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2"/>
      <c r="BA25" s="172"/>
      <c r="BB25" s="172"/>
      <c r="BC25" s="172"/>
      <c r="BD25" s="172"/>
      <c r="BE25" s="172"/>
      <c r="BF25" s="172"/>
      <c r="BG25" s="172"/>
      <c r="BH25" s="172"/>
      <c r="BI25" s="172"/>
      <c r="BJ25" s="172"/>
      <c r="BK25" s="172"/>
      <c r="BL25" s="172"/>
      <c r="BM25" s="172"/>
      <c r="BN25" s="172"/>
      <c r="BO25" s="172"/>
      <c r="BP25" s="172"/>
      <c r="BQ25" s="172"/>
      <c r="BR25" s="172"/>
    </row>
    <row r="26" spans="1:85" ht="14.25" customHeight="1" x14ac:dyDescent="0.25">
      <c r="A26" s="173"/>
      <c r="B26" s="173"/>
      <c r="C26" s="173"/>
      <c r="D26" s="173"/>
      <c r="E26" s="173"/>
      <c r="F26" s="173"/>
      <c r="G26" s="173"/>
      <c r="H26" s="173"/>
      <c r="I26" s="173"/>
      <c r="J26" s="173"/>
      <c r="K26" s="173"/>
      <c r="L26" s="173"/>
      <c r="M26" s="173"/>
      <c r="N26" s="173"/>
      <c r="O26" s="173"/>
      <c r="P26" s="173"/>
      <c r="Q26" s="173"/>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2"/>
      <c r="BA26" s="172"/>
      <c r="BB26" s="172"/>
      <c r="BC26" s="172"/>
      <c r="BD26" s="172"/>
      <c r="BE26" s="172"/>
      <c r="BF26" s="172"/>
      <c r="BG26" s="172"/>
      <c r="BH26" s="172"/>
      <c r="BI26" s="172"/>
      <c r="BJ26" s="172"/>
      <c r="BK26" s="172"/>
      <c r="BL26" s="172"/>
      <c r="BM26" s="172"/>
      <c r="BN26" s="172"/>
      <c r="BO26" s="172"/>
      <c r="BP26" s="172"/>
      <c r="BQ26" s="172"/>
      <c r="BR26" s="172"/>
    </row>
    <row r="27" spans="1:85" ht="14.25" customHeight="1" x14ac:dyDescent="0.25">
      <c r="A27" s="76"/>
      <c r="B27" s="76"/>
      <c r="C27" s="76"/>
      <c r="D27" s="76"/>
      <c r="E27" s="76"/>
      <c r="F27" s="76"/>
      <c r="G27" s="76"/>
      <c r="H27" s="76"/>
      <c r="I27" s="76"/>
      <c r="J27" s="76"/>
      <c r="K27" s="76"/>
      <c r="L27" s="76"/>
      <c r="M27" s="76"/>
      <c r="N27" s="76"/>
      <c r="O27" s="76"/>
      <c r="P27" s="76"/>
      <c r="Q27" s="76"/>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5"/>
      <c r="BA27" s="75"/>
      <c r="BB27" s="75"/>
      <c r="BC27" s="75"/>
      <c r="BD27" s="75"/>
      <c r="BE27" s="75"/>
      <c r="BF27" s="75"/>
      <c r="BG27" s="75"/>
      <c r="BH27" s="75"/>
      <c r="BI27" s="75"/>
      <c r="BJ27" s="75"/>
      <c r="BK27" s="75"/>
      <c r="BL27" s="75"/>
      <c r="BM27" s="75"/>
      <c r="BN27" s="75"/>
      <c r="BO27" s="75"/>
      <c r="BP27" s="75"/>
      <c r="BQ27" s="75"/>
      <c r="BR27" s="75"/>
    </row>
    <row r="28" spans="1:85" ht="14.25" customHeight="1" x14ac:dyDescent="0.25">
      <c r="A28" s="75"/>
      <c r="B28" s="3"/>
      <c r="C28" s="3"/>
      <c r="D28" s="75"/>
      <c r="E28" s="75"/>
      <c r="F28" s="75"/>
      <c r="G28" s="75"/>
      <c r="H28" s="75"/>
      <c r="I28" s="75"/>
      <c r="J28" s="75"/>
      <c r="K28" s="75"/>
      <c r="L28" s="75"/>
      <c r="M28" s="75"/>
      <c r="N28" s="75"/>
      <c r="O28" s="75"/>
      <c r="P28" s="75"/>
      <c r="Q28" s="75"/>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5"/>
      <c r="BA28" s="75"/>
      <c r="BB28" s="75"/>
      <c r="BC28" s="75"/>
      <c r="BD28" s="75"/>
      <c r="BE28" s="75"/>
      <c r="BF28" s="75"/>
      <c r="BG28" s="75"/>
      <c r="BH28" s="75"/>
      <c r="BI28" s="75"/>
      <c r="BJ28" s="75"/>
      <c r="BK28" s="75"/>
      <c r="BL28" s="75"/>
      <c r="BM28" s="75"/>
      <c r="BN28" s="75"/>
      <c r="BO28" s="75"/>
      <c r="BP28" s="75"/>
      <c r="BQ28" s="75"/>
      <c r="BR28" s="75"/>
    </row>
    <row r="29" spans="1:85" ht="14.25" customHeight="1" x14ac:dyDescent="0.25">
      <c r="A29" s="153" t="s">
        <v>65</v>
      </c>
      <c r="B29" s="153"/>
      <c r="C29" s="153"/>
      <c r="D29" s="153"/>
      <c r="E29" s="153"/>
      <c r="F29" s="153"/>
      <c r="G29" s="153"/>
      <c r="H29" s="153"/>
      <c r="I29" s="153"/>
      <c r="J29" s="153"/>
      <c r="K29" s="153"/>
      <c r="L29" s="153"/>
      <c r="M29" s="153"/>
      <c r="N29" s="153"/>
      <c r="O29" s="153"/>
      <c r="P29" s="153"/>
      <c r="Q29" s="153"/>
      <c r="R29" s="153"/>
      <c r="S29" s="153"/>
      <c r="T29" s="153"/>
      <c r="U29" s="153"/>
      <c r="V29" s="153"/>
      <c r="W29" s="153"/>
      <c r="X29" s="153"/>
      <c r="Y29" s="153"/>
      <c r="Z29" s="153"/>
      <c r="AA29" s="153"/>
      <c r="AB29" s="153"/>
      <c r="AC29" s="153"/>
      <c r="AD29" s="153"/>
      <c r="AE29" s="153"/>
      <c r="AF29" s="153"/>
      <c r="AG29" s="153"/>
      <c r="AH29" s="153"/>
      <c r="AI29" s="153"/>
      <c r="AJ29" s="153"/>
      <c r="AK29" s="153"/>
      <c r="AL29" s="153"/>
      <c r="AM29" s="153"/>
      <c r="AN29" s="153"/>
      <c r="AO29" s="153"/>
      <c r="AP29" s="153"/>
      <c r="AQ29" s="153"/>
      <c r="AR29" s="153"/>
      <c r="AS29" s="153"/>
      <c r="AT29" s="153"/>
      <c r="AU29" s="153"/>
      <c r="AV29" s="153"/>
      <c r="AW29" s="153"/>
      <c r="AX29" s="153"/>
      <c r="AY29" s="153"/>
      <c r="AZ29" s="153"/>
      <c r="BA29" s="153"/>
      <c r="BB29" s="153"/>
      <c r="BC29" s="153"/>
      <c r="BD29" s="153"/>
      <c r="BE29" s="153"/>
      <c r="BF29" s="153"/>
      <c r="BG29" s="153"/>
      <c r="BH29" s="153"/>
      <c r="BI29" s="153"/>
      <c r="BJ29" s="153"/>
      <c r="BK29" s="153"/>
      <c r="BL29" s="153"/>
      <c r="BM29" s="153"/>
      <c r="BN29" s="153"/>
      <c r="BO29" s="153"/>
      <c r="BP29" s="153"/>
      <c r="BQ29" s="153"/>
      <c r="BR29" s="153"/>
    </row>
    <row r="30" spans="1:85" ht="14.25" customHeight="1" x14ac:dyDescent="0.25">
      <c r="A30" s="154"/>
      <c r="B30" s="154"/>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c r="AA30" s="154"/>
      <c r="AB30" s="154"/>
      <c r="AC30" s="154"/>
      <c r="AD30" s="154"/>
      <c r="AE30" s="154"/>
      <c r="AF30" s="154"/>
      <c r="AG30" s="154"/>
      <c r="AH30" s="154"/>
      <c r="AI30" s="154"/>
      <c r="AJ30" s="154"/>
      <c r="AK30" s="154"/>
      <c r="AL30" s="154"/>
      <c r="AM30" s="154"/>
      <c r="AN30" s="154"/>
      <c r="AO30" s="154"/>
      <c r="AP30" s="154"/>
      <c r="AQ30" s="154"/>
      <c r="AR30" s="154"/>
      <c r="AS30" s="154"/>
      <c r="AT30" s="154"/>
      <c r="AU30" s="154"/>
      <c r="AV30" s="154"/>
      <c r="AW30" s="154"/>
      <c r="AX30" s="154"/>
      <c r="AY30" s="154"/>
      <c r="AZ30" s="154"/>
      <c r="BA30" s="154"/>
      <c r="BB30" s="154"/>
      <c r="BC30" s="154"/>
      <c r="BD30" s="154"/>
      <c r="BE30" s="154"/>
      <c r="BF30" s="154"/>
      <c r="BG30" s="154"/>
      <c r="BH30" s="154"/>
      <c r="BI30" s="154"/>
      <c r="BJ30" s="154"/>
      <c r="BK30" s="154"/>
      <c r="BL30" s="154"/>
      <c r="BM30" s="154"/>
      <c r="BN30" s="154"/>
      <c r="BO30" s="154"/>
      <c r="BP30" s="154"/>
      <c r="BQ30" s="154"/>
      <c r="BR30" s="154"/>
    </row>
    <row r="31" spans="1:85" ht="14.25" customHeight="1" x14ac:dyDescent="0.25">
      <c r="A31" s="134" t="s">
        <v>86</v>
      </c>
      <c r="B31" s="134"/>
      <c r="C31" s="106" t="s">
        <v>85</v>
      </c>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6"/>
      <c r="BA31" s="106"/>
      <c r="BB31" s="106"/>
      <c r="BC31" s="236" t="s">
        <v>87</v>
      </c>
      <c r="BD31" s="210"/>
      <c r="BE31" s="233" t="s">
        <v>95</v>
      </c>
      <c r="BF31" s="234"/>
      <c r="BG31" s="234"/>
      <c r="BH31" s="234"/>
      <c r="BI31" s="234"/>
      <c r="BJ31" s="234"/>
      <c r="BK31" s="234"/>
      <c r="BL31" s="235"/>
      <c r="BM31" s="236" t="s">
        <v>92</v>
      </c>
      <c r="BN31" s="210"/>
      <c r="BO31" s="133" t="s">
        <v>93</v>
      </c>
      <c r="BP31" s="133"/>
      <c r="BQ31" s="209" t="s">
        <v>94</v>
      </c>
      <c r="BR31" s="210"/>
      <c r="BT31" s="233"/>
      <c r="BU31" s="234"/>
      <c r="BV31" s="234"/>
      <c r="BW31" s="234"/>
      <c r="BX31" s="234"/>
      <c r="BY31" s="234"/>
      <c r="BZ31" s="234"/>
      <c r="CA31" s="235"/>
      <c r="CB31" s="236"/>
      <c r="CC31" s="210"/>
      <c r="CD31" s="133"/>
      <c r="CE31" s="133"/>
      <c r="CF31" s="209"/>
      <c r="CG31" s="210"/>
    </row>
    <row r="32" spans="1:85" ht="177.75" customHeight="1" x14ac:dyDescent="0.25">
      <c r="A32" s="134"/>
      <c r="B32" s="134"/>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c r="AZ32" s="106"/>
      <c r="BA32" s="106"/>
      <c r="BB32" s="106"/>
      <c r="BC32" s="237"/>
      <c r="BD32" s="212"/>
      <c r="BE32" s="135" t="s">
        <v>88</v>
      </c>
      <c r="BF32" s="135"/>
      <c r="BG32" s="215" t="s">
        <v>89</v>
      </c>
      <c r="BH32" s="217"/>
      <c r="BI32" s="215" t="s">
        <v>90</v>
      </c>
      <c r="BJ32" s="217"/>
      <c r="BK32" s="134" t="s">
        <v>91</v>
      </c>
      <c r="BL32" s="134"/>
      <c r="BM32" s="237"/>
      <c r="BN32" s="212"/>
      <c r="BO32" s="133"/>
      <c r="BP32" s="133"/>
      <c r="BQ32" s="211"/>
      <c r="BR32" s="212"/>
      <c r="BT32" s="215"/>
      <c r="BU32" s="216"/>
      <c r="BV32" s="217"/>
      <c r="BW32" s="215"/>
      <c r="BX32" s="217"/>
      <c r="BY32" s="224"/>
      <c r="BZ32" s="225"/>
      <c r="CA32" s="226"/>
      <c r="CB32" s="237"/>
      <c r="CC32" s="212"/>
      <c r="CD32" s="133"/>
      <c r="CE32" s="133"/>
      <c r="CF32" s="211"/>
      <c r="CG32" s="212"/>
    </row>
    <row r="33" spans="1:85" ht="14.25" customHeight="1" x14ac:dyDescent="0.25">
      <c r="A33" s="134"/>
      <c r="B33" s="134"/>
      <c r="C33" s="167" t="s">
        <v>73</v>
      </c>
      <c r="D33" s="168"/>
      <c r="E33" s="168"/>
      <c r="F33" s="152"/>
      <c r="G33" s="106" t="s">
        <v>74</v>
      </c>
      <c r="H33" s="106"/>
      <c r="I33" s="106"/>
      <c r="J33" s="106"/>
      <c r="K33" s="106" t="s">
        <v>75</v>
      </c>
      <c r="L33" s="106"/>
      <c r="M33" s="106"/>
      <c r="N33" s="106"/>
      <c r="O33" s="106"/>
      <c r="P33" s="167" t="s">
        <v>76</v>
      </c>
      <c r="Q33" s="168"/>
      <c r="R33" s="168"/>
      <c r="S33" s="152"/>
      <c r="T33" s="167" t="s">
        <v>77</v>
      </c>
      <c r="U33" s="168"/>
      <c r="V33" s="168"/>
      <c r="W33" s="168"/>
      <c r="X33" s="152"/>
      <c r="Y33" s="167" t="s">
        <v>78</v>
      </c>
      <c r="Z33" s="168"/>
      <c r="AA33" s="168"/>
      <c r="AB33" s="152"/>
      <c r="AC33" s="167" t="s">
        <v>79</v>
      </c>
      <c r="AD33" s="168"/>
      <c r="AE33" s="168"/>
      <c r="AF33" s="152"/>
      <c r="AG33" s="167" t="s">
        <v>80</v>
      </c>
      <c r="AH33" s="168"/>
      <c r="AI33" s="168"/>
      <c r="AJ33" s="152"/>
      <c r="AK33" s="167" t="s">
        <v>81</v>
      </c>
      <c r="AL33" s="168"/>
      <c r="AM33" s="168"/>
      <c r="AN33" s="168"/>
      <c r="AO33" s="152"/>
      <c r="AP33" s="167" t="s">
        <v>82</v>
      </c>
      <c r="AQ33" s="168"/>
      <c r="AR33" s="168"/>
      <c r="AS33" s="152"/>
      <c r="AT33" s="167" t="s">
        <v>83</v>
      </c>
      <c r="AU33" s="168"/>
      <c r="AV33" s="168"/>
      <c r="AW33" s="168"/>
      <c r="AX33" s="152"/>
      <c r="AY33" s="167" t="s">
        <v>84</v>
      </c>
      <c r="AZ33" s="168"/>
      <c r="BA33" s="168"/>
      <c r="BB33" s="152"/>
      <c r="BC33" s="237"/>
      <c r="BD33" s="212"/>
      <c r="BE33" s="135"/>
      <c r="BF33" s="135"/>
      <c r="BG33" s="218"/>
      <c r="BH33" s="220"/>
      <c r="BI33" s="218"/>
      <c r="BJ33" s="220"/>
      <c r="BK33" s="134"/>
      <c r="BL33" s="134"/>
      <c r="BM33" s="237"/>
      <c r="BN33" s="212"/>
      <c r="BO33" s="133"/>
      <c r="BP33" s="133"/>
      <c r="BQ33" s="211"/>
      <c r="BR33" s="212"/>
      <c r="BT33" s="218"/>
      <c r="BU33" s="219"/>
      <c r="BV33" s="220"/>
      <c r="BW33" s="218"/>
      <c r="BX33" s="220"/>
      <c r="BY33" s="227"/>
      <c r="BZ33" s="228"/>
      <c r="CA33" s="229"/>
      <c r="CB33" s="237"/>
      <c r="CC33" s="212"/>
      <c r="CD33" s="133"/>
      <c r="CE33" s="133"/>
      <c r="CF33" s="211"/>
      <c r="CG33" s="212"/>
    </row>
    <row r="34" spans="1:85" ht="14.25" customHeight="1" x14ac:dyDescent="0.25">
      <c r="A34" s="134"/>
      <c r="B34" s="134"/>
      <c r="C34" s="72">
        <v>1</v>
      </c>
      <c r="D34" s="72">
        <v>2</v>
      </c>
      <c r="E34" s="72">
        <v>3</v>
      </c>
      <c r="F34" s="72">
        <v>4</v>
      </c>
      <c r="G34" s="72">
        <v>5</v>
      </c>
      <c r="H34" s="72">
        <v>6</v>
      </c>
      <c r="I34" s="72">
        <v>7</v>
      </c>
      <c r="J34" s="72">
        <v>8</v>
      </c>
      <c r="K34" s="72">
        <v>9</v>
      </c>
      <c r="L34" s="72">
        <v>10</v>
      </c>
      <c r="M34" s="72">
        <v>11</v>
      </c>
      <c r="N34" s="72">
        <v>12</v>
      </c>
      <c r="O34" s="72">
        <v>13</v>
      </c>
      <c r="P34" s="72">
        <v>14</v>
      </c>
      <c r="Q34" s="72">
        <v>15</v>
      </c>
      <c r="R34" s="72">
        <v>16</v>
      </c>
      <c r="S34" s="72">
        <v>17</v>
      </c>
      <c r="T34" s="72">
        <v>18</v>
      </c>
      <c r="U34" s="72">
        <v>19</v>
      </c>
      <c r="V34" s="72">
        <v>20</v>
      </c>
      <c r="W34" s="72">
        <v>21</v>
      </c>
      <c r="X34" s="72">
        <v>22</v>
      </c>
      <c r="Y34" s="72">
        <v>23</v>
      </c>
      <c r="Z34" s="72">
        <v>24</v>
      </c>
      <c r="AA34" s="72">
        <v>25</v>
      </c>
      <c r="AB34" s="72">
        <v>26</v>
      </c>
      <c r="AC34" s="72">
        <v>27</v>
      </c>
      <c r="AD34" s="72">
        <v>28</v>
      </c>
      <c r="AE34" s="72">
        <v>29</v>
      </c>
      <c r="AF34" s="72">
        <v>30</v>
      </c>
      <c r="AG34" s="72">
        <v>31</v>
      </c>
      <c r="AH34" s="72">
        <v>32</v>
      </c>
      <c r="AI34" s="72">
        <v>33</v>
      </c>
      <c r="AJ34" s="72">
        <v>34</v>
      </c>
      <c r="AK34" s="72">
        <v>35</v>
      </c>
      <c r="AL34" s="72">
        <v>36</v>
      </c>
      <c r="AM34" s="72">
        <v>37</v>
      </c>
      <c r="AN34" s="72">
        <v>38</v>
      </c>
      <c r="AO34" s="72">
        <v>39</v>
      </c>
      <c r="AP34" s="72">
        <v>40</v>
      </c>
      <c r="AQ34" s="72">
        <v>41</v>
      </c>
      <c r="AR34" s="72">
        <v>42</v>
      </c>
      <c r="AS34" s="72">
        <v>43</v>
      </c>
      <c r="AT34" s="72">
        <v>44</v>
      </c>
      <c r="AU34" s="72">
        <v>45</v>
      </c>
      <c r="AV34" s="72">
        <v>46</v>
      </c>
      <c r="AW34" s="72">
        <v>47</v>
      </c>
      <c r="AX34" s="72">
        <v>48</v>
      </c>
      <c r="AY34" s="72">
        <v>49</v>
      </c>
      <c r="AZ34" s="72">
        <v>50</v>
      </c>
      <c r="BA34" s="72">
        <v>51</v>
      </c>
      <c r="BB34" s="72">
        <v>52</v>
      </c>
      <c r="BC34" s="238"/>
      <c r="BD34" s="214"/>
      <c r="BE34" s="135"/>
      <c r="BF34" s="135"/>
      <c r="BG34" s="221"/>
      <c r="BH34" s="223"/>
      <c r="BI34" s="221"/>
      <c r="BJ34" s="223"/>
      <c r="BK34" s="134"/>
      <c r="BL34" s="134"/>
      <c r="BM34" s="238"/>
      <c r="BN34" s="214"/>
      <c r="BO34" s="133"/>
      <c r="BP34" s="133"/>
      <c r="BQ34" s="213"/>
      <c r="BR34" s="214"/>
      <c r="BT34" s="221"/>
      <c r="BU34" s="222"/>
      <c r="BV34" s="223"/>
      <c r="BW34" s="221"/>
      <c r="BX34" s="223"/>
      <c r="BY34" s="230"/>
      <c r="BZ34" s="231"/>
      <c r="CA34" s="232"/>
      <c r="CB34" s="238"/>
      <c r="CC34" s="214"/>
      <c r="CD34" s="133"/>
      <c r="CE34" s="133"/>
      <c r="CF34" s="213"/>
      <c r="CG34" s="214"/>
    </row>
    <row r="35" spans="1:85" ht="14.25" customHeight="1" x14ac:dyDescent="0.25">
      <c r="A35" s="106" t="s">
        <v>0</v>
      </c>
      <c r="B35" s="106"/>
      <c r="C35" s="72" t="s">
        <v>106</v>
      </c>
      <c r="D35" s="72"/>
      <c r="E35" s="72"/>
      <c r="F35" s="72"/>
      <c r="G35" s="72"/>
      <c r="H35" s="72"/>
      <c r="I35" s="72"/>
      <c r="J35" s="72"/>
      <c r="K35" s="72"/>
      <c r="L35" s="72"/>
      <c r="M35" s="72"/>
      <c r="N35" s="72"/>
      <c r="O35" s="72"/>
      <c r="P35" s="72"/>
      <c r="Q35" s="72"/>
      <c r="R35" s="72"/>
      <c r="S35" s="72" t="s">
        <v>2</v>
      </c>
      <c r="T35" s="72" t="s">
        <v>2</v>
      </c>
      <c r="U35" s="72" t="s">
        <v>1</v>
      </c>
      <c r="V35" s="72" t="s">
        <v>1</v>
      </c>
      <c r="W35" s="72" t="s">
        <v>106</v>
      </c>
      <c r="X35" s="72" t="s">
        <v>0</v>
      </c>
      <c r="Y35" s="72" t="s">
        <v>0</v>
      </c>
      <c r="Z35" s="72" t="s">
        <v>0</v>
      </c>
      <c r="AA35" s="72" t="s">
        <v>0</v>
      </c>
      <c r="AB35" s="72" t="s">
        <v>0</v>
      </c>
      <c r="AC35" s="72"/>
      <c r="AD35" s="72"/>
      <c r="AE35" s="72"/>
      <c r="AF35" s="72"/>
      <c r="AG35" s="72"/>
      <c r="AH35" s="72"/>
      <c r="AI35" s="72"/>
      <c r="AJ35" s="72"/>
      <c r="AK35" s="72"/>
      <c r="AL35" s="72"/>
      <c r="AM35" s="72"/>
      <c r="AN35" s="72"/>
      <c r="AO35" s="72"/>
      <c r="AP35" s="72"/>
      <c r="AQ35" s="72"/>
      <c r="AR35" s="72" t="s">
        <v>1</v>
      </c>
      <c r="AS35" s="72" t="s">
        <v>1</v>
      </c>
      <c r="AT35" s="72" t="s">
        <v>2</v>
      </c>
      <c r="AU35" s="72" t="s">
        <v>2</v>
      </c>
      <c r="AV35" s="72" t="s">
        <v>2</v>
      </c>
      <c r="AW35" s="72" t="s">
        <v>2</v>
      </c>
      <c r="AX35" s="72" t="s">
        <v>2</v>
      </c>
      <c r="AY35" s="72" t="s">
        <v>2</v>
      </c>
      <c r="AZ35" s="72" t="s">
        <v>2</v>
      </c>
      <c r="BA35" s="72" t="s">
        <v>2</v>
      </c>
      <c r="BB35" s="72" t="s">
        <v>2</v>
      </c>
      <c r="BC35" s="167">
        <f>SUM(BE35:BN35)</f>
        <v>41</v>
      </c>
      <c r="BD35" s="152"/>
      <c r="BE35" s="106">
        <v>30</v>
      </c>
      <c r="BF35" s="106"/>
      <c r="BG35" s="167">
        <v>5</v>
      </c>
      <c r="BH35" s="152"/>
      <c r="BI35" s="167"/>
      <c r="BJ35" s="152"/>
      <c r="BK35" s="168">
        <v>4</v>
      </c>
      <c r="BL35" s="152"/>
      <c r="BM35" s="167">
        <v>2</v>
      </c>
      <c r="BN35" s="152"/>
      <c r="BO35" s="167">
        <v>11</v>
      </c>
      <c r="BP35" s="152"/>
      <c r="BQ35" s="106">
        <f>BO35+BC35</f>
        <v>52</v>
      </c>
      <c r="BR35" s="106"/>
    </row>
    <row r="36" spans="1:85" ht="14.25" customHeight="1" x14ac:dyDescent="0.25">
      <c r="A36" s="106" t="s">
        <v>3</v>
      </c>
      <c r="B36" s="106"/>
      <c r="C36" s="72" t="s">
        <v>106</v>
      </c>
      <c r="D36" s="72"/>
      <c r="E36" s="72"/>
      <c r="F36" s="72"/>
      <c r="G36" s="72"/>
      <c r="H36" s="72"/>
      <c r="I36" s="72"/>
      <c r="J36" s="72"/>
      <c r="K36" s="72"/>
      <c r="L36" s="72"/>
      <c r="M36" s="72"/>
      <c r="N36" s="72"/>
      <c r="O36" s="72"/>
      <c r="P36" s="72"/>
      <c r="Q36" s="72"/>
      <c r="R36" s="72"/>
      <c r="S36" s="72" t="s">
        <v>2</v>
      </c>
      <c r="T36" s="72" t="s">
        <v>2</v>
      </c>
      <c r="U36" s="72" t="s">
        <v>1</v>
      </c>
      <c r="V36" s="72" t="s">
        <v>1</v>
      </c>
      <c r="W36" s="72" t="s">
        <v>106</v>
      </c>
      <c r="X36" s="72" t="s">
        <v>22</v>
      </c>
      <c r="Y36" s="72" t="s">
        <v>22</v>
      </c>
      <c r="Z36" s="72" t="s">
        <v>22</v>
      </c>
      <c r="AA36" s="72" t="s">
        <v>22</v>
      </c>
      <c r="AB36" s="72" t="s">
        <v>22</v>
      </c>
      <c r="AC36" s="72"/>
      <c r="AD36" s="72"/>
      <c r="AE36" s="72"/>
      <c r="AF36" s="72"/>
      <c r="AG36" s="72"/>
      <c r="AH36" s="72"/>
      <c r="AI36" s="72"/>
      <c r="AJ36" s="72"/>
      <c r="AK36" s="72"/>
      <c r="AL36" s="72"/>
      <c r="AM36" s="72"/>
      <c r="AN36" s="72"/>
      <c r="AO36" s="72"/>
      <c r="AP36" s="72"/>
      <c r="AQ36" s="72"/>
      <c r="AR36" s="72" t="s">
        <v>1</v>
      </c>
      <c r="AS36" s="72" t="s">
        <v>102</v>
      </c>
      <c r="AT36" s="72" t="s">
        <v>2</v>
      </c>
      <c r="AU36" s="72" t="s">
        <v>2</v>
      </c>
      <c r="AV36" s="72" t="s">
        <v>2</v>
      </c>
      <c r="AW36" s="72" t="s">
        <v>2</v>
      </c>
      <c r="AX36" s="72" t="s">
        <v>2</v>
      </c>
      <c r="AY36" s="72"/>
      <c r="AZ36" s="72"/>
      <c r="BA36" s="72"/>
      <c r="BB36" s="72"/>
      <c r="BC36" s="167">
        <f>SUM(BE36:BN36)</f>
        <v>41</v>
      </c>
      <c r="BD36" s="152"/>
      <c r="BE36" s="106">
        <v>30</v>
      </c>
      <c r="BF36" s="106"/>
      <c r="BG36" s="167"/>
      <c r="BH36" s="152"/>
      <c r="BI36" s="167">
        <v>5</v>
      </c>
      <c r="BJ36" s="152"/>
      <c r="BK36" s="168">
        <v>4</v>
      </c>
      <c r="BL36" s="152"/>
      <c r="BM36" s="167">
        <v>2</v>
      </c>
      <c r="BN36" s="152"/>
      <c r="BO36" s="167">
        <v>7</v>
      </c>
      <c r="BP36" s="152"/>
      <c r="BQ36" s="106">
        <f>BO36+BC36</f>
        <v>48</v>
      </c>
      <c r="BR36" s="106"/>
    </row>
    <row r="37" spans="1:85" ht="14.25" customHeight="1" x14ac:dyDescent="0.25">
      <c r="A37" s="169" t="s">
        <v>4</v>
      </c>
      <c r="B37" s="169"/>
      <c r="C37" s="169"/>
      <c r="D37" s="169"/>
      <c r="E37" s="169"/>
      <c r="F37" s="169"/>
      <c r="G37" s="169"/>
      <c r="H37" s="169"/>
      <c r="I37" s="169"/>
      <c r="J37" s="169"/>
      <c r="K37" s="169"/>
      <c r="L37" s="169"/>
      <c r="M37" s="169"/>
      <c r="N37" s="169"/>
      <c r="O37" s="169"/>
      <c r="P37" s="169"/>
      <c r="Q37" s="169"/>
      <c r="R37" s="169"/>
      <c r="S37" s="169"/>
      <c r="T37" s="169"/>
      <c r="U37" s="169"/>
      <c r="V37" s="169"/>
      <c r="W37" s="169"/>
      <c r="X37" s="169"/>
      <c r="Y37" s="169"/>
      <c r="Z37" s="169"/>
      <c r="AA37" s="169"/>
      <c r="AB37" s="169"/>
      <c r="AC37" s="169"/>
      <c r="AD37" s="169"/>
      <c r="AE37" s="169"/>
      <c r="AF37" s="169"/>
      <c r="AG37" s="169"/>
      <c r="AH37" s="169"/>
      <c r="AI37" s="169"/>
      <c r="AJ37" s="169"/>
      <c r="AK37" s="169"/>
      <c r="AL37" s="169"/>
      <c r="AM37" s="169"/>
      <c r="AN37" s="169"/>
      <c r="AO37" s="169"/>
      <c r="AP37" s="169"/>
      <c r="AQ37" s="169"/>
      <c r="AR37" s="169"/>
      <c r="AS37" s="169"/>
      <c r="AT37" s="169"/>
      <c r="AU37" s="169"/>
      <c r="AV37" s="169"/>
      <c r="AW37" s="169"/>
      <c r="AX37" s="169"/>
      <c r="AY37" s="169"/>
      <c r="AZ37" s="169"/>
      <c r="BA37" s="169"/>
      <c r="BB37" s="169"/>
      <c r="BC37" s="167">
        <f>SUM(BC35:BD36)</f>
        <v>82</v>
      </c>
      <c r="BD37" s="152"/>
      <c r="BE37" s="106">
        <f>SUM(BE35:BF36)</f>
        <v>60</v>
      </c>
      <c r="BF37" s="106"/>
      <c r="BG37" s="106">
        <f t="shared" ref="BG37" si="0">SUM(BG35:BH36)</f>
        <v>5</v>
      </c>
      <c r="BH37" s="106"/>
      <c r="BI37" s="106">
        <f t="shared" ref="BI37" si="1">SUM(BI35:BJ36)</f>
        <v>5</v>
      </c>
      <c r="BJ37" s="106"/>
      <c r="BK37" s="106">
        <f t="shared" ref="BK37" si="2">SUM(BK35:BL36)</f>
        <v>8</v>
      </c>
      <c r="BL37" s="106"/>
      <c r="BM37" s="106">
        <f t="shared" ref="BM37" si="3">SUM(BM35:BN36)</f>
        <v>4</v>
      </c>
      <c r="BN37" s="106"/>
      <c r="BO37" s="106">
        <f t="shared" ref="BO37" si="4">SUM(BO35:BP36)</f>
        <v>18</v>
      </c>
      <c r="BP37" s="106"/>
      <c r="BQ37" s="106">
        <f>SUM(BQ35:BR36)</f>
        <v>100</v>
      </c>
      <c r="BR37" s="106"/>
    </row>
    <row r="38" spans="1:85" ht="14.25" customHeight="1" x14ac:dyDescent="0.25">
      <c r="A38" s="4"/>
      <c r="B38" s="5"/>
      <c r="C38" s="5"/>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7"/>
      <c r="AF38" s="6"/>
      <c r="AG38" s="6"/>
      <c r="AH38" s="6"/>
      <c r="AI38" s="6"/>
      <c r="AJ38" s="6"/>
      <c r="AK38" s="6"/>
      <c r="AL38" s="6"/>
      <c r="AM38" s="6"/>
      <c r="AN38" s="6"/>
      <c r="AO38" s="6"/>
      <c r="AP38" s="6"/>
      <c r="AQ38" s="8"/>
      <c r="AR38" s="6"/>
      <c r="AS38" s="6"/>
      <c r="AT38" s="6"/>
      <c r="AU38" s="6"/>
      <c r="AV38" s="8"/>
      <c r="AW38" s="6"/>
      <c r="AX38" s="6"/>
      <c r="AY38" s="6"/>
      <c r="AZ38" s="6"/>
      <c r="BA38" s="6"/>
      <c r="BB38" s="6"/>
      <c r="BC38" s="77"/>
      <c r="BD38" s="77"/>
      <c r="BE38" s="77"/>
      <c r="BF38" s="77"/>
      <c r="BG38" s="77"/>
      <c r="BH38" s="77"/>
      <c r="BI38" s="77"/>
      <c r="BJ38" s="77"/>
      <c r="BK38" s="77"/>
      <c r="BL38" s="77"/>
      <c r="BM38" s="77"/>
      <c r="BN38" s="77"/>
      <c r="BO38" s="9"/>
      <c r="BP38" s="9"/>
      <c r="BQ38" s="9"/>
      <c r="BR38" s="8"/>
    </row>
    <row r="39" spans="1:85" ht="14.25" customHeight="1" x14ac:dyDescent="0.25">
      <c r="A39" s="4"/>
      <c r="B39" s="160"/>
      <c r="C39" s="160"/>
      <c r="D39" s="161" t="s">
        <v>96</v>
      </c>
      <c r="E39" s="143"/>
      <c r="F39" s="143"/>
      <c r="G39" s="143"/>
      <c r="H39" s="143"/>
      <c r="I39" s="143"/>
      <c r="J39" s="143"/>
      <c r="K39" s="162" t="s">
        <v>102</v>
      </c>
      <c r="L39" s="162"/>
      <c r="M39" s="162"/>
      <c r="N39" s="162"/>
      <c r="O39" s="163" t="s">
        <v>97</v>
      </c>
      <c r="P39" s="163"/>
      <c r="Q39" s="163"/>
      <c r="R39" s="164"/>
      <c r="S39" s="162" t="s">
        <v>0</v>
      </c>
      <c r="T39" s="162"/>
      <c r="U39" s="162"/>
      <c r="V39" s="165" t="s">
        <v>98</v>
      </c>
      <c r="W39" s="165"/>
      <c r="X39" s="165"/>
      <c r="Y39" s="165"/>
      <c r="Z39" s="165"/>
      <c r="AA39" s="166"/>
      <c r="AB39" s="162" t="s">
        <v>103</v>
      </c>
      <c r="AC39" s="162"/>
      <c r="AD39" s="162"/>
      <c r="AE39" s="7"/>
      <c r="AF39" s="163" t="s">
        <v>99</v>
      </c>
      <c r="AG39" s="163"/>
      <c r="AH39" s="163"/>
      <c r="AI39" s="163"/>
      <c r="AJ39" s="163"/>
      <c r="AK39" s="163"/>
      <c r="AL39" s="163"/>
      <c r="AM39" s="164"/>
      <c r="AN39" s="162" t="s">
        <v>104</v>
      </c>
      <c r="AO39" s="162"/>
      <c r="AP39" s="162"/>
      <c r="AQ39" s="8"/>
      <c r="AR39" s="177" t="s">
        <v>100</v>
      </c>
      <c r="AS39" s="177"/>
      <c r="AT39" s="177"/>
      <c r="AU39" s="177"/>
      <c r="AV39" s="8"/>
      <c r="AW39" s="162" t="s">
        <v>105</v>
      </c>
      <c r="AX39" s="162"/>
      <c r="AY39" s="162"/>
      <c r="AZ39" s="177" t="s">
        <v>101</v>
      </c>
      <c r="BA39" s="177"/>
      <c r="BB39" s="177"/>
      <c r="BC39" s="177"/>
      <c r="BD39" s="138" t="s">
        <v>106</v>
      </c>
      <c r="BE39" s="138"/>
      <c r="BF39" s="138"/>
      <c r="BG39" s="138"/>
      <c r="BH39" s="139" t="s">
        <v>92</v>
      </c>
      <c r="BI39" s="139"/>
      <c r="BJ39" s="139"/>
      <c r="BK39" s="139"/>
      <c r="BL39" s="139"/>
      <c r="BM39" s="139"/>
      <c r="BN39" s="139"/>
      <c r="BO39" s="9"/>
      <c r="BP39" s="9"/>
      <c r="BQ39" s="9"/>
      <c r="BR39" s="8"/>
    </row>
    <row r="40" spans="1:85" ht="14.25" customHeight="1" x14ac:dyDescent="0.25">
      <c r="A40" s="4"/>
      <c r="B40" s="160"/>
      <c r="C40" s="160"/>
      <c r="D40" s="161"/>
      <c r="E40" s="143"/>
      <c r="F40" s="143"/>
      <c r="G40" s="143"/>
      <c r="H40" s="143"/>
      <c r="I40" s="143"/>
      <c r="J40" s="143"/>
      <c r="K40" s="162"/>
      <c r="L40" s="162"/>
      <c r="M40" s="162"/>
      <c r="N40" s="162"/>
      <c r="O40" s="163"/>
      <c r="P40" s="163"/>
      <c r="Q40" s="163"/>
      <c r="R40" s="164"/>
      <c r="S40" s="162"/>
      <c r="T40" s="162"/>
      <c r="U40" s="162"/>
      <c r="V40" s="165"/>
      <c r="W40" s="165"/>
      <c r="X40" s="165"/>
      <c r="Y40" s="165"/>
      <c r="Z40" s="165"/>
      <c r="AA40" s="166"/>
      <c r="AB40" s="162"/>
      <c r="AC40" s="162"/>
      <c r="AD40" s="162"/>
      <c r="AE40" s="7"/>
      <c r="AF40" s="163"/>
      <c r="AG40" s="163"/>
      <c r="AH40" s="163"/>
      <c r="AI40" s="163"/>
      <c r="AJ40" s="163"/>
      <c r="AK40" s="163"/>
      <c r="AL40" s="163"/>
      <c r="AM40" s="164"/>
      <c r="AN40" s="162"/>
      <c r="AO40" s="162"/>
      <c r="AP40" s="162"/>
      <c r="AQ40" s="8"/>
      <c r="AR40" s="177"/>
      <c r="AS40" s="177"/>
      <c r="AT40" s="177"/>
      <c r="AU40" s="177"/>
      <c r="AV40" s="8"/>
      <c r="AW40" s="162"/>
      <c r="AX40" s="162"/>
      <c r="AY40" s="162"/>
      <c r="AZ40" s="177"/>
      <c r="BA40" s="177"/>
      <c r="BB40" s="177"/>
      <c r="BC40" s="177"/>
      <c r="BD40" s="138"/>
      <c r="BE40" s="138"/>
      <c r="BF40" s="138"/>
      <c r="BG40" s="138"/>
      <c r="BH40" s="139"/>
      <c r="BI40" s="139"/>
      <c r="BJ40" s="139"/>
      <c r="BK40" s="139"/>
      <c r="BL40" s="139"/>
      <c r="BM40" s="139"/>
      <c r="BN40" s="139"/>
      <c r="BO40" s="9"/>
      <c r="BP40" s="9"/>
      <c r="BQ40" s="9"/>
      <c r="BR40" s="8"/>
    </row>
    <row r="41" spans="1:85" ht="14.25" customHeight="1" x14ac:dyDescent="0.25">
      <c r="A41" s="4"/>
      <c r="B41" s="160"/>
      <c r="C41" s="160"/>
      <c r="D41" s="161"/>
      <c r="E41" s="143"/>
      <c r="F41" s="143"/>
      <c r="G41" s="143"/>
      <c r="H41" s="143"/>
      <c r="I41" s="143"/>
      <c r="J41" s="143"/>
      <c r="K41" s="162"/>
      <c r="L41" s="162"/>
      <c r="M41" s="162"/>
      <c r="N41" s="162"/>
      <c r="O41" s="163"/>
      <c r="P41" s="163"/>
      <c r="Q41" s="163"/>
      <c r="R41" s="164"/>
      <c r="S41" s="162"/>
      <c r="T41" s="162"/>
      <c r="U41" s="162"/>
      <c r="V41" s="165"/>
      <c r="W41" s="165"/>
      <c r="X41" s="165"/>
      <c r="Y41" s="165"/>
      <c r="Z41" s="165"/>
      <c r="AA41" s="166"/>
      <c r="AB41" s="162"/>
      <c r="AC41" s="162"/>
      <c r="AD41" s="162"/>
      <c r="AE41" s="7"/>
      <c r="AF41" s="163"/>
      <c r="AG41" s="163"/>
      <c r="AH41" s="163"/>
      <c r="AI41" s="163"/>
      <c r="AJ41" s="163"/>
      <c r="AK41" s="163"/>
      <c r="AL41" s="163"/>
      <c r="AM41" s="164"/>
      <c r="AN41" s="162"/>
      <c r="AO41" s="162"/>
      <c r="AP41" s="162"/>
      <c r="AQ41" s="8"/>
      <c r="AR41" s="177"/>
      <c r="AS41" s="177"/>
      <c r="AT41" s="177"/>
      <c r="AU41" s="177"/>
      <c r="AV41" s="8"/>
      <c r="AW41" s="162"/>
      <c r="AX41" s="162"/>
      <c r="AY41" s="162"/>
      <c r="AZ41" s="177"/>
      <c r="BA41" s="177"/>
      <c r="BB41" s="177"/>
      <c r="BC41" s="177"/>
      <c r="BD41" s="138"/>
      <c r="BE41" s="138"/>
      <c r="BF41" s="138"/>
      <c r="BG41" s="138"/>
      <c r="BH41" s="139"/>
      <c r="BI41" s="139"/>
      <c r="BJ41" s="139"/>
      <c r="BK41" s="139"/>
      <c r="BL41" s="139"/>
      <c r="BM41" s="139"/>
      <c r="BN41" s="139"/>
      <c r="BO41" s="9"/>
      <c r="BP41" s="9"/>
      <c r="BQ41" s="9"/>
      <c r="BR41" s="8"/>
    </row>
    <row r="42" spans="1:85" ht="14.25" customHeight="1" x14ac:dyDescent="0.25">
      <c r="A42" s="4"/>
      <c r="B42" s="10"/>
      <c r="C42" s="11"/>
      <c r="D42" s="12"/>
      <c r="E42" s="4"/>
      <c r="F42" s="4"/>
      <c r="G42" s="4"/>
      <c r="H42" s="4"/>
      <c r="I42" s="66"/>
      <c r="J42" s="66"/>
      <c r="K42" s="66"/>
      <c r="L42" s="66"/>
      <c r="M42" s="66"/>
      <c r="N42" s="66"/>
      <c r="O42" s="13"/>
      <c r="P42" s="13"/>
      <c r="Q42" s="13"/>
      <c r="R42" s="13"/>
      <c r="S42" s="66"/>
      <c r="T42" s="66"/>
      <c r="U42" s="66"/>
      <c r="V42" s="66"/>
      <c r="W42" s="66"/>
      <c r="X42" s="66"/>
      <c r="Y42" s="13"/>
      <c r="Z42" s="13"/>
      <c r="AA42" s="13"/>
      <c r="AB42" s="13"/>
      <c r="AC42" s="66"/>
      <c r="AD42" s="66"/>
      <c r="AE42" s="66"/>
      <c r="AF42" s="66"/>
      <c r="AG42" s="66"/>
      <c r="AH42" s="66"/>
      <c r="AI42" s="13"/>
      <c r="AJ42" s="13"/>
      <c r="AK42" s="13"/>
      <c r="AL42" s="13"/>
      <c r="AM42" s="66"/>
      <c r="AN42" s="66"/>
      <c r="AO42" s="66"/>
      <c r="AP42" s="66"/>
      <c r="AQ42" s="66"/>
      <c r="AR42" s="66"/>
      <c r="AS42" s="13"/>
      <c r="AT42" s="13"/>
      <c r="AU42" s="13"/>
      <c r="AV42" s="13"/>
      <c r="AW42" s="66"/>
      <c r="AX42" s="66"/>
      <c r="AY42" s="66"/>
      <c r="AZ42" s="66"/>
      <c r="BA42" s="66"/>
      <c r="BB42" s="66"/>
      <c r="BC42" s="13"/>
      <c r="BD42" s="13"/>
      <c r="BE42" s="13"/>
      <c r="BF42" s="13"/>
      <c r="BG42" s="66"/>
      <c r="BH42" s="66"/>
      <c r="BI42" s="66"/>
      <c r="BJ42" s="66"/>
      <c r="BK42" s="66"/>
      <c r="BL42" s="66"/>
      <c r="BM42" s="73"/>
      <c r="BN42" s="4"/>
      <c r="BO42" s="4"/>
      <c r="BP42" s="4"/>
      <c r="BQ42" s="4"/>
      <c r="BR42" s="4"/>
    </row>
    <row r="43" spans="1:85" ht="14.25" customHeight="1" x14ac:dyDescent="0.25">
      <c r="A43" s="4"/>
      <c r="B43" s="10"/>
      <c r="C43" s="11"/>
      <c r="D43" s="12"/>
      <c r="E43" s="4"/>
      <c r="F43" s="4"/>
      <c r="G43" s="4"/>
      <c r="H43" s="4"/>
      <c r="I43" s="66"/>
      <c r="J43" s="66"/>
      <c r="K43" s="66"/>
      <c r="L43" s="66"/>
      <c r="M43" s="66"/>
      <c r="N43" s="66"/>
      <c r="O43" s="13"/>
      <c r="P43" s="13"/>
      <c r="Q43" s="13"/>
      <c r="R43" s="13"/>
      <c r="S43" s="66"/>
      <c r="T43" s="66"/>
      <c r="U43" s="66"/>
      <c r="V43" s="66"/>
      <c r="W43" s="66"/>
      <c r="X43" s="66"/>
      <c r="Y43" s="13"/>
      <c r="Z43" s="13"/>
      <c r="AA43" s="13"/>
      <c r="AB43" s="13"/>
      <c r="AC43" s="66"/>
      <c r="AD43" s="66"/>
      <c r="AE43" s="66"/>
      <c r="AF43" s="66"/>
      <c r="AG43" s="66"/>
      <c r="AH43" s="66"/>
      <c r="AI43" s="13"/>
      <c r="AJ43" s="13"/>
      <c r="AK43" s="13"/>
      <c r="AL43" s="13"/>
      <c r="AM43" s="66"/>
      <c r="AN43" s="66"/>
      <c r="AO43" s="66"/>
      <c r="AP43" s="66"/>
      <c r="AQ43" s="66"/>
      <c r="AR43" s="66"/>
      <c r="AS43" s="13"/>
      <c r="AT43" s="13"/>
      <c r="AU43" s="13"/>
      <c r="AV43" s="13"/>
      <c r="AW43" s="66"/>
      <c r="AX43" s="66"/>
      <c r="AY43" s="66"/>
      <c r="AZ43" s="66"/>
      <c r="BA43" s="66"/>
      <c r="BB43" s="66"/>
      <c r="BC43" s="13"/>
      <c r="BD43" s="13"/>
      <c r="BE43" s="13"/>
      <c r="BF43" s="13"/>
      <c r="BG43" s="66"/>
      <c r="BH43" s="66"/>
      <c r="BI43" s="66"/>
      <c r="BJ43" s="66"/>
      <c r="BK43" s="66"/>
      <c r="BL43" s="66"/>
      <c r="BM43" s="73"/>
      <c r="BN43" s="4"/>
      <c r="BO43" s="4"/>
      <c r="BP43" s="4"/>
      <c r="BQ43" s="4"/>
      <c r="BR43" s="4"/>
    </row>
    <row r="44" spans="1:85" ht="14.25" customHeight="1" x14ac:dyDescent="0.25">
      <c r="A44" s="153" t="s">
        <v>66</v>
      </c>
      <c r="B44" s="153"/>
      <c r="C44" s="153"/>
      <c r="D44" s="153"/>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3"/>
      <c r="BK44" s="153"/>
      <c r="BL44" s="153"/>
      <c r="BM44" s="153"/>
      <c r="BN44" s="153"/>
      <c r="BO44" s="153"/>
      <c r="BP44" s="153"/>
      <c r="BQ44" s="153"/>
      <c r="BR44" s="153"/>
    </row>
    <row r="45" spans="1:85" ht="14.25" customHeight="1" x14ac:dyDescent="0.25">
      <c r="A45" s="154"/>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4"/>
      <c r="AX45" s="154"/>
      <c r="AY45" s="154"/>
      <c r="AZ45" s="154"/>
      <c r="BA45" s="154"/>
      <c r="BB45" s="154"/>
      <c r="BC45" s="154"/>
      <c r="BD45" s="154"/>
      <c r="BE45" s="154"/>
      <c r="BF45" s="154"/>
      <c r="BG45" s="154"/>
      <c r="BH45" s="154"/>
      <c r="BI45" s="154"/>
      <c r="BJ45" s="154"/>
      <c r="BK45" s="154"/>
      <c r="BL45" s="154"/>
      <c r="BM45" s="154"/>
      <c r="BN45" s="154"/>
      <c r="BO45" s="154"/>
      <c r="BP45" s="154"/>
      <c r="BQ45" s="154"/>
      <c r="BR45" s="154"/>
    </row>
    <row r="46" spans="1:85" ht="14.25" customHeight="1" x14ac:dyDescent="0.25">
      <c r="A46" s="106" t="s">
        <v>108</v>
      </c>
      <c r="B46" s="133" t="s">
        <v>107</v>
      </c>
      <c r="C46" s="134"/>
      <c r="D46" s="132" t="s">
        <v>126</v>
      </c>
      <c r="E46" s="132"/>
      <c r="F46" s="132"/>
      <c r="G46" s="132"/>
      <c r="H46" s="132"/>
      <c r="I46" s="132"/>
      <c r="J46" s="132"/>
      <c r="K46" s="132"/>
      <c r="L46" s="132"/>
      <c r="M46" s="132"/>
      <c r="N46" s="132"/>
      <c r="O46" s="155"/>
      <c r="P46" s="156" t="s">
        <v>113</v>
      </c>
      <c r="Q46" s="132"/>
      <c r="R46" s="132"/>
      <c r="S46" s="132"/>
      <c r="T46" s="132"/>
      <c r="U46" s="132"/>
      <c r="V46" s="132"/>
      <c r="W46" s="132"/>
      <c r="X46" s="132"/>
      <c r="Y46" s="132"/>
      <c r="Z46" s="132"/>
      <c r="AA46" s="132"/>
      <c r="AB46" s="132"/>
      <c r="AC46" s="132"/>
      <c r="AD46" s="132"/>
      <c r="AE46" s="132"/>
      <c r="AF46" s="132"/>
      <c r="AG46" s="132"/>
      <c r="AH46" s="132"/>
      <c r="AI46" s="132"/>
      <c r="AJ46" s="132"/>
      <c r="AK46" s="132"/>
      <c r="AL46" s="132"/>
      <c r="AM46" s="132"/>
      <c r="AN46" s="132"/>
      <c r="AO46" s="132"/>
      <c r="AP46" s="155"/>
      <c r="AQ46" s="157" t="s">
        <v>179</v>
      </c>
      <c r="AR46" s="132"/>
      <c r="AS46" s="132"/>
      <c r="AT46" s="132"/>
      <c r="AU46" s="132"/>
      <c r="AV46" s="132"/>
      <c r="AW46" s="132"/>
      <c r="AX46" s="132"/>
      <c r="AY46" s="132"/>
      <c r="AZ46" s="132"/>
      <c r="BA46" s="132"/>
      <c r="BB46" s="155"/>
      <c r="BC46" s="157" t="s">
        <v>180</v>
      </c>
      <c r="BD46" s="132"/>
      <c r="BE46" s="132"/>
      <c r="BF46" s="132"/>
      <c r="BG46" s="132"/>
      <c r="BH46" s="132"/>
      <c r="BI46" s="132"/>
      <c r="BJ46" s="132"/>
      <c r="BK46" s="132"/>
      <c r="BL46" s="132"/>
      <c r="BM46" s="132"/>
      <c r="BN46" s="155"/>
      <c r="BO46" s="158" t="s">
        <v>123</v>
      </c>
      <c r="BP46" s="134"/>
      <c r="BQ46" s="134"/>
      <c r="BR46" s="134"/>
    </row>
    <row r="47" spans="1:85" ht="14.25" customHeight="1" x14ac:dyDescent="0.25">
      <c r="A47" s="106"/>
      <c r="B47" s="134"/>
      <c r="C47" s="134"/>
      <c r="D47" s="132"/>
      <c r="E47" s="132"/>
      <c r="F47" s="132"/>
      <c r="G47" s="132"/>
      <c r="H47" s="132"/>
      <c r="I47" s="132"/>
      <c r="J47" s="132"/>
      <c r="K47" s="132"/>
      <c r="L47" s="132"/>
      <c r="M47" s="132"/>
      <c r="N47" s="132"/>
      <c r="O47" s="155"/>
      <c r="P47" s="156"/>
      <c r="Q47" s="132"/>
      <c r="R47" s="132"/>
      <c r="S47" s="132"/>
      <c r="T47" s="132"/>
      <c r="U47" s="132"/>
      <c r="V47" s="132"/>
      <c r="W47" s="132"/>
      <c r="X47" s="132"/>
      <c r="Y47" s="132"/>
      <c r="Z47" s="132"/>
      <c r="AA47" s="132"/>
      <c r="AB47" s="132"/>
      <c r="AC47" s="132"/>
      <c r="AD47" s="132"/>
      <c r="AE47" s="132"/>
      <c r="AF47" s="132"/>
      <c r="AG47" s="132"/>
      <c r="AH47" s="132"/>
      <c r="AI47" s="132"/>
      <c r="AJ47" s="132"/>
      <c r="AK47" s="132"/>
      <c r="AL47" s="132"/>
      <c r="AM47" s="132"/>
      <c r="AN47" s="132"/>
      <c r="AO47" s="132"/>
      <c r="AP47" s="155"/>
      <c r="AQ47" s="157"/>
      <c r="AR47" s="132"/>
      <c r="AS47" s="132"/>
      <c r="AT47" s="132"/>
      <c r="AU47" s="132"/>
      <c r="AV47" s="132"/>
      <c r="AW47" s="132"/>
      <c r="AX47" s="132"/>
      <c r="AY47" s="132"/>
      <c r="AZ47" s="132"/>
      <c r="BA47" s="132"/>
      <c r="BB47" s="155"/>
      <c r="BC47" s="157"/>
      <c r="BD47" s="132"/>
      <c r="BE47" s="132"/>
      <c r="BF47" s="132"/>
      <c r="BG47" s="132"/>
      <c r="BH47" s="132"/>
      <c r="BI47" s="132"/>
      <c r="BJ47" s="132"/>
      <c r="BK47" s="132"/>
      <c r="BL47" s="132"/>
      <c r="BM47" s="132"/>
      <c r="BN47" s="155"/>
      <c r="BO47" s="158"/>
      <c r="BP47" s="134"/>
      <c r="BQ47" s="134"/>
      <c r="BR47" s="134"/>
      <c r="BS47" s="71"/>
      <c r="BT47" s="71"/>
      <c r="BU47" s="71"/>
      <c r="BV47" s="71"/>
      <c r="BW47" s="71"/>
      <c r="BX47" s="71"/>
      <c r="BY47" s="71"/>
      <c r="BZ47" s="71"/>
    </row>
    <row r="48" spans="1:85" ht="14.25" customHeight="1" x14ac:dyDescent="0.25">
      <c r="A48" s="106"/>
      <c r="B48" s="134"/>
      <c r="C48" s="134"/>
      <c r="D48" s="132"/>
      <c r="E48" s="132"/>
      <c r="F48" s="132"/>
      <c r="G48" s="132"/>
      <c r="H48" s="132"/>
      <c r="I48" s="132"/>
      <c r="J48" s="132"/>
      <c r="K48" s="132"/>
      <c r="L48" s="132"/>
      <c r="M48" s="132"/>
      <c r="N48" s="132"/>
      <c r="O48" s="155"/>
      <c r="P48" s="157" t="s">
        <v>109</v>
      </c>
      <c r="Q48" s="132"/>
      <c r="R48" s="132"/>
      <c r="S48" s="132"/>
      <c r="T48" s="132"/>
      <c r="U48" s="155"/>
      <c r="V48" s="156" t="s">
        <v>114</v>
      </c>
      <c r="W48" s="132"/>
      <c r="X48" s="132"/>
      <c r="Y48" s="132"/>
      <c r="Z48" s="132"/>
      <c r="AA48" s="132"/>
      <c r="AB48" s="132"/>
      <c r="AC48" s="132"/>
      <c r="AD48" s="132"/>
      <c r="AE48" s="132"/>
      <c r="AF48" s="132"/>
      <c r="AG48" s="132"/>
      <c r="AH48" s="132"/>
      <c r="AI48" s="132"/>
      <c r="AJ48" s="132"/>
      <c r="AK48" s="132"/>
      <c r="AL48" s="132"/>
      <c r="AM48" s="132"/>
      <c r="AN48" s="135" t="s">
        <v>120</v>
      </c>
      <c r="AO48" s="135"/>
      <c r="AP48" s="159"/>
      <c r="AQ48" s="144" t="s">
        <v>124</v>
      </c>
      <c r="AR48" s="106"/>
      <c r="AS48" s="106"/>
      <c r="AT48" s="106"/>
      <c r="AU48" s="106"/>
      <c r="AV48" s="106"/>
      <c r="AW48" s="106" t="s">
        <v>125</v>
      </c>
      <c r="AX48" s="106"/>
      <c r="AY48" s="106"/>
      <c r="AZ48" s="106"/>
      <c r="BA48" s="106"/>
      <c r="BB48" s="147"/>
      <c r="BC48" s="144" t="s">
        <v>124</v>
      </c>
      <c r="BD48" s="106"/>
      <c r="BE48" s="106"/>
      <c r="BF48" s="106"/>
      <c r="BG48" s="106"/>
      <c r="BH48" s="106"/>
      <c r="BI48" s="106" t="s">
        <v>125</v>
      </c>
      <c r="BJ48" s="106"/>
      <c r="BK48" s="106"/>
      <c r="BL48" s="106"/>
      <c r="BM48" s="106"/>
      <c r="BN48" s="147"/>
      <c r="BO48" s="158"/>
      <c r="BP48" s="134"/>
      <c r="BQ48" s="134"/>
      <c r="BR48" s="134"/>
      <c r="BS48" s="71"/>
      <c r="BT48" s="71"/>
      <c r="BU48" s="71"/>
      <c r="BV48" s="71"/>
      <c r="BW48" s="71"/>
      <c r="BX48" s="71"/>
      <c r="BY48" s="71"/>
      <c r="BZ48" s="71"/>
    </row>
    <row r="49" spans="1:78" ht="14.25" customHeight="1" x14ac:dyDescent="0.25">
      <c r="A49" s="106"/>
      <c r="B49" s="134"/>
      <c r="C49" s="134"/>
      <c r="D49" s="132"/>
      <c r="E49" s="132"/>
      <c r="F49" s="132"/>
      <c r="G49" s="132"/>
      <c r="H49" s="132"/>
      <c r="I49" s="132"/>
      <c r="J49" s="132"/>
      <c r="K49" s="132"/>
      <c r="L49" s="132"/>
      <c r="M49" s="132"/>
      <c r="N49" s="132"/>
      <c r="O49" s="155"/>
      <c r="P49" s="157"/>
      <c r="Q49" s="132"/>
      <c r="R49" s="132"/>
      <c r="S49" s="132"/>
      <c r="T49" s="132"/>
      <c r="U49" s="155"/>
      <c r="V49" s="156"/>
      <c r="W49" s="132"/>
      <c r="X49" s="132"/>
      <c r="Y49" s="132"/>
      <c r="Z49" s="132"/>
      <c r="AA49" s="132"/>
      <c r="AB49" s="132"/>
      <c r="AC49" s="132"/>
      <c r="AD49" s="132"/>
      <c r="AE49" s="132"/>
      <c r="AF49" s="132"/>
      <c r="AG49" s="132"/>
      <c r="AH49" s="132"/>
      <c r="AI49" s="132"/>
      <c r="AJ49" s="132"/>
      <c r="AK49" s="132"/>
      <c r="AL49" s="132"/>
      <c r="AM49" s="132"/>
      <c r="AN49" s="135"/>
      <c r="AO49" s="135"/>
      <c r="AP49" s="159"/>
      <c r="AQ49" s="144"/>
      <c r="AR49" s="106"/>
      <c r="AS49" s="106"/>
      <c r="AT49" s="106"/>
      <c r="AU49" s="106"/>
      <c r="AV49" s="106"/>
      <c r="AW49" s="106"/>
      <c r="AX49" s="106"/>
      <c r="AY49" s="106"/>
      <c r="AZ49" s="106"/>
      <c r="BA49" s="106"/>
      <c r="BB49" s="147"/>
      <c r="BC49" s="144"/>
      <c r="BD49" s="106"/>
      <c r="BE49" s="106"/>
      <c r="BF49" s="106"/>
      <c r="BG49" s="106"/>
      <c r="BH49" s="106"/>
      <c r="BI49" s="106"/>
      <c r="BJ49" s="106"/>
      <c r="BK49" s="106"/>
      <c r="BL49" s="106"/>
      <c r="BM49" s="106"/>
      <c r="BN49" s="147"/>
      <c r="BO49" s="158"/>
      <c r="BP49" s="134"/>
      <c r="BQ49" s="134"/>
      <c r="BR49" s="134"/>
      <c r="BS49" s="71"/>
      <c r="BT49" s="71"/>
      <c r="BU49" s="71"/>
      <c r="BV49" s="71"/>
      <c r="BW49" s="71"/>
      <c r="BX49" s="71"/>
      <c r="BY49" s="71"/>
      <c r="BZ49" s="71"/>
    </row>
    <row r="50" spans="1:78" ht="14.25" customHeight="1" x14ac:dyDescent="0.25">
      <c r="A50" s="106"/>
      <c r="B50" s="134"/>
      <c r="C50" s="134"/>
      <c r="D50" s="132"/>
      <c r="E50" s="132"/>
      <c r="F50" s="132"/>
      <c r="G50" s="132"/>
      <c r="H50" s="132"/>
      <c r="I50" s="132"/>
      <c r="J50" s="132"/>
      <c r="K50" s="132"/>
      <c r="L50" s="132"/>
      <c r="M50" s="132"/>
      <c r="N50" s="132"/>
      <c r="O50" s="155"/>
      <c r="P50" s="157"/>
      <c r="Q50" s="132"/>
      <c r="R50" s="132"/>
      <c r="S50" s="132"/>
      <c r="T50" s="132"/>
      <c r="U50" s="155"/>
      <c r="V50" s="176" t="s">
        <v>87</v>
      </c>
      <c r="W50" s="135"/>
      <c r="X50" s="135"/>
      <c r="Y50" s="135" t="s">
        <v>115</v>
      </c>
      <c r="Z50" s="135"/>
      <c r="AA50" s="135"/>
      <c r="AB50" s="135" t="s">
        <v>116</v>
      </c>
      <c r="AC50" s="135"/>
      <c r="AD50" s="135"/>
      <c r="AE50" s="135" t="s">
        <v>117</v>
      </c>
      <c r="AF50" s="135"/>
      <c r="AG50" s="135"/>
      <c r="AH50" s="135" t="s">
        <v>118</v>
      </c>
      <c r="AI50" s="135"/>
      <c r="AJ50" s="135"/>
      <c r="AK50" s="135" t="s">
        <v>119</v>
      </c>
      <c r="AL50" s="135"/>
      <c r="AM50" s="135"/>
      <c r="AN50" s="135"/>
      <c r="AO50" s="135"/>
      <c r="AP50" s="159"/>
      <c r="AQ50" s="144">
        <v>1</v>
      </c>
      <c r="AR50" s="106"/>
      <c r="AS50" s="106"/>
      <c r="AT50" s="106">
        <v>2</v>
      </c>
      <c r="AU50" s="106"/>
      <c r="AV50" s="106"/>
      <c r="AW50" s="106">
        <v>3</v>
      </c>
      <c r="AX50" s="106"/>
      <c r="AY50" s="106"/>
      <c r="AZ50" s="106">
        <v>4</v>
      </c>
      <c r="BA50" s="106"/>
      <c r="BB50" s="147"/>
      <c r="BC50" s="144">
        <v>1</v>
      </c>
      <c r="BD50" s="106"/>
      <c r="BE50" s="106"/>
      <c r="BF50" s="106">
        <v>2</v>
      </c>
      <c r="BG50" s="106"/>
      <c r="BH50" s="106"/>
      <c r="BI50" s="106">
        <v>3</v>
      </c>
      <c r="BJ50" s="106"/>
      <c r="BK50" s="106"/>
      <c r="BL50" s="106">
        <v>4</v>
      </c>
      <c r="BM50" s="106"/>
      <c r="BN50" s="147"/>
      <c r="BO50" s="158"/>
      <c r="BP50" s="134"/>
      <c r="BQ50" s="134"/>
      <c r="BR50" s="134"/>
      <c r="BS50" s="71"/>
      <c r="BT50" s="71"/>
      <c r="BU50" s="71"/>
      <c r="BV50" s="71"/>
      <c r="BW50" s="71"/>
      <c r="BX50" s="71"/>
      <c r="BY50" s="71"/>
      <c r="BZ50" s="71"/>
    </row>
    <row r="51" spans="1:78" ht="14.25" customHeight="1" x14ac:dyDescent="0.25">
      <c r="A51" s="106"/>
      <c r="B51" s="134"/>
      <c r="C51" s="134"/>
      <c r="D51" s="132"/>
      <c r="E51" s="132"/>
      <c r="F51" s="132"/>
      <c r="G51" s="132"/>
      <c r="H51" s="132"/>
      <c r="I51" s="132"/>
      <c r="J51" s="132"/>
      <c r="K51" s="132"/>
      <c r="L51" s="132"/>
      <c r="M51" s="132"/>
      <c r="N51" s="132"/>
      <c r="O51" s="155"/>
      <c r="P51" s="157"/>
      <c r="Q51" s="132"/>
      <c r="R51" s="132"/>
      <c r="S51" s="132"/>
      <c r="T51" s="132"/>
      <c r="U51" s="155"/>
      <c r="V51" s="176"/>
      <c r="W51" s="135"/>
      <c r="X51" s="135"/>
      <c r="Y51" s="135"/>
      <c r="Z51" s="135"/>
      <c r="AA51" s="135"/>
      <c r="AB51" s="135"/>
      <c r="AC51" s="135"/>
      <c r="AD51" s="135"/>
      <c r="AE51" s="135"/>
      <c r="AF51" s="135"/>
      <c r="AG51" s="135"/>
      <c r="AH51" s="135"/>
      <c r="AI51" s="135"/>
      <c r="AJ51" s="135"/>
      <c r="AK51" s="135"/>
      <c r="AL51" s="135"/>
      <c r="AM51" s="135"/>
      <c r="AN51" s="135"/>
      <c r="AO51" s="135"/>
      <c r="AP51" s="159"/>
      <c r="AQ51" s="144"/>
      <c r="AR51" s="106"/>
      <c r="AS51" s="106"/>
      <c r="AT51" s="106"/>
      <c r="AU51" s="106"/>
      <c r="AV51" s="106"/>
      <c r="AW51" s="106"/>
      <c r="AX51" s="106"/>
      <c r="AY51" s="106"/>
      <c r="AZ51" s="106"/>
      <c r="BA51" s="106"/>
      <c r="BB51" s="147"/>
      <c r="BC51" s="144"/>
      <c r="BD51" s="106"/>
      <c r="BE51" s="106"/>
      <c r="BF51" s="106"/>
      <c r="BG51" s="106"/>
      <c r="BH51" s="106"/>
      <c r="BI51" s="106"/>
      <c r="BJ51" s="106"/>
      <c r="BK51" s="106"/>
      <c r="BL51" s="106"/>
      <c r="BM51" s="106"/>
      <c r="BN51" s="147"/>
      <c r="BO51" s="158"/>
      <c r="BP51" s="134"/>
      <c r="BQ51" s="134"/>
      <c r="BR51" s="134"/>
      <c r="BS51" s="71"/>
      <c r="BT51" s="71"/>
      <c r="BU51" s="71"/>
      <c r="BV51" s="71"/>
      <c r="BW51" s="71"/>
      <c r="BX51" s="71"/>
      <c r="BY51" s="71"/>
      <c r="BZ51" s="71"/>
    </row>
    <row r="52" spans="1:78" ht="14.25" customHeight="1" x14ac:dyDescent="0.25">
      <c r="A52" s="106"/>
      <c r="B52" s="134"/>
      <c r="C52" s="134"/>
      <c r="D52" s="132"/>
      <c r="E52" s="132"/>
      <c r="F52" s="132"/>
      <c r="G52" s="132"/>
      <c r="H52" s="132"/>
      <c r="I52" s="132"/>
      <c r="J52" s="132"/>
      <c r="K52" s="132"/>
      <c r="L52" s="132"/>
      <c r="M52" s="132"/>
      <c r="N52" s="132"/>
      <c r="O52" s="155"/>
      <c r="P52" s="157"/>
      <c r="Q52" s="132"/>
      <c r="R52" s="132"/>
      <c r="S52" s="132"/>
      <c r="T52" s="132"/>
      <c r="U52" s="155"/>
      <c r="V52" s="176"/>
      <c r="W52" s="135"/>
      <c r="X52" s="135"/>
      <c r="Y52" s="135"/>
      <c r="Z52" s="135"/>
      <c r="AA52" s="135"/>
      <c r="AB52" s="135"/>
      <c r="AC52" s="135"/>
      <c r="AD52" s="135"/>
      <c r="AE52" s="135"/>
      <c r="AF52" s="135"/>
      <c r="AG52" s="135"/>
      <c r="AH52" s="135"/>
      <c r="AI52" s="135"/>
      <c r="AJ52" s="135"/>
      <c r="AK52" s="135"/>
      <c r="AL52" s="135"/>
      <c r="AM52" s="135"/>
      <c r="AN52" s="135"/>
      <c r="AO52" s="135"/>
      <c r="AP52" s="159"/>
      <c r="AQ52" s="157" t="s">
        <v>121</v>
      </c>
      <c r="AR52" s="132"/>
      <c r="AS52" s="132"/>
      <c r="AT52" s="132"/>
      <c r="AU52" s="132"/>
      <c r="AV52" s="132"/>
      <c r="AW52" s="132"/>
      <c r="AX52" s="132"/>
      <c r="AY52" s="132"/>
      <c r="AZ52" s="132"/>
      <c r="BA52" s="132"/>
      <c r="BB52" s="155"/>
      <c r="BC52" s="157" t="s">
        <v>122</v>
      </c>
      <c r="BD52" s="132"/>
      <c r="BE52" s="132"/>
      <c r="BF52" s="132"/>
      <c r="BG52" s="132"/>
      <c r="BH52" s="132"/>
      <c r="BI52" s="132"/>
      <c r="BJ52" s="132"/>
      <c r="BK52" s="132"/>
      <c r="BL52" s="132"/>
      <c r="BM52" s="132"/>
      <c r="BN52" s="155"/>
      <c r="BO52" s="158"/>
      <c r="BP52" s="134"/>
      <c r="BQ52" s="134"/>
      <c r="BR52" s="134"/>
      <c r="BS52" s="71"/>
      <c r="BT52" s="71"/>
      <c r="BU52" s="71"/>
      <c r="BV52" s="71"/>
      <c r="BW52" s="71"/>
      <c r="BX52" s="71"/>
      <c r="BY52" s="71"/>
      <c r="BZ52" s="71"/>
    </row>
    <row r="53" spans="1:78" ht="14.25" customHeight="1" x14ac:dyDescent="0.25">
      <c r="A53" s="106"/>
      <c r="B53" s="134"/>
      <c r="C53" s="134"/>
      <c r="D53" s="132"/>
      <c r="E53" s="132"/>
      <c r="F53" s="132"/>
      <c r="G53" s="132"/>
      <c r="H53" s="132"/>
      <c r="I53" s="132"/>
      <c r="J53" s="132"/>
      <c r="K53" s="132"/>
      <c r="L53" s="132"/>
      <c r="M53" s="132"/>
      <c r="N53" s="132"/>
      <c r="O53" s="155"/>
      <c r="P53" s="157"/>
      <c r="Q53" s="132"/>
      <c r="R53" s="132"/>
      <c r="S53" s="132"/>
      <c r="T53" s="132"/>
      <c r="U53" s="155"/>
      <c r="V53" s="176"/>
      <c r="W53" s="135"/>
      <c r="X53" s="135"/>
      <c r="Y53" s="135"/>
      <c r="Z53" s="135"/>
      <c r="AA53" s="135"/>
      <c r="AB53" s="135"/>
      <c r="AC53" s="135"/>
      <c r="AD53" s="135"/>
      <c r="AE53" s="135"/>
      <c r="AF53" s="135"/>
      <c r="AG53" s="135"/>
      <c r="AH53" s="135"/>
      <c r="AI53" s="135"/>
      <c r="AJ53" s="135"/>
      <c r="AK53" s="135"/>
      <c r="AL53" s="135"/>
      <c r="AM53" s="135"/>
      <c r="AN53" s="135"/>
      <c r="AO53" s="135"/>
      <c r="AP53" s="159"/>
      <c r="AQ53" s="157"/>
      <c r="AR53" s="132"/>
      <c r="AS53" s="132"/>
      <c r="AT53" s="132"/>
      <c r="AU53" s="132"/>
      <c r="AV53" s="132"/>
      <c r="AW53" s="132"/>
      <c r="AX53" s="132"/>
      <c r="AY53" s="132"/>
      <c r="AZ53" s="132"/>
      <c r="BA53" s="132"/>
      <c r="BB53" s="155"/>
      <c r="BC53" s="157"/>
      <c r="BD53" s="132"/>
      <c r="BE53" s="132"/>
      <c r="BF53" s="132"/>
      <c r="BG53" s="132"/>
      <c r="BH53" s="132"/>
      <c r="BI53" s="132"/>
      <c r="BJ53" s="132"/>
      <c r="BK53" s="132"/>
      <c r="BL53" s="132"/>
      <c r="BM53" s="132"/>
      <c r="BN53" s="155"/>
      <c r="BO53" s="158"/>
      <c r="BP53" s="134"/>
      <c r="BQ53" s="134"/>
      <c r="BR53" s="134"/>
      <c r="BS53" s="71"/>
      <c r="BT53" s="71"/>
      <c r="BU53" s="71"/>
      <c r="BV53" s="71"/>
      <c r="BW53" s="71"/>
      <c r="BX53" s="71"/>
      <c r="BY53" s="71"/>
      <c r="BZ53" s="71"/>
    </row>
    <row r="54" spans="1:78" ht="14.25" customHeight="1" x14ac:dyDescent="0.25">
      <c r="A54" s="106"/>
      <c r="B54" s="134"/>
      <c r="C54" s="134"/>
      <c r="D54" s="132"/>
      <c r="E54" s="132"/>
      <c r="F54" s="132"/>
      <c r="G54" s="132"/>
      <c r="H54" s="132"/>
      <c r="I54" s="132"/>
      <c r="J54" s="132"/>
      <c r="K54" s="132"/>
      <c r="L54" s="132"/>
      <c r="M54" s="132"/>
      <c r="N54" s="132"/>
      <c r="O54" s="155"/>
      <c r="P54" s="157"/>
      <c r="Q54" s="132"/>
      <c r="R54" s="132"/>
      <c r="S54" s="132"/>
      <c r="T54" s="132"/>
      <c r="U54" s="155"/>
      <c r="V54" s="176"/>
      <c r="W54" s="135"/>
      <c r="X54" s="135"/>
      <c r="Y54" s="135"/>
      <c r="Z54" s="135"/>
      <c r="AA54" s="135"/>
      <c r="AB54" s="135"/>
      <c r="AC54" s="135"/>
      <c r="AD54" s="135"/>
      <c r="AE54" s="135"/>
      <c r="AF54" s="135"/>
      <c r="AG54" s="135"/>
      <c r="AH54" s="135"/>
      <c r="AI54" s="135"/>
      <c r="AJ54" s="135"/>
      <c r="AK54" s="135"/>
      <c r="AL54" s="135"/>
      <c r="AM54" s="135"/>
      <c r="AN54" s="135"/>
      <c r="AO54" s="135"/>
      <c r="AP54" s="159"/>
      <c r="AQ54" s="144">
        <v>15</v>
      </c>
      <c r="AR54" s="106"/>
      <c r="AS54" s="106"/>
      <c r="AT54" s="106">
        <v>15</v>
      </c>
      <c r="AU54" s="106"/>
      <c r="AV54" s="106"/>
      <c r="AW54" s="106">
        <v>15</v>
      </c>
      <c r="AX54" s="106"/>
      <c r="AY54" s="106"/>
      <c r="AZ54" s="106">
        <v>15</v>
      </c>
      <c r="BA54" s="106"/>
      <c r="BB54" s="147"/>
      <c r="BC54" s="144">
        <v>15</v>
      </c>
      <c r="BD54" s="106"/>
      <c r="BE54" s="106"/>
      <c r="BF54" s="106">
        <v>15</v>
      </c>
      <c r="BG54" s="106"/>
      <c r="BH54" s="106"/>
      <c r="BI54" s="106">
        <v>15</v>
      </c>
      <c r="BJ54" s="106"/>
      <c r="BK54" s="106"/>
      <c r="BL54" s="106">
        <v>15</v>
      </c>
      <c r="BM54" s="106"/>
      <c r="BN54" s="147"/>
      <c r="BO54" s="158"/>
      <c r="BP54" s="134"/>
      <c r="BQ54" s="134"/>
      <c r="BR54" s="134"/>
      <c r="BS54" s="71"/>
      <c r="BT54" s="71"/>
      <c r="BU54" s="71"/>
      <c r="BV54" s="71"/>
      <c r="BW54" s="71"/>
      <c r="BX54" s="71"/>
      <c r="BY54" s="71"/>
      <c r="BZ54" s="71"/>
    </row>
    <row r="55" spans="1:78" ht="14.25" customHeight="1" x14ac:dyDescent="0.25">
      <c r="A55" s="106"/>
      <c r="B55" s="134"/>
      <c r="C55" s="134"/>
      <c r="D55" s="132"/>
      <c r="E55" s="132"/>
      <c r="F55" s="132"/>
      <c r="G55" s="132"/>
      <c r="H55" s="132"/>
      <c r="I55" s="132"/>
      <c r="J55" s="132"/>
      <c r="K55" s="132"/>
      <c r="L55" s="132"/>
      <c r="M55" s="132"/>
      <c r="N55" s="132"/>
      <c r="O55" s="155"/>
      <c r="P55" s="144" t="s">
        <v>110</v>
      </c>
      <c r="Q55" s="106"/>
      <c r="R55" s="106"/>
      <c r="S55" s="106" t="s">
        <v>5</v>
      </c>
      <c r="T55" s="106"/>
      <c r="U55" s="147"/>
      <c r="V55" s="176"/>
      <c r="W55" s="135"/>
      <c r="X55" s="135"/>
      <c r="Y55" s="135"/>
      <c r="Z55" s="135"/>
      <c r="AA55" s="135"/>
      <c r="AB55" s="135"/>
      <c r="AC55" s="135"/>
      <c r="AD55" s="135"/>
      <c r="AE55" s="135"/>
      <c r="AF55" s="135"/>
      <c r="AG55" s="135"/>
      <c r="AH55" s="135"/>
      <c r="AI55" s="135"/>
      <c r="AJ55" s="135"/>
      <c r="AK55" s="135"/>
      <c r="AL55" s="135"/>
      <c r="AM55" s="135"/>
      <c r="AN55" s="135"/>
      <c r="AO55" s="135"/>
      <c r="AP55" s="159"/>
      <c r="AQ55" s="144"/>
      <c r="AR55" s="106"/>
      <c r="AS55" s="106"/>
      <c r="AT55" s="106"/>
      <c r="AU55" s="106"/>
      <c r="AV55" s="106"/>
      <c r="AW55" s="106"/>
      <c r="AX55" s="106"/>
      <c r="AY55" s="106"/>
      <c r="AZ55" s="106"/>
      <c r="BA55" s="106"/>
      <c r="BB55" s="147"/>
      <c r="BC55" s="144"/>
      <c r="BD55" s="106"/>
      <c r="BE55" s="106"/>
      <c r="BF55" s="106"/>
      <c r="BG55" s="106"/>
      <c r="BH55" s="106"/>
      <c r="BI55" s="106"/>
      <c r="BJ55" s="106"/>
      <c r="BK55" s="106"/>
      <c r="BL55" s="106"/>
      <c r="BM55" s="106"/>
      <c r="BN55" s="147"/>
      <c r="BO55" s="158"/>
      <c r="BP55" s="134"/>
      <c r="BQ55" s="134"/>
      <c r="BR55" s="134"/>
      <c r="BS55" s="71"/>
      <c r="BT55" s="71"/>
      <c r="BU55" s="71"/>
      <c r="BV55" s="71"/>
      <c r="BW55" s="71"/>
      <c r="BX55" s="71"/>
      <c r="BY55" s="71"/>
      <c r="BZ55" s="71"/>
    </row>
    <row r="56" spans="1:78" ht="14.25" customHeight="1" x14ac:dyDescent="0.25">
      <c r="A56" s="72">
        <v>1</v>
      </c>
      <c r="B56" s="130"/>
      <c r="C56" s="130"/>
      <c r="D56" s="106">
        <v>2</v>
      </c>
      <c r="E56" s="106"/>
      <c r="F56" s="106"/>
      <c r="G56" s="106"/>
      <c r="H56" s="106"/>
      <c r="I56" s="106"/>
      <c r="J56" s="106"/>
      <c r="K56" s="106"/>
      <c r="L56" s="106"/>
      <c r="M56" s="106"/>
      <c r="N56" s="106"/>
      <c r="O56" s="147"/>
      <c r="P56" s="144">
        <v>3</v>
      </c>
      <c r="Q56" s="106"/>
      <c r="R56" s="106"/>
      <c r="S56" s="106">
        <v>4</v>
      </c>
      <c r="T56" s="106"/>
      <c r="U56" s="147"/>
      <c r="V56" s="152">
        <v>5</v>
      </c>
      <c r="W56" s="106"/>
      <c r="X56" s="106"/>
      <c r="Y56" s="106">
        <v>6</v>
      </c>
      <c r="Z56" s="106"/>
      <c r="AA56" s="106"/>
      <c r="AB56" s="106">
        <v>7</v>
      </c>
      <c r="AC56" s="106"/>
      <c r="AD56" s="106"/>
      <c r="AE56" s="106">
        <v>8</v>
      </c>
      <c r="AF56" s="106"/>
      <c r="AG56" s="106"/>
      <c r="AH56" s="106">
        <v>9</v>
      </c>
      <c r="AI56" s="106"/>
      <c r="AJ56" s="106"/>
      <c r="AK56" s="106">
        <v>10</v>
      </c>
      <c r="AL56" s="106"/>
      <c r="AM56" s="106"/>
      <c r="AN56" s="106">
        <v>11</v>
      </c>
      <c r="AO56" s="106"/>
      <c r="AP56" s="147"/>
      <c r="AQ56" s="144">
        <v>12</v>
      </c>
      <c r="AR56" s="106"/>
      <c r="AS56" s="106"/>
      <c r="AT56" s="106">
        <v>13</v>
      </c>
      <c r="AU56" s="106"/>
      <c r="AV56" s="106"/>
      <c r="AW56" s="106">
        <v>14</v>
      </c>
      <c r="AX56" s="106"/>
      <c r="AY56" s="106"/>
      <c r="AZ56" s="106">
        <v>15</v>
      </c>
      <c r="BA56" s="106"/>
      <c r="BB56" s="147"/>
      <c r="BC56" s="144">
        <v>16</v>
      </c>
      <c r="BD56" s="106"/>
      <c r="BE56" s="106"/>
      <c r="BF56" s="106">
        <v>17</v>
      </c>
      <c r="BG56" s="106"/>
      <c r="BH56" s="106"/>
      <c r="BI56" s="106">
        <v>18</v>
      </c>
      <c r="BJ56" s="106"/>
      <c r="BK56" s="106"/>
      <c r="BL56" s="106">
        <v>19</v>
      </c>
      <c r="BM56" s="106"/>
      <c r="BN56" s="147"/>
      <c r="BO56" s="152">
        <v>20</v>
      </c>
      <c r="BP56" s="106"/>
      <c r="BQ56" s="106"/>
      <c r="BR56" s="106"/>
      <c r="BS56" s="71"/>
      <c r="BT56" s="71"/>
      <c r="BU56" s="71"/>
      <c r="BV56" s="71"/>
      <c r="BW56" s="71"/>
      <c r="BX56" s="71"/>
      <c r="BY56" s="71"/>
      <c r="BZ56" s="71"/>
    </row>
    <row r="57" spans="1:78" ht="14.25" customHeight="1" x14ac:dyDescent="0.25">
      <c r="A57" s="72" t="s">
        <v>6</v>
      </c>
      <c r="B57" s="130"/>
      <c r="C57" s="130"/>
      <c r="D57" s="182" t="s">
        <v>111</v>
      </c>
      <c r="E57" s="182"/>
      <c r="F57" s="182"/>
      <c r="G57" s="182"/>
      <c r="H57" s="182"/>
      <c r="I57" s="182"/>
      <c r="J57" s="182"/>
      <c r="K57" s="182"/>
      <c r="L57" s="182"/>
      <c r="M57" s="182"/>
      <c r="N57" s="182"/>
      <c r="O57" s="183"/>
      <c r="P57" s="144">
        <f>SUM(V57+AN57)</f>
        <v>1470</v>
      </c>
      <c r="Q57" s="106"/>
      <c r="R57" s="106"/>
      <c r="S57" s="131">
        <f>P57/3600*100</f>
        <v>40.833333333333336</v>
      </c>
      <c r="T57" s="131"/>
      <c r="U57" s="151"/>
      <c r="V57" s="152">
        <f t="shared" ref="V57" si="5">SUM(AQ57+AT57+AW57+AZ57)*15</f>
        <v>570</v>
      </c>
      <c r="W57" s="106"/>
      <c r="X57" s="106"/>
      <c r="Y57" s="106">
        <f>SUM(Y58:AA67)</f>
        <v>94</v>
      </c>
      <c r="Z57" s="106"/>
      <c r="AA57" s="106"/>
      <c r="AB57" s="106">
        <f>SUM(AB58:AD67)</f>
        <v>70</v>
      </c>
      <c r="AC57" s="106"/>
      <c r="AD57" s="106"/>
      <c r="AE57" s="106">
        <f>SUM(AE58:AG67)</f>
        <v>360</v>
      </c>
      <c r="AF57" s="106"/>
      <c r="AG57" s="106"/>
      <c r="AH57" s="106">
        <f>SUM(AH58:AJ67)</f>
        <v>46</v>
      </c>
      <c r="AI57" s="106"/>
      <c r="AJ57" s="106"/>
      <c r="AK57" s="106">
        <f>SUM(AK58:AM67)</f>
        <v>0</v>
      </c>
      <c r="AL57" s="106"/>
      <c r="AM57" s="106"/>
      <c r="AN57" s="106">
        <f>SUM(AN58:AP67)</f>
        <v>900</v>
      </c>
      <c r="AO57" s="106"/>
      <c r="AP57" s="147"/>
      <c r="AQ57" s="144">
        <f>SUM(AQ58:AS67)</f>
        <v>16</v>
      </c>
      <c r="AR57" s="106"/>
      <c r="AS57" s="106"/>
      <c r="AT57" s="106">
        <f>SUM(AT58:AV67)</f>
        <v>6</v>
      </c>
      <c r="AU57" s="106"/>
      <c r="AV57" s="106"/>
      <c r="AW57" s="106">
        <f>SUM(AW58:AY67)</f>
        <v>10</v>
      </c>
      <c r="AX57" s="106"/>
      <c r="AY57" s="106"/>
      <c r="AZ57" s="106">
        <f>SUM(AZ58:BB67)</f>
        <v>6</v>
      </c>
      <c r="BA57" s="106"/>
      <c r="BB57" s="147"/>
      <c r="BC57" s="144">
        <f>SUM(BC58:BE67)</f>
        <v>22</v>
      </c>
      <c r="BD57" s="106"/>
      <c r="BE57" s="106"/>
      <c r="BF57" s="106">
        <f>SUM(BF58:BH67)</f>
        <v>7</v>
      </c>
      <c r="BG57" s="106"/>
      <c r="BH57" s="106"/>
      <c r="BI57" s="106">
        <f>SUM(BI58:BK67)</f>
        <v>12</v>
      </c>
      <c r="BJ57" s="106"/>
      <c r="BK57" s="106"/>
      <c r="BL57" s="106">
        <f>SUM(BL58:BN67)</f>
        <v>8</v>
      </c>
      <c r="BM57" s="106"/>
      <c r="BN57" s="147"/>
      <c r="BO57" s="148">
        <f>SUM(P57/30)</f>
        <v>49</v>
      </c>
      <c r="BP57" s="105"/>
      <c r="BQ57" s="105"/>
      <c r="BR57" s="105"/>
      <c r="BS57" s="71"/>
      <c r="BT57" s="71"/>
      <c r="BU57" s="71"/>
      <c r="BV57" s="71"/>
      <c r="BW57" s="71"/>
      <c r="BX57" s="71"/>
      <c r="BY57" s="71"/>
      <c r="BZ57" s="71"/>
    </row>
    <row r="58" spans="1:78" ht="14.25" customHeight="1" x14ac:dyDescent="0.25">
      <c r="A58" s="14" t="s">
        <v>7</v>
      </c>
      <c r="B58" s="104" t="s">
        <v>31</v>
      </c>
      <c r="C58" s="104"/>
      <c r="D58" s="149" t="s">
        <v>142</v>
      </c>
      <c r="E58" s="149"/>
      <c r="F58" s="149"/>
      <c r="G58" s="149"/>
      <c r="H58" s="149"/>
      <c r="I58" s="149"/>
      <c r="J58" s="149"/>
      <c r="K58" s="149"/>
      <c r="L58" s="149"/>
      <c r="M58" s="149"/>
      <c r="N58" s="149"/>
      <c r="O58" s="150"/>
      <c r="P58" s="144">
        <f t="shared" ref="P58:P59" si="6">SUM(V58+AN58)</f>
        <v>90</v>
      </c>
      <c r="Q58" s="106"/>
      <c r="R58" s="106"/>
      <c r="S58" s="131"/>
      <c r="T58" s="131"/>
      <c r="U58" s="151"/>
      <c r="V58" s="152">
        <f t="shared" ref="V58:V59" si="7">SUM(AQ58+AT58+AW58+AZ58)*15</f>
        <v>30</v>
      </c>
      <c r="W58" s="106"/>
      <c r="X58" s="106"/>
      <c r="Y58" s="104">
        <v>16</v>
      </c>
      <c r="Z58" s="104"/>
      <c r="AA58" s="104"/>
      <c r="AB58" s="104">
        <v>14</v>
      </c>
      <c r="AC58" s="104"/>
      <c r="AD58" s="104"/>
      <c r="AE58" s="104"/>
      <c r="AF58" s="104"/>
      <c r="AG58" s="104"/>
      <c r="AH58" s="104"/>
      <c r="AI58" s="104"/>
      <c r="AJ58" s="104"/>
      <c r="AK58" s="104"/>
      <c r="AL58" s="104"/>
      <c r="AM58" s="104"/>
      <c r="AN58" s="104">
        <v>60</v>
      </c>
      <c r="AO58" s="104"/>
      <c r="AP58" s="145"/>
      <c r="AQ58" s="146">
        <v>2</v>
      </c>
      <c r="AR58" s="104"/>
      <c r="AS58" s="104"/>
      <c r="AT58" s="104"/>
      <c r="AU58" s="104"/>
      <c r="AV58" s="104"/>
      <c r="AW58" s="104"/>
      <c r="AX58" s="104"/>
      <c r="AY58" s="104"/>
      <c r="AZ58" s="104"/>
      <c r="BA58" s="104"/>
      <c r="BB58" s="145"/>
      <c r="BC58" s="146">
        <v>3</v>
      </c>
      <c r="BD58" s="104"/>
      <c r="BE58" s="104"/>
      <c r="BF58" s="104"/>
      <c r="BG58" s="104"/>
      <c r="BH58" s="104"/>
      <c r="BI58" s="104"/>
      <c r="BJ58" s="104"/>
      <c r="BK58" s="104"/>
      <c r="BL58" s="104"/>
      <c r="BM58" s="104"/>
      <c r="BN58" s="145"/>
      <c r="BO58" s="148">
        <f t="shared" ref="BO58:BO59" si="8">SUM(P58/30)</f>
        <v>3</v>
      </c>
      <c r="BP58" s="105"/>
      <c r="BQ58" s="105"/>
      <c r="BR58" s="105"/>
      <c r="BS58" s="71">
        <f>SUM(V58/P58)*100</f>
        <v>33.333333333333329</v>
      </c>
      <c r="BT58" s="71">
        <f>SUM(AN58/P58)*100</f>
        <v>66.666666666666657</v>
      </c>
      <c r="BU58" s="71">
        <f>SUM(Y58:AJ58)</f>
        <v>30</v>
      </c>
      <c r="BV58" s="15">
        <f>IF(BU58=V58,1,0)</f>
        <v>1</v>
      </c>
      <c r="BW58" s="15" t="str">
        <f>IF(BV58=1,"тўғри","хато")</f>
        <v>тўғри</v>
      </c>
      <c r="BX58" s="71">
        <f>SUM(BC58:BN58)</f>
        <v>3</v>
      </c>
      <c r="BY58" s="15">
        <f>IF(BX58=BO58,1,0)</f>
        <v>1</v>
      </c>
      <c r="BZ58" s="15" t="str">
        <f>IF(BY58=1,"тўғри","хато")</f>
        <v>тўғри</v>
      </c>
    </row>
    <row r="59" spans="1:78" ht="14.25" customHeight="1" x14ac:dyDescent="0.25">
      <c r="A59" s="14" t="s">
        <v>8</v>
      </c>
      <c r="B59" s="104" t="s">
        <v>213</v>
      </c>
      <c r="C59" s="104"/>
      <c r="D59" s="149" t="s">
        <v>143</v>
      </c>
      <c r="E59" s="149"/>
      <c r="F59" s="149"/>
      <c r="G59" s="149"/>
      <c r="H59" s="149"/>
      <c r="I59" s="149"/>
      <c r="J59" s="149"/>
      <c r="K59" s="149"/>
      <c r="L59" s="149"/>
      <c r="M59" s="149"/>
      <c r="N59" s="149"/>
      <c r="O59" s="150"/>
      <c r="P59" s="144">
        <f t="shared" si="6"/>
        <v>90</v>
      </c>
      <c r="Q59" s="106"/>
      <c r="R59" s="106"/>
      <c r="S59" s="131"/>
      <c r="T59" s="131"/>
      <c r="U59" s="151"/>
      <c r="V59" s="152">
        <f t="shared" si="7"/>
        <v>30</v>
      </c>
      <c r="W59" s="106"/>
      <c r="X59" s="106"/>
      <c r="Y59" s="104">
        <v>16</v>
      </c>
      <c r="Z59" s="104"/>
      <c r="AA59" s="104"/>
      <c r="AB59" s="104">
        <v>14</v>
      </c>
      <c r="AC59" s="104"/>
      <c r="AD59" s="104"/>
      <c r="AE59" s="104"/>
      <c r="AF59" s="104"/>
      <c r="AG59" s="104"/>
      <c r="AH59" s="104"/>
      <c r="AI59" s="104"/>
      <c r="AJ59" s="104"/>
      <c r="AK59" s="104"/>
      <c r="AL59" s="104"/>
      <c r="AM59" s="104"/>
      <c r="AN59" s="104">
        <v>60</v>
      </c>
      <c r="AO59" s="104"/>
      <c r="AP59" s="145"/>
      <c r="AQ59" s="146"/>
      <c r="AR59" s="104"/>
      <c r="AS59" s="104"/>
      <c r="AT59" s="104"/>
      <c r="AU59" s="104"/>
      <c r="AV59" s="104"/>
      <c r="AW59" s="104">
        <v>2</v>
      </c>
      <c r="AX59" s="104"/>
      <c r="AY59" s="104"/>
      <c r="AZ59" s="104"/>
      <c r="BA59" s="104"/>
      <c r="BB59" s="145"/>
      <c r="BC59" s="146"/>
      <c r="BD59" s="104"/>
      <c r="BE59" s="104"/>
      <c r="BF59" s="104"/>
      <c r="BG59" s="104"/>
      <c r="BH59" s="104"/>
      <c r="BI59" s="104">
        <v>3</v>
      </c>
      <c r="BJ59" s="104"/>
      <c r="BK59" s="104"/>
      <c r="BL59" s="104"/>
      <c r="BM59" s="104"/>
      <c r="BN59" s="145"/>
      <c r="BO59" s="148">
        <f t="shared" si="8"/>
        <v>3</v>
      </c>
      <c r="BP59" s="105"/>
      <c r="BQ59" s="105"/>
      <c r="BR59" s="105"/>
      <c r="BS59" s="71">
        <f t="shared" ref="BS59" si="9">SUM(V59/P59)*100</f>
        <v>33.333333333333329</v>
      </c>
      <c r="BT59" s="71">
        <f t="shared" ref="BT59" si="10">SUM(AN59/P59)*100</f>
        <v>66.666666666666657</v>
      </c>
      <c r="BU59" s="71">
        <f t="shared" ref="BU59" si="11">SUM(Y59:AJ59)</f>
        <v>30</v>
      </c>
      <c r="BV59" s="15">
        <f t="shared" ref="BV59" si="12">IF(BU59=V59,1,0)</f>
        <v>1</v>
      </c>
      <c r="BW59" s="15" t="str">
        <f t="shared" ref="BW59" si="13">IF(BV59=1,"тўғри","хато")</f>
        <v>тўғри</v>
      </c>
      <c r="BX59" s="71">
        <f t="shared" ref="BX59" si="14">SUM(BC59:BN59)</f>
        <v>3</v>
      </c>
      <c r="BY59" s="15">
        <f t="shared" ref="BY59" si="15">IF(BX59=BO59,1,0)</f>
        <v>1</v>
      </c>
      <c r="BZ59" s="15" t="str">
        <f t="shared" ref="BZ59" si="16">IF(BY59=1,"тўғри","хато")</f>
        <v>тўғри</v>
      </c>
    </row>
    <row r="60" spans="1:78" ht="14.25" customHeight="1" x14ac:dyDescent="0.25">
      <c r="A60" s="14" t="s">
        <v>23</v>
      </c>
      <c r="B60" s="104" t="s">
        <v>43</v>
      </c>
      <c r="C60" s="104"/>
      <c r="D60" s="149" t="s">
        <v>168</v>
      </c>
      <c r="E60" s="149"/>
      <c r="F60" s="149"/>
      <c r="G60" s="149"/>
      <c r="H60" s="149"/>
      <c r="I60" s="149"/>
      <c r="J60" s="149"/>
      <c r="K60" s="149"/>
      <c r="L60" s="149"/>
      <c r="M60" s="149"/>
      <c r="N60" s="149"/>
      <c r="O60" s="150"/>
      <c r="P60" s="144">
        <f t="shared" ref="P60:P63" si="17">SUM(V60+AN60)</f>
        <v>270</v>
      </c>
      <c r="Q60" s="106"/>
      <c r="R60" s="106"/>
      <c r="S60" s="106"/>
      <c r="T60" s="106"/>
      <c r="U60" s="147"/>
      <c r="V60" s="152">
        <f t="shared" ref="V60:V69" si="18">SUM(AQ60+AT60+AW60+AZ60)*15</f>
        <v>120</v>
      </c>
      <c r="W60" s="106"/>
      <c r="X60" s="106"/>
      <c r="Y60" s="104"/>
      <c r="Z60" s="104"/>
      <c r="AA60" s="104"/>
      <c r="AB60" s="104"/>
      <c r="AC60" s="104"/>
      <c r="AD60" s="104"/>
      <c r="AE60" s="104">
        <v>120</v>
      </c>
      <c r="AF60" s="104"/>
      <c r="AG60" s="104"/>
      <c r="AH60" s="104"/>
      <c r="AI60" s="104"/>
      <c r="AJ60" s="104"/>
      <c r="AK60" s="106"/>
      <c r="AL60" s="106"/>
      <c r="AM60" s="106"/>
      <c r="AN60" s="104">
        <v>150</v>
      </c>
      <c r="AO60" s="104"/>
      <c r="AP60" s="145"/>
      <c r="AQ60" s="146">
        <v>2</v>
      </c>
      <c r="AR60" s="104"/>
      <c r="AS60" s="104"/>
      <c r="AT60" s="104">
        <v>2</v>
      </c>
      <c r="AU60" s="104"/>
      <c r="AV60" s="104"/>
      <c r="AW60" s="104">
        <v>2</v>
      </c>
      <c r="AX60" s="104"/>
      <c r="AY60" s="104"/>
      <c r="AZ60" s="104">
        <v>2</v>
      </c>
      <c r="BA60" s="104"/>
      <c r="BB60" s="145"/>
      <c r="BC60" s="146">
        <v>2</v>
      </c>
      <c r="BD60" s="104"/>
      <c r="BE60" s="104"/>
      <c r="BF60" s="104">
        <v>2</v>
      </c>
      <c r="BG60" s="104"/>
      <c r="BH60" s="104"/>
      <c r="BI60" s="104">
        <v>2</v>
      </c>
      <c r="BJ60" s="104"/>
      <c r="BK60" s="104"/>
      <c r="BL60" s="104">
        <v>3</v>
      </c>
      <c r="BM60" s="104"/>
      <c r="BN60" s="145"/>
      <c r="BO60" s="148">
        <f t="shared" ref="BO60:BO77" si="19">SUM(P60/30)</f>
        <v>9</v>
      </c>
      <c r="BP60" s="105"/>
      <c r="BQ60" s="105"/>
      <c r="BR60" s="105"/>
      <c r="BS60" s="71">
        <f t="shared" ref="BS60:BS83" si="20">SUM(V60/P60)*100</f>
        <v>44.444444444444443</v>
      </c>
      <c r="BT60" s="71">
        <f t="shared" ref="BT60:BT83" si="21">SUM(AN60/P60)*100</f>
        <v>55.555555555555557</v>
      </c>
      <c r="BU60" s="71">
        <f t="shared" ref="BU60:BU65" si="22">SUM(Y60:AJ60)</f>
        <v>120</v>
      </c>
      <c r="BV60" s="15">
        <f t="shared" ref="BV60:BV78" si="23">IF(BU60=V60,1,0)</f>
        <v>1</v>
      </c>
      <c r="BW60" s="15" t="str">
        <f t="shared" ref="BW60:BW78" si="24">IF(BV60=1,"тўғри","хато")</f>
        <v>тўғри</v>
      </c>
      <c r="BX60" s="71">
        <f t="shared" ref="BX60:BX83" si="25">SUM(BC60:BN60)</f>
        <v>9</v>
      </c>
      <c r="BY60" s="15">
        <f t="shared" ref="BY60:BY83" si="26">IF(BX60=BO60,1,0)</f>
        <v>1</v>
      </c>
      <c r="BZ60" s="15" t="str">
        <f t="shared" ref="BZ60:BZ83" si="27">IF(BY60=1,"тўғри","хато")</f>
        <v>тўғри</v>
      </c>
    </row>
    <row r="61" spans="1:78" ht="28.5" customHeight="1" x14ac:dyDescent="0.25">
      <c r="A61" s="14" t="s">
        <v>24</v>
      </c>
      <c r="B61" s="104" t="s">
        <v>44</v>
      </c>
      <c r="C61" s="104"/>
      <c r="D61" s="180" t="s">
        <v>169</v>
      </c>
      <c r="E61" s="180"/>
      <c r="F61" s="180"/>
      <c r="G61" s="180"/>
      <c r="H61" s="180"/>
      <c r="I61" s="180"/>
      <c r="J61" s="180"/>
      <c r="K61" s="180"/>
      <c r="L61" s="180"/>
      <c r="M61" s="180"/>
      <c r="N61" s="180"/>
      <c r="O61" s="181"/>
      <c r="P61" s="144">
        <f t="shared" si="17"/>
        <v>270</v>
      </c>
      <c r="Q61" s="106"/>
      <c r="R61" s="106"/>
      <c r="S61" s="106"/>
      <c r="T61" s="106"/>
      <c r="U61" s="147"/>
      <c r="V61" s="152">
        <f t="shared" si="18"/>
        <v>120</v>
      </c>
      <c r="W61" s="106"/>
      <c r="X61" s="106"/>
      <c r="Y61" s="104"/>
      <c r="Z61" s="104"/>
      <c r="AA61" s="104"/>
      <c r="AB61" s="104"/>
      <c r="AC61" s="104"/>
      <c r="AD61" s="104"/>
      <c r="AE61" s="104">
        <v>120</v>
      </c>
      <c r="AF61" s="104"/>
      <c r="AG61" s="104"/>
      <c r="AH61" s="104"/>
      <c r="AI61" s="104"/>
      <c r="AJ61" s="104"/>
      <c r="AK61" s="106"/>
      <c r="AL61" s="106"/>
      <c r="AM61" s="106"/>
      <c r="AN61" s="104">
        <v>150</v>
      </c>
      <c r="AO61" s="104"/>
      <c r="AP61" s="145"/>
      <c r="AQ61" s="146">
        <v>2</v>
      </c>
      <c r="AR61" s="104"/>
      <c r="AS61" s="104"/>
      <c r="AT61" s="104">
        <v>2</v>
      </c>
      <c r="AU61" s="104"/>
      <c r="AV61" s="104"/>
      <c r="AW61" s="104">
        <v>2</v>
      </c>
      <c r="AX61" s="104"/>
      <c r="AY61" s="104"/>
      <c r="AZ61" s="104">
        <v>2</v>
      </c>
      <c r="BA61" s="104"/>
      <c r="BB61" s="145"/>
      <c r="BC61" s="146">
        <v>2</v>
      </c>
      <c r="BD61" s="104"/>
      <c r="BE61" s="104"/>
      <c r="BF61" s="104">
        <v>2</v>
      </c>
      <c r="BG61" s="104"/>
      <c r="BH61" s="104"/>
      <c r="BI61" s="104">
        <v>2</v>
      </c>
      <c r="BJ61" s="104"/>
      <c r="BK61" s="104"/>
      <c r="BL61" s="104">
        <v>3</v>
      </c>
      <c r="BM61" s="104"/>
      <c r="BN61" s="145"/>
      <c r="BO61" s="148">
        <f t="shared" si="19"/>
        <v>9</v>
      </c>
      <c r="BP61" s="105"/>
      <c r="BQ61" s="105"/>
      <c r="BR61" s="105"/>
      <c r="BS61" s="71">
        <f t="shared" si="20"/>
        <v>44.444444444444443</v>
      </c>
      <c r="BT61" s="71">
        <f t="shared" si="21"/>
        <v>55.555555555555557</v>
      </c>
      <c r="BU61" s="71">
        <f t="shared" si="22"/>
        <v>120</v>
      </c>
      <c r="BV61" s="15">
        <f t="shared" si="23"/>
        <v>1</v>
      </c>
      <c r="BW61" s="15" t="str">
        <f t="shared" si="24"/>
        <v>тўғри</v>
      </c>
      <c r="BX61" s="71">
        <f t="shared" si="25"/>
        <v>9</v>
      </c>
      <c r="BY61" s="15">
        <f t="shared" si="26"/>
        <v>1</v>
      </c>
      <c r="BZ61" s="15" t="str">
        <f t="shared" si="27"/>
        <v>тўғри</v>
      </c>
    </row>
    <row r="62" spans="1:78" ht="14.25" customHeight="1" x14ac:dyDescent="0.25">
      <c r="A62" s="14" t="s">
        <v>25</v>
      </c>
      <c r="B62" s="104" t="s">
        <v>42</v>
      </c>
      <c r="C62" s="104"/>
      <c r="D62" s="149" t="s">
        <v>170</v>
      </c>
      <c r="E62" s="149"/>
      <c r="F62" s="149"/>
      <c r="G62" s="149"/>
      <c r="H62" s="149"/>
      <c r="I62" s="149"/>
      <c r="J62" s="149"/>
      <c r="K62" s="149"/>
      <c r="L62" s="149"/>
      <c r="M62" s="149"/>
      <c r="N62" s="149"/>
      <c r="O62" s="150"/>
      <c r="P62" s="144">
        <f t="shared" si="17"/>
        <v>300</v>
      </c>
      <c r="Q62" s="106"/>
      <c r="R62" s="106"/>
      <c r="S62" s="106"/>
      <c r="T62" s="106"/>
      <c r="U62" s="147"/>
      <c r="V62" s="152">
        <f t="shared" si="18"/>
        <v>120</v>
      </c>
      <c r="W62" s="106"/>
      <c r="X62" s="106"/>
      <c r="Y62" s="104"/>
      <c r="Z62" s="104"/>
      <c r="AA62" s="104"/>
      <c r="AB62" s="104"/>
      <c r="AC62" s="104"/>
      <c r="AD62" s="104"/>
      <c r="AE62" s="104">
        <v>120</v>
      </c>
      <c r="AF62" s="104"/>
      <c r="AG62" s="104"/>
      <c r="AH62" s="104"/>
      <c r="AI62" s="104"/>
      <c r="AJ62" s="104"/>
      <c r="AK62" s="106"/>
      <c r="AL62" s="106"/>
      <c r="AM62" s="106"/>
      <c r="AN62" s="104">
        <v>180</v>
      </c>
      <c r="AO62" s="104"/>
      <c r="AP62" s="145"/>
      <c r="AQ62" s="146">
        <v>2</v>
      </c>
      <c r="AR62" s="104"/>
      <c r="AS62" s="104"/>
      <c r="AT62" s="104">
        <v>2</v>
      </c>
      <c r="AU62" s="104"/>
      <c r="AV62" s="104"/>
      <c r="AW62" s="104">
        <v>2</v>
      </c>
      <c r="AX62" s="104"/>
      <c r="AY62" s="104"/>
      <c r="AZ62" s="104">
        <v>2</v>
      </c>
      <c r="BA62" s="104"/>
      <c r="BB62" s="145"/>
      <c r="BC62" s="146">
        <v>3</v>
      </c>
      <c r="BD62" s="104"/>
      <c r="BE62" s="104"/>
      <c r="BF62" s="104">
        <v>3</v>
      </c>
      <c r="BG62" s="104"/>
      <c r="BH62" s="104"/>
      <c r="BI62" s="104">
        <v>2</v>
      </c>
      <c r="BJ62" s="104"/>
      <c r="BK62" s="104"/>
      <c r="BL62" s="104">
        <v>2</v>
      </c>
      <c r="BM62" s="104"/>
      <c r="BN62" s="145"/>
      <c r="BO62" s="148">
        <f t="shared" si="19"/>
        <v>10</v>
      </c>
      <c r="BP62" s="105"/>
      <c r="BQ62" s="105"/>
      <c r="BR62" s="105"/>
      <c r="BS62" s="71">
        <f t="shared" si="20"/>
        <v>40</v>
      </c>
      <c r="BT62" s="71">
        <f t="shared" si="21"/>
        <v>60</v>
      </c>
      <c r="BU62" s="71">
        <f t="shared" si="22"/>
        <v>120</v>
      </c>
      <c r="BV62" s="15">
        <f t="shared" si="23"/>
        <v>1</v>
      </c>
      <c r="BW62" s="15" t="str">
        <f t="shared" si="24"/>
        <v>тўғри</v>
      </c>
      <c r="BX62" s="71">
        <f t="shared" si="25"/>
        <v>10</v>
      </c>
      <c r="BY62" s="15">
        <f t="shared" si="26"/>
        <v>1</v>
      </c>
      <c r="BZ62" s="15" t="str">
        <f t="shared" si="27"/>
        <v>тўғри</v>
      </c>
    </row>
    <row r="63" spans="1:78" ht="14.25" customHeight="1" x14ac:dyDescent="0.25">
      <c r="A63" s="14" t="s">
        <v>26</v>
      </c>
      <c r="B63" s="104" t="s">
        <v>34</v>
      </c>
      <c r="C63" s="104"/>
      <c r="D63" s="149" t="s">
        <v>151</v>
      </c>
      <c r="E63" s="149"/>
      <c r="F63" s="149"/>
      <c r="G63" s="149"/>
      <c r="H63" s="149"/>
      <c r="I63" s="149"/>
      <c r="J63" s="149"/>
      <c r="K63" s="149"/>
      <c r="L63" s="149"/>
      <c r="M63" s="149"/>
      <c r="N63" s="149"/>
      <c r="O63" s="150"/>
      <c r="P63" s="144">
        <f t="shared" si="17"/>
        <v>90</v>
      </c>
      <c r="Q63" s="106"/>
      <c r="R63" s="106"/>
      <c r="S63" s="127"/>
      <c r="T63" s="127"/>
      <c r="U63" s="208"/>
      <c r="V63" s="152">
        <f t="shared" si="18"/>
        <v>30</v>
      </c>
      <c r="W63" s="106"/>
      <c r="X63" s="106"/>
      <c r="Y63" s="104">
        <v>10</v>
      </c>
      <c r="Z63" s="104"/>
      <c r="AA63" s="104"/>
      <c r="AB63" s="104">
        <v>10</v>
      </c>
      <c r="AC63" s="104"/>
      <c r="AD63" s="104"/>
      <c r="AE63" s="104"/>
      <c r="AF63" s="104"/>
      <c r="AG63" s="104"/>
      <c r="AH63" s="104">
        <v>10</v>
      </c>
      <c r="AI63" s="104"/>
      <c r="AJ63" s="104"/>
      <c r="AK63" s="104"/>
      <c r="AL63" s="104"/>
      <c r="AM63" s="104"/>
      <c r="AN63" s="104">
        <v>60</v>
      </c>
      <c r="AO63" s="104"/>
      <c r="AP63" s="145"/>
      <c r="AQ63" s="146">
        <v>2</v>
      </c>
      <c r="AR63" s="104"/>
      <c r="AS63" s="104"/>
      <c r="AT63" s="104"/>
      <c r="AU63" s="104"/>
      <c r="AV63" s="104"/>
      <c r="AW63" s="104"/>
      <c r="AX63" s="104"/>
      <c r="AY63" s="104"/>
      <c r="AZ63" s="104"/>
      <c r="BA63" s="104"/>
      <c r="BB63" s="145"/>
      <c r="BC63" s="146">
        <v>3</v>
      </c>
      <c r="BD63" s="104"/>
      <c r="BE63" s="104"/>
      <c r="BF63" s="104"/>
      <c r="BG63" s="104"/>
      <c r="BH63" s="104"/>
      <c r="BI63" s="104"/>
      <c r="BJ63" s="104"/>
      <c r="BK63" s="104"/>
      <c r="BL63" s="104"/>
      <c r="BM63" s="104"/>
      <c r="BN63" s="145"/>
      <c r="BO63" s="148">
        <f t="shared" si="19"/>
        <v>3</v>
      </c>
      <c r="BP63" s="105"/>
      <c r="BQ63" s="105"/>
      <c r="BR63" s="105"/>
      <c r="BS63" s="71">
        <f t="shared" si="20"/>
        <v>33.333333333333329</v>
      </c>
      <c r="BT63" s="71">
        <f t="shared" si="21"/>
        <v>66.666666666666657</v>
      </c>
      <c r="BU63" s="71">
        <f t="shared" si="22"/>
        <v>30</v>
      </c>
      <c r="BV63" s="15">
        <f t="shared" si="23"/>
        <v>1</v>
      </c>
      <c r="BW63" s="15" t="str">
        <f t="shared" si="24"/>
        <v>тўғри</v>
      </c>
      <c r="BX63" s="71">
        <f t="shared" si="25"/>
        <v>3</v>
      </c>
      <c r="BY63" s="15">
        <f t="shared" si="26"/>
        <v>1</v>
      </c>
      <c r="BZ63" s="15" t="str">
        <f t="shared" si="27"/>
        <v>тўғри</v>
      </c>
    </row>
    <row r="64" spans="1:78" ht="14.25" customHeight="1" x14ac:dyDescent="0.25">
      <c r="A64" s="14" t="s">
        <v>27</v>
      </c>
      <c r="B64" s="104" t="s">
        <v>37</v>
      </c>
      <c r="C64" s="104"/>
      <c r="D64" s="149" t="s">
        <v>152</v>
      </c>
      <c r="E64" s="149"/>
      <c r="F64" s="149"/>
      <c r="G64" s="149"/>
      <c r="H64" s="149"/>
      <c r="I64" s="149"/>
      <c r="J64" s="149"/>
      <c r="K64" s="149"/>
      <c r="L64" s="149"/>
      <c r="M64" s="149"/>
      <c r="N64" s="149"/>
      <c r="O64" s="150"/>
      <c r="P64" s="144">
        <f>SUM(V64+AN64)</f>
        <v>90</v>
      </c>
      <c r="Q64" s="106"/>
      <c r="R64" s="106"/>
      <c r="S64" s="127"/>
      <c r="T64" s="127"/>
      <c r="U64" s="208"/>
      <c r="V64" s="152">
        <f t="shared" si="18"/>
        <v>30</v>
      </c>
      <c r="W64" s="106"/>
      <c r="X64" s="106"/>
      <c r="Y64" s="104">
        <v>10</v>
      </c>
      <c r="Z64" s="104"/>
      <c r="AA64" s="104"/>
      <c r="AB64" s="104">
        <v>10</v>
      </c>
      <c r="AC64" s="104"/>
      <c r="AD64" s="104"/>
      <c r="AE64" s="104"/>
      <c r="AF64" s="104"/>
      <c r="AG64" s="104"/>
      <c r="AH64" s="104">
        <v>10</v>
      </c>
      <c r="AI64" s="104"/>
      <c r="AJ64" s="104"/>
      <c r="AK64" s="104"/>
      <c r="AL64" s="104"/>
      <c r="AM64" s="104"/>
      <c r="AN64" s="104">
        <v>60</v>
      </c>
      <c r="AO64" s="104"/>
      <c r="AP64" s="145"/>
      <c r="AQ64" s="146">
        <v>2</v>
      </c>
      <c r="AR64" s="104"/>
      <c r="AS64" s="104"/>
      <c r="AT64" s="104"/>
      <c r="AU64" s="104"/>
      <c r="AV64" s="104"/>
      <c r="AW64" s="104"/>
      <c r="AX64" s="104"/>
      <c r="AY64" s="104"/>
      <c r="AZ64" s="104"/>
      <c r="BA64" s="104"/>
      <c r="BB64" s="145"/>
      <c r="BC64" s="146">
        <v>3</v>
      </c>
      <c r="BD64" s="104"/>
      <c r="BE64" s="104"/>
      <c r="BF64" s="104"/>
      <c r="BG64" s="104"/>
      <c r="BH64" s="104"/>
      <c r="BI64" s="104"/>
      <c r="BJ64" s="104"/>
      <c r="BK64" s="104"/>
      <c r="BL64" s="104"/>
      <c r="BM64" s="104"/>
      <c r="BN64" s="145"/>
      <c r="BO64" s="148">
        <f t="shared" si="19"/>
        <v>3</v>
      </c>
      <c r="BP64" s="105"/>
      <c r="BQ64" s="105"/>
      <c r="BR64" s="105"/>
      <c r="BS64" s="71">
        <f t="shared" si="20"/>
        <v>33.333333333333329</v>
      </c>
      <c r="BT64" s="71">
        <f t="shared" si="21"/>
        <v>66.666666666666657</v>
      </c>
      <c r="BU64" s="71">
        <f t="shared" si="22"/>
        <v>30</v>
      </c>
      <c r="BV64" s="15">
        <f t="shared" si="23"/>
        <v>1</v>
      </c>
      <c r="BW64" s="15" t="str">
        <f t="shared" si="24"/>
        <v>тўғри</v>
      </c>
      <c r="BX64" s="71">
        <f t="shared" si="25"/>
        <v>3</v>
      </c>
      <c r="BY64" s="15">
        <f t="shared" si="26"/>
        <v>1</v>
      </c>
      <c r="BZ64" s="15" t="str">
        <f t="shared" si="27"/>
        <v>тўғри</v>
      </c>
    </row>
    <row r="65" spans="1:78" ht="14.25" customHeight="1" x14ac:dyDescent="0.25">
      <c r="A65" s="14" t="s">
        <v>28</v>
      </c>
      <c r="B65" s="104" t="s">
        <v>38</v>
      </c>
      <c r="C65" s="104"/>
      <c r="D65" s="149" t="s">
        <v>153</v>
      </c>
      <c r="E65" s="149"/>
      <c r="F65" s="149"/>
      <c r="G65" s="149"/>
      <c r="H65" s="149"/>
      <c r="I65" s="149"/>
      <c r="J65" s="149"/>
      <c r="K65" s="149"/>
      <c r="L65" s="149"/>
      <c r="M65" s="149"/>
      <c r="N65" s="149"/>
      <c r="O65" s="150"/>
      <c r="P65" s="144">
        <f>SUM(V65+AN65)</f>
        <v>90</v>
      </c>
      <c r="Q65" s="106"/>
      <c r="R65" s="106"/>
      <c r="S65" s="127"/>
      <c r="T65" s="127"/>
      <c r="U65" s="208"/>
      <c r="V65" s="152">
        <f t="shared" si="18"/>
        <v>30</v>
      </c>
      <c r="W65" s="106"/>
      <c r="X65" s="106"/>
      <c r="Y65" s="104">
        <v>10</v>
      </c>
      <c r="Z65" s="104"/>
      <c r="AA65" s="104"/>
      <c r="AB65" s="104">
        <v>10</v>
      </c>
      <c r="AC65" s="104"/>
      <c r="AD65" s="104"/>
      <c r="AE65" s="104"/>
      <c r="AF65" s="104"/>
      <c r="AG65" s="104"/>
      <c r="AH65" s="104">
        <v>10</v>
      </c>
      <c r="AI65" s="104"/>
      <c r="AJ65" s="104"/>
      <c r="AK65" s="104"/>
      <c r="AL65" s="104"/>
      <c r="AM65" s="104"/>
      <c r="AN65" s="104">
        <v>60</v>
      </c>
      <c r="AO65" s="104"/>
      <c r="AP65" s="145"/>
      <c r="AQ65" s="146">
        <v>2</v>
      </c>
      <c r="AR65" s="104"/>
      <c r="AS65" s="104"/>
      <c r="AT65" s="104"/>
      <c r="AU65" s="104"/>
      <c r="AV65" s="104"/>
      <c r="AW65" s="104"/>
      <c r="AX65" s="104"/>
      <c r="AY65" s="104"/>
      <c r="AZ65" s="104"/>
      <c r="BA65" s="104"/>
      <c r="BB65" s="145"/>
      <c r="BC65" s="146">
        <v>3</v>
      </c>
      <c r="BD65" s="104"/>
      <c r="BE65" s="104"/>
      <c r="BF65" s="104"/>
      <c r="BG65" s="104"/>
      <c r="BH65" s="104"/>
      <c r="BI65" s="104"/>
      <c r="BJ65" s="104"/>
      <c r="BK65" s="104"/>
      <c r="BL65" s="104"/>
      <c r="BM65" s="104"/>
      <c r="BN65" s="145"/>
      <c r="BO65" s="148">
        <f t="shared" si="19"/>
        <v>3</v>
      </c>
      <c r="BP65" s="105"/>
      <c r="BQ65" s="105"/>
      <c r="BR65" s="105"/>
      <c r="BS65" s="71">
        <f t="shared" si="20"/>
        <v>33.333333333333329</v>
      </c>
      <c r="BT65" s="71">
        <f t="shared" si="21"/>
        <v>66.666666666666657</v>
      </c>
      <c r="BU65" s="71">
        <f t="shared" si="22"/>
        <v>30</v>
      </c>
      <c r="BV65" s="15">
        <f t="shared" si="23"/>
        <v>1</v>
      </c>
      <c r="BW65" s="15" t="str">
        <f t="shared" si="24"/>
        <v>тўғри</v>
      </c>
      <c r="BX65" s="71">
        <f t="shared" si="25"/>
        <v>3</v>
      </c>
      <c r="BY65" s="15">
        <f t="shared" si="26"/>
        <v>1</v>
      </c>
      <c r="BZ65" s="15" t="str">
        <f t="shared" si="27"/>
        <v>тўғри</v>
      </c>
    </row>
    <row r="66" spans="1:78" ht="14.25" customHeight="1" x14ac:dyDescent="0.25">
      <c r="A66" s="14" t="s">
        <v>29</v>
      </c>
      <c r="B66" s="104" t="s">
        <v>47</v>
      </c>
      <c r="C66" s="104"/>
      <c r="D66" s="149" t="s">
        <v>156</v>
      </c>
      <c r="E66" s="149"/>
      <c r="F66" s="149"/>
      <c r="G66" s="149"/>
      <c r="H66" s="149"/>
      <c r="I66" s="149"/>
      <c r="J66" s="149"/>
      <c r="K66" s="149"/>
      <c r="L66" s="149"/>
      <c r="M66" s="149"/>
      <c r="N66" s="149"/>
      <c r="O66" s="150"/>
      <c r="P66" s="144">
        <f>SUM(V66+AN66)</f>
        <v>90</v>
      </c>
      <c r="Q66" s="106"/>
      <c r="R66" s="106"/>
      <c r="S66" s="131"/>
      <c r="T66" s="131"/>
      <c r="U66" s="151"/>
      <c r="V66" s="152">
        <f t="shared" si="18"/>
        <v>30</v>
      </c>
      <c r="W66" s="106"/>
      <c r="X66" s="106"/>
      <c r="Y66" s="104">
        <v>16</v>
      </c>
      <c r="Z66" s="104"/>
      <c r="AA66" s="104"/>
      <c r="AB66" s="104">
        <v>6</v>
      </c>
      <c r="AC66" s="104"/>
      <c r="AD66" s="104"/>
      <c r="AE66" s="104"/>
      <c r="AF66" s="104"/>
      <c r="AG66" s="104"/>
      <c r="AH66" s="104">
        <v>8</v>
      </c>
      <c r="AI66" s="104"/>
      <c r="AJ66" s="104"/>
      <c r="AK66" s="106"/>
      <c r="AL66" s="106"/>
      <c r="AM66" s="106"/>
      <c r="AN66" s="104">
        <v>60</v>
      </c>
      <c r="AO66" s="104"/>
      <c r="AP66" s="145"/>
      <c r="AQ66" s="146">
        <v>2</v>
      </c>
      <c r="AR66" s="104"/>
      <c r="AS66" s="104"/>
      <c r="AT66" s="104"/>
      <c r="AU66" s="104"/>
      <c r="AV66" s="104"/>
      <c r="AW66" s="104"/>
      <c r="AX66" s="104"/>
      <c r="AY66" s="104"/>
      <c r="AZ66" s="104"/>
      <c r="BA66" s="104"/>
      <c r="BB66" s="145"/>
      <c r="BC66" s="146">
        <v>3</v>
      </c>
      <c r="BD66" s="104"/>
      <c r="BE66" s="104"/>
      <c r="BF66" s="104"/>
      <c r="BG66" s="104"/>
      <c r="BH66" s="104"/>
      <c r="BI66" s="104"/>
      <c r="BJ66" s="104"/>
      <c r="BK66" s="104"/>
      <c r="BL66" s="104"/>
      <c r="BM66" s="104"/>
      <c r="BN66" s="145"/>
      <c r="BO66" s="148">
        <f t="shared" si="19"/>
        <v>3</v>
      </c>
      <c r="BP66" s="105"/>
      <c r="BQ66" s="105"/>
      <c r="BR66" s="105"/>
      <c r="BS66" s="71">
        <f t="shared" ref="BS66:BS79" si="28">SUM(V66/P66)*100</f>
        <v>33.333333333333329</v>
      </c>
      <c r="BT66" s="71">
        <f t="shared" ref="BT66:BT79" si="29">SUM(AN66/P66)*100</f>
        <v>66.666666666666657</v>
      </c>
      <c r="BU66" s="71">
        <f t="shared" ref="BU66:BU78" si="30">SUM(Y66:AJ66)</f>
        <v>30</v>
      </c>
      <c r="BV66" s="15">
        <f t="shared" si="23"/>
        <v>1</v>
      </c>
      <c r="BW66" s="15" t="str">
        <f t="shared" si="24"/>
        <v>тўғри</v>
      </c>
      <c r="BX66" s="71">
        <f t="shared" si="25"/>
        <v>3</v>
      </c>
      <c r="BY66" s="15">
        <f t="shared" si="26"/>
        <v>1</v>
      </c>
      <c r="BZ66" s="15" t="str">
        <f t="shared" si="27"/>
        <v>тўғри</v>
      </c>
    </row>
    <row r="67" spans="1:78" ht="14.25" customHeight="1" x14ac:dyDescent="0.25">
      <c r="A67" s="14" t="s">
        <v>30</v>
      </c>
      <c r="B67" s="104" t="s">
        <v>223</v>
      </c>
      <c r="C67" s="104"/>
      <c r="D67" s="149" t="s">
        <v>157</v>
      </c>
      <c r="E67" s="149"/>
      <c r="F67" s="149"/>
      <c r="G67" s="149"/>
      <c r="H67" s="149"/>
      <c r="I67" s="149"/>
      <c r="J67" s="149"/>
      <c r="K67" s="149"/>
      <c r="L67" s="149"/>
      <c r="M67" s="149"/>
      <c r="N67" s="149"/>
      <c r="O67" s="150"/>
      <c r="P67" s="144">
        <f>SUM(V67+AN67)</f>
        <v>90</v>
      </c>
      <c r="Q67" s="106"/>
      <c r="R67" s="106"/>
      <c r="S67" s="131"/>
      <c r="T67" s="131"/>
      <c r="U67" s="151"/>
      <c r="V67" s="152">
        <f t="shared" si="18"/>
        <v>30</v>
      </c>
      <c r="W67" s="106"/>
      <c r="X67" s="106"/>
      <c r="Y67" s="104">
        <v>16</v>
      </c>
      <c r="Z67" s="104"/>
      <c r="AA67" s="104"/>
      <c r="AB67" s="104">
        <v>6</v>
      </c>
      <c r="AC67" s="104"/>
      <c r="AD67" s="104"/>
      <c r="AE67" s="104"/>
      <c r="AF67" s="104"/>
      <c r="AG67" s="104"/>
      <c r="AH67" s="104">
        <v>8</v>
      </c>
      <c r="AI67" s="104"/>
      <c r="AJ67" s="104"/>
      <c r="AK67" s="106"/>
      <c r="AL67" s="106"/>
      <c r="AM67" s="106"/>
      <c r="AN67" s="104">
        <v>60</v>
      </c>
      <c r="AO67" s="104"/>
      <c r="AP67" s="145"/>
      <c r="AQ67" s="146"/>
      <c r="AR67" s="104"/>
      <c r="AS67" s="104"/>
      <c r="AT67" s="104"/>
      <c r="AU67" s="104"/>
      <c r="AV67" s="104"/>
      <c r="AW67" s="104">
        <v>2</v>
      </c>
      <c r="AX67" s="104"/>
      <c r="AY67" s="104"/>
      <c r="AZ67" s="104"/>
      <c r="BA67" s="104"/>
      <c r="BB67" s="145"/>
      <c r="BC67" s="146"/>
      <c r="BD67" s="104"/>
      <c r="BE67" s="104"/>
      <c r="BF67" s="104"/>
      <c r="BG67" s="104"/>
      <c r="BH67" s="104"/>
      <c r="BI67" s="104">
        <v>3</v>
      </c>
      <c r="BJ67" s="104"/>
      <c r="BK67" s="104"/>
      <c r="BL67" s="104"/>
      <c r="BM67" s="104"/>
      <c r="BN67" s="145"/>
      <c r="BO67" s="148">
        <f t="shared" si="19"/>
        <v>3</v>
      </c>
      <c r="BP67" s="105"/>
      <c r="BQ67" s="105"/>
      <c r="BR67" s="105"/>
      <c r="BS67" s="71">
        <f t="shared" si="28"/>
        <v>33.333333333333329</v>
      </c>
      <c r="BT67" s="71">
        <f t="shared" si="29"/>
        <v>66.666666666666657</v>
      </c>
      <c r="BU67" s="71">
        <f t="shared" si="30"/>
        <v>30</v>
      </c>
      <c r="BV67" s="15">
        <f t="shared" si="23"/>
        <v>1</v>
      </c>
      <c r="BW67" s="15" t="str">
        <f t="shared" si="24"/>
        <v>тўғри</v>
      </c>
      <c r="BX67" s="71">
        <f t="shared" si="25"/>
        <v>3</v>
      </c>
      <c r="BY67" s="15">
        <f t="shared" si="26"/>
        <v>1</v>
      </c>
      <c r="BZ67" s="15" t="str">
        <f t="shared" si="27"/>
        <v>тўғри</v>
      </c>
    </row>
    <row r="68" spans="1:78" ht="14.25" customHeight="1" x14ac:dyDescent="0.25">
      <c r="A68" s="72" t="s">
        <v>9</v>
      </c>
      <c r="B68" s="104"/>
      <c r="C68" s="104"/>
      <c r="D68" s="182" t="s">
        <v>112</v>
      </c>
      <c r="E68" s="182"/>
      <c r="F68" s="182"/>
      <c r="G68" s="182"/>
      <c r="H68" s="182"/>
      <c r="I68" s="182"/>
      <c r="J68" s="182"/>
      <c r="K68" s="182"/>
      <c r="L68" s="182"/>
      <c r="M68" s="182"/>
      <c r="N68" s="182"/>
      <c r="O68" s="183"/>
      <c r="P68" s="144">
        <f t="shared" ref="P68" si="31">SUM(V68+AN68)</f>
        <v>330</v>
      </c>
      <c r="Q68" s="106"/>
      <c r="R68" s="106"/>
      <c r="S68" s="131">
        <f>P68/3600*100</f>
        <v>9.1666666666666661</v>
      </c>
      <c r="T68" s="131"/>
      <c r="U68" s="151"/>
      <c r="V68" s="152">
        <f t="shared" si="18"/>
        <v>120</v>
      </c>
      <c r="W68" s="106"/>
      <c r="X68" s="106"/>
      <c r="Y68" s="106">
        <f>SUM(Y69:AA77)</f>
        <v>10</v>
      </c>
      <c r="Z68" s="106"/>
      <c r="AA68" s="106"/>
      <c r="AB68" s="106">
        <f>SUM(AB69:AD77)</f>
        <v>100</v>
      </c>
      <c r="AC68" s="106"/>
      <c r="AD68" s="106"/>
      <c r="AE68" s="106">
        <f>SUM(AE69:AG77)</f>
        <v>0</v>
      </c>
      <c r="AF68" s="106"/>
      <c r="AG68" s="106"/>
      <c r="AH68" s="106">
        <f>SUM(AH69:AJ77)</f>
        <v>10</v>
      </c>
      <c r="AI68" s="106"/>
      <c r="AJ68" s="106"/>
      <c r="AK68" s="106">
        <f>SUM(AK69:AM77)</f>
        <v>0</v>
      </c>
      <c r="AL68" s="106"/>
      <c r="AM68" s="106"/>
      <c r="AN68" s="106">
        <f>SUM(AN69:AP77)</f>
        <v>210</v>
      </c>
      <c r="AO68" s="106"/>
      <c r="AP68" s="147"/>
      <c r="AQ68" s="144">
        <f>SUM(AQ69:AS77)</f>
        <v>2</v>
      </c>
      <c r="AR68" s="106"/>
      <c r="AS68" s="106"/>
      <c r="AT68" s="106">
        <f>SUM(AT69:AV77)</f>
        <v>4</v>
      </c>
      <c r="AU68" s="106"/>
      <c r="AV68" s="106"/>
      <c r="AW68" s="106">
        <f>SUM(AW69:AY77)</f>
        <v>2</v>
      </c>
      <c r="AX68" s="106"/>
      <c r="AY68" s="106"/>
      <c r="AZ68" s="106">
        <f>SUM(AZ69:BB77)</f>
        <v>0</v>
      </c>
      <c r="BA68" s="106"/>
      <c r="BB68" s="147"/>
      <c r="BC68" s="144">
        <f>SUM(BC69:BE77)</f>
        <v>2</v>
      </c>
      <c r="BD68" s="106"/>
      <c r="BE68" s="106"/>
      <c r="BF68" s="106">
        <f>SUM(BF69:BH77)</f>
        <v>6</v>
      </c>
      <c r="BG68" s="106"/>
      <c r="BH68" s="106"/>
      <c r="BI68" s="106">
        <f>SUM(BI69:BK77)</f>
        <v>3</v>
      </c>
      <c r="BJ68" s="106"/>
      <c r="BK68" s="106"/>
      <c r="BL68" s="106">
        <f>SUM(BL69:BN77)</f>
        <v>0</v>
      </c>
      <c r="BM68" s="106"/>
      <c r="BN68" s="147"/>
      <c r="BO68" s="148">
        <f t="shared" si="19"/>
        <v>11</v>
      </c>
      <c r="BP68" s="105"/>
      <c r="BQ68" s="105"/>
      <c r="BR68" s="105"/>
      <c r="BS68" s="71">
        <f t="shared" si="28"/>
        <v>36.363636363636367</v>
      </c>
      <c r="BT68" s="71">
        <f t="shared" si="29"/>
        <v>63.636363636363633</v>
      </c>
      <c r="BU68" s="71">
        <f t="shared" si="30"/>
        <v>120</v>
      </c>
      <c r="BV68" s="15">
        <f t="shared" si="23"/>
        <v>1</v>
      </c>
      <c r="BW68" s="15" t="str">
        <f t="shared" si="24"/>
        <v>тўғри</v>
      </c>
      <c r="BX68" s="71">
        <f t="shared" si="25"/>
        <v>11</v>
      </c>
      <c r="BY68" s="15">
        <f t="shared" si="26"/>
        <v>1</v>
      </c>
      <c r="BZ68" s="15" t="str">
        <f t="shared" si="27"/>
        <v>тўғри</v>
      </c>
    </row>
    <row r="69" spans="1:78" ht="14.25" customHeight="1" x14ac:dyDescent="0.25">
      <c r="A69" s="85" t="s">
        <v>10</v>
      </c>
      <c r="B69" s="104"/>
      <c r="C69" s="104"/>
      <c r="D69" s="178" t="s">
        <v>130</v>
      </c>
      <c r="E69" s="178"/>
      <c r="F69" s="178"/>
      <c r="G69" s="178"/>
      <c r="H69" s="178"/>
      <c r="I69" s="178"/>
      <c r="J69" s="178"/>
      <c r="K69" s="178"/>
      <c r="L69" s="178"/>
      <c r="M69" s="178"/>
      <c r="N69" s="178"/>
      <c r="O69" s="179"/>
      <c r="P69" s="144">
        <f>SUM(V69+AN69)</f>
        <v>90</v>
      </c>
      <c r="Q69" s="106"/>
      <c r="R69" s="106"/>
      <c r="S69" s="131"/>
      <c r="T69" s="131"/>
      <c r="U69" s="151"/>
      <c r="V69" s="152">
        <f t="shared" si="18"/>
        <v>30</v>
      </c>
      <c r="W69" s="106"/>
      <c r="X69" s="106"/>
      <c r="Y69" s="104"/>
      <c r="Z69" s="104"/>
      <c r="AA69" s="104"/>
      <c r="AB69" s="104">
        <v>30</v>
      </c>
      <c r="AC69" s="104"/>
      <c r="AD69" s="104"/>
      <c r="AE69" s="104"/>
      <c r="AF69" s="104"/>
      <c r="AG69" s="104"/>
      <c r="AH69" s="104"/>
      <c r="AI69" s="104"/>
      <c r="AJ69" s="104"/>
      <c r="AK69" s="104"/>
      <c r="AL69" s="104"/>
      <c r="AM69" s="104"/>
      <c r="AN69" s="104">
        <v>60</v>
      </c>
      <c r="AO69" s="104"/>
      <c r="AP69" s="145"/>
      <c r="AQ69" s="146"/>
      <c r="AR69" s="104"/>
      <c r="AS69" s="104"/>
      <c r="AT69" s="104">
        <v>2</v>
      </c>
      <c r="AU69" s="104"/>
      <c r="AV69" s="104"/>
      <c r="AW69" s="104"/>
      <c r="AX69" s="104"/>
      <c r="AY69" s="104"/>
      <c r="AZ69" s="104"/>
      <c r="BA69" s="104"/>
      <c r="BB69" s="145"/>
      <c r="BC69" s="146"/>
      <c r="BD69" s="104"/>
      <c r="BE69" s="104"/>
      <c r="BF69" s="104">
        <v>3</v>
      </c>
      <c r="BG69" s="104"/>
      <c r="BH69" s="104"/>
      <c r="BI69" s="104"/>
      <c r="BJ69" s="104"/>
      <c r="BK69" s="104"/>
      <c r="BL69" s="104"/>
      <c r="BM69" s="104"/>
      <c r="BN69" s="145"/>
      <c r="BO69" s="148">
        <f t="shared" si="19"/>
        <v>3</v>
      </c>
      <c r="BP69" s="105"/>
      <c r="BQ69" s="105"/>
      <c r="BR69" s="105"/>
      <c r="BS69" s="71">
        <f t="shared" ref="BS69:BS77" si="32">SUM(V69/P69)*100</f>
        <v>33.333333333333329</v>
      </c>
      <c r="BT69" s="71">
        <f t="shared" ref="BT69:BT77" si="33">SUM(AN69/P69)*100</f>
        <v>66.666666666666657</v>
      </c>
      <c r="BU69" s="71">
        <f t="shared" ref="BU69:BU77" si="34">SUM(Y69:AJ69)</f>
        <v>30</v>
      </c>
      <c r="BV69" s="15">
        <f t="shared" si="23"/>
        <v>1</v>
      </c>
      <c r="BW69" s="15" t="str">
        <f t="shared" si="24"/>
        <v>тўғри</v>
      </c>
      <c r="BX69" s="71">
        <f t="shared" si="25"/>
        <v>3</v>
      </c>
      <c r="BY69" s="15">
        <f t="shared" si="26"/>
        <v>1</v>
      </c>
      <c r="BZ69" s="15" t="str">
        <f t="shared" si="27"/>
        <v>тўғри</v>
      </c>
    </row>
    <row r="70" spans="1:78" ht="14.25" customHeight="1" x14ac:dyDescent="0.25">
      <c r="A70" s="71">
        <v>1</v>
      </c>
      <c r="B70" s="104" t="s">
        <v>214</v>
      </c>
      <c r="C70" s="104"/>
      <c r="D70" s="149" t="s">
        <v>136</v>
      </c>
      <c r="E70" s="149"/>
      <c r="F70" s="149"/>
      <c r="G70" s="149"/>
      <c r="H70" s="149"/>
      <c r="I70" s="149"/>
      <c r="J70" s="149"/>
      <c r="K70" s="149"/>
      <c r="L70" s="149"/>
      <c r="M70" s="149"/>
      <c r="N70" s="149"/>
      <c r="O70" s="150"/>
      <c r="P70" s="144"/>
      <c r="Q70" s="106"/>
      <c r="R70" s="106"/>
      <c r="S70" s="131"/>
      <c r="T70" s="131"/>
      <c r="U70" s="151"/>
      <c r="V70" s="152"/>
      <c r="W70" s="106"/>
      <c r="X70" s="106"/>
      <c r="Y70" s="104"/>
      <c r="Z70" s="104"/>
      <c r="AA70" s="104"/>
      <c r="AB70" s="104"/>
      <c r="AC70" s="104"/>
      <c r="AD70" s="104"/>
      <c r="AE70" s="104"/>
      <c r="AF70" s="104"/>
      <c r="AG70" s="104"/>
      <c r="AH70" s="104"/>
      <c r="AI70" s="104"/>
      <c r="AJ70" s="104"/>
      <c r="AK70" s="104"/>
      <c r="AL70" s="104"/>
      <c r="AM70" s="104"/>
      <c r="AN70" s="104"/>
      <c r="AO70" s="104"/>
      <c r="AP70" s="145"/>
      <c r="AQ70" s="146"/>
      <c r="AR70" s="104"/>
      <c r="AS70" s="104"/>
      <c r="AT70" s="104"/>
      <c r="AU70" s="104"/>
      <c r="AV70" s="104"/>
      <c r="AW70" s="104"/>
      <c r="AX70" s="104"/>
      <c r="AY70" s="104"/>
      <c r="AZ70" s="104"/>
      <c r="BA70" s="104"/>
      <c r="BB70" s="145"/>
      <c r="BC70" s="146"/>
      <c r="BD70" s="104"/>
      <c r="BE70" s="104"/>
      <c r="BF70" s="104"/>
      <c r="BG70" s="104"/>
      <c r="BH70" s="104"/>
      <c r="BI70" s="104"/>
      <c r="BJ70" s="104"/>
      <c r="BK70" s="104"/>
      <c r="BL70" s="104"/>
      <c r="BM70" s="104"/>
      <c r="BN70" s="145"/>
      <c r="BO70" s="148">
        <f t="shared" si="19"/>
        <v>0</v>
      </c>
      <c r="BP70" s="105"/>
      <c r="BQ70" s="105"/>
      <c r="BR70" s="105"/>
      <c r="BS70" s="71" t="e">
        <f t="shared" si="32"/>
        <v>#DIV/0!</v>
      </c>
      <c r="BT70" s="71" t="e">
        <f t="shared" si="33"/>
        <v>#DIV/0!</v>
      </c>
      <c r="BU70" s="71">
        <f t="shared" si="34"/>
        <v>0</v>
      </c>
      <c r="BV70" s="15">
        <f t="shared" si="23"/>
        <v>1</v>
      </c>
      <c r="BW70" s="15" t="str">
        <f t="shared" si="24"/>
        <v>тўғри</v>
      </c>
      <c r="BX70" s="71">
        <f t="shared" si="25"/>
        <v>0</v>
      </c>
      <c r="BY70" s="15">
        <f t="shared" si="26"/>
        <v>1</v>
      </c>
      <c r="BZ70" s="15" t="str">
        <f t="shared" si="27"/>
        <v>тўғри</v>
      </c>
    </row>
    <row r="71" spans="1:78" ht="14.25" customHeight="1" x14ac:dyDescent="0.25">
      <c r="A71" s="71">
        <v>2</v>
      </c>
      <c r="B71" s="104" t="s">
        <v>215</v>
      </c>
      <c r="C71" s="104"/>
      <c r="D71" s="149" t="s">
        <v>137</v>
      </c>
      <c r="E71" s="149"/>
      <c r="F71" s="149"/>
      <c r="G71" s="149"/>
      <c r="H71" s="149"/>
      <c r="I71" s="149"/>
      <c r="J71" s="149"/>
      <c r="K71" s="149"/>
      <c r="L71" s="149"/>
      <c r="M71" s="149"/>
      <c r="N71" s="149"/>
      <c r="O71" s="150"/>
      <c r="P71" s="144"/>
      <c r="Q71" s="106"/>
      <c r="R71" s="106"/>
      <c r="S71" s="131"/>
      <c r="T71" s="131"/>
      <c r="U71" s="151"/>
      <c r="V71" s="152"/>
      <c r="W71" s="106"/>
      <c r="X71" s="106"/>
      <c r="Y71" s="104"/>
      <c r="Z71" s="104"/>
      <c r="AA71" s="104"/>
      <c r="AB71" s="104"/>
      <c r="AC71" s="104"/>
      <c r="AD71" s="104"/>
      <c r="AE71" s="104"/>
      <c r="AF71" s="104"/>
      <c r="AG71" s="104"/>
      <c r="AH71" s="104"/>
      <c r="AI71" s="104"/>
      <c r="AJ71" s="104"/>
      <c r="AK71" s="104"/>
      <c r="AL71" s="104"/>
      <c r="AM71" s="104"/>
      <c r="AN71" s="104"/>
      <c r="AO71" s="104"/>
      <c r="AP71" s="145"/>
      <c r="AQ71" s="146"/>
      <c r="AR71" s="104"/>
      <c r="AS71" s="104"/>
      <c r="AT71" s="104"/>
      <c r="AU71" s="104"/>
      <c r="AV71" s="104"/>
      <c r="AW71" s="104"/>
      <c r="AX71" s="104"/>
      <c r="AY71" s="104"/>
      <c r="AZ71" s="104"/>
      <c r="BA71" s="104"/>
      <c r="BB71" s="145"/>
      <c r="BC71" s="146"/>
      <c r="BD71" s="104"/>
      <c r="BE71" s="104"/>
      <c r="BF71" s="104"/>
      <c r="BG71" s="104"/>
      <c r="BH71" s="104"/>
      <c r="BI71" s="104"/>
      <c r="BJ71" s="104"/>
      <c r="BK71" s="104"/>
      <c r="BL71" s="104"/>
      <c r="BM71" s="104"/>
      <c r="BN71" s="145"/>
      <c r="BO71" s="148">
        <f t="shared" si="19"/>
        <v>0</v>
      </c>
      <c r="BP71" s="105"/>
      <c r="BQ71" s="105"/>
      <c r="BR71" s="105"/>
      <c r="BS71" s="71" t="e">
        <f t="shared" si="32"/>
        <v>#DIV/0!</v>
      </c>
      <c r="BT71" s="71" t="e">
        <f t="shared" si="33"/>
        <v>#DIV/0!</v>
      </c>
      <c r="BU71" s="71">
        <f t="shared" si="34"/>
        <v>0</v>
      </c>
      <c r="BV71" s="15">
        <f t="shared" si="23"/>
        <v>1</v>
      </c>
      <c r="BW71" s="15" t="str">
        <f t="shared" si="24"/>
        <v>тўғри</v>
      </c>
      <c r="BX71" s="71">
        <f t="shared" si="25"/>
        <v>0</v>
      </c>
      <c r="BY71" s="15">
        <f t="shared" si="26"/>
        <v>1</v>
      </c>
      <c r="BZ71" s="15" t="str">
        <f t="shared" si="27"/>
        <v>тўғри</v>
      </c>
    </row>
    <row r="72" spans="1:78" ht="14.25" customHeight="1" x14ac:dyDescent="0.25">
      <c r="A72" s="85" t="s">
        <v>11</v>
      </c>
      <c r="B72" s="104"/>
      <c r="C72" s="104"/>
      <c r="D72" s="178" t="s">
        <v>130</v>
      </c>
      <c r="E72" s="178"/>
      <c r="F72" s="178"/>
      <c r="G72" s="178"/>
      <c r="H72" s="178"/>
      <c r="I72" s="178"/>
      <c r="J72" s="178"/>
      <c r="K72" s="178"/>
      <c r="L72" s="178"/>
      <c r="M72" s="178"/>
      <c r="N72" s="178"/>
      <c r="O72" s="179"/>
      <c r="P72" s="144">
        <f t="shared" ref="P72" si="35">SUM(V72+AN72)</f>
        <v>150</v>
      </c>
      <c r="Q72" s="106"/>
      <c r="R72" s="106"/>
      <c r="S72" s="131"/>
      <c r="T72" s="131"/>
      <c r="U72" s="151"/>
      <c r="V72" s="152">
        <f t="shared" ref="V72" si="36">SUM(AQ72+AT72+AW72+AZ72)*15</f>
        <v>60</v>
      </c>
      <c r="W72" s="106"/>
      <c r="X72" s="106"/>
      <c r="Y72" s="104"/>
      <c r="Z72" s="104"/>
      <c r="AA72" s="104"/>
      <c r="AB72" s="104">
        <v>60</v>
      </c>
      <c r="AC72" s="104"/>
      <c r="AD72" s="104"/>
      <c r="AE72" s="104"/>
      <c r="AF72" s="104"/>
      <c r="AG72" s="104"/>
      <c r="AH72" s="104"/>
      <c r="AI72" s="104"/>
      <c r="AJ72" s="104"/>
      <c r="AK72" s="106"/>
      <c r="AL72" s="106"/>
      <c r="AM72" s="106"/>
      <c r="AN72" s="104">
        <v>90</v>
      </c>
      <c r="AO72" s="104"/>
      <c r="AP72" s="145"/>
      <c r="AQ72" s="146">
        <v>2</v>
      </c>
      <c r="AR72" s="104"/>
      <c r="AS72" s="104"/>
      <c r="AT72" s="104">
        <v>2</v>
      </c>
      <c r="AU72" s="104"/>
      <c r="AV72" s="104"/>
      <c r="AW72" s="104"/>
      <c r="AX72" s="104"/>
      <c r="AY72" s="104"/>
      <c r="AZ72" s="104"/>
      <c r="BA72" s="104"/>
      <c r="BB72" s="145"/>
      <c r="BC72" s="146">
        <v>2</v>
      </c>
      <c r="BD72" s="104"/>
      <c r="BE72" s="104"/>
      <c r="BF72" s="104">
        <v>3</v>
      </c>
      <c r="BG72" s="104"/>
      <c r="BH72" s="104"/>
      <c r="BI72" s="104"/>
      <c r="BJ72" s="104"/>
      <c r="BK72" s="104"/>
      <c r="BL72" s="104"/>
      <c r="BM72" s="104"/>
      <c r="BN72" s="145"/>
      <c r="BO72" s="148">
        <f t="shared" si="19"/>
        <v>5</v>
      </c>
      <c r="BP72" s="105"/>
      <c r="BQ72" s="105"/>
      <c r="BR72" s="105"/>
      <c r="BS72" s="71">
        <f t="shared" si="32"/>
        <v>40</v>
      </c>
      <c r="BT72" s="71">
        <f t="shared" si="33"/>
        <v>60</v>
      </c>
      <c r="BU72" s="71">
        <f t="shared" si="34"/>
        <v>60</v>
      </c>
      <c r="BV72" s="15">
        <f t="shared" si="23"/>
        <v>1</v>
      </c>
      <c r="BW72" s="15" t="str">
        <f t="shared" si="24"/>
        <v>тўғри</v>
      </c>
      <c r="BX72" s="71">
        <f t="shared" si="25"/>
        <v>5</v>
      </c>
      <c r="BY72" s="15">
        <f t="shared" si="26"/>
        <v>1</v>
      </c>
      <c r="BZ72" s="15" t="str">
        <f t="shared" si="27"/>
        <v>тўғри</v>
      </c>
    </row>
    <row r="73" spans="1:78" ht="28.5" customHeight="1" x14ac:dyDescent="0.25">
      <c r="A73" s="71">
        <v>1</v>
      </c>
      <c r="B73" s="104" t="s">
        <v>216</v>
      </c>
      <c r="C73" s="104"/>
      <c r="D73" s="180" t="s">
        <v>138</v>
      </c>
      <c r="E73" s="180"/>
      <c r="F73" s="180"/>
      <c r="G73" s="180"/>
      <c r="H73" s="180"/>
      <c r="I73" s="180"/>
      <c r="J73" s="180"/>
      <c r="K73" s="180"/>
      <c r="L73" s="180"/>
      <c r="M73" s="180"/>
      <c r="N73" s="180"/>
      <c r="O73" s="181"/>
      <c r="P73" s="144"/>
      <c r="Q73" s="106"/>
      <c r="R73" s="106"/>
      <c r="S73" s="131"/>
      <c r="T73" s="131"/>
      <c r="U73" s="151"/>
      <c r="V73" s="152"/>
      <c r="W73" s="106"/>
      <c r="X73" s="106"/>
      <c r="Y73" s="104"/>
      <c r="Z73" s="104"/>
      <c r="AA73" s="104"/>
      <c r="AB73" s="104"/>
      <c r="AC73" s="104"/>
      <c r="AD73" s="104"/>
      <c r="AE73" s="104"/>
      <c r="AF73" s="104"/>
      <c r="AG73" s="104"/>
      <c r="AH73" s="104"/>
      <c r="AI73" s="104"/>
      <c r="AJ73" s="104"/>
      <c r="AK73" s="106"/>
      <c r="AL73" s="106"/>
      <c r="AM73" s="106"/>
      <c r="AN73" s="104"/>
      <c r="AO73" s="104"/>
      <c r="AP73" s="145"/>
      <c r="AQ73" s="146"/>
      <c r="AR73" s="104"/>
      <c r="AS73" s="104"/>
      <c r="AT73" s="104"/>
      <c r="AU73" s="104"/>
      <c r="AV73" s="104"/>
      <c r="AW73" s="104"/>
      <c r="AX73" s="104"/>
      <c r="AY73" s="104"/>
      <c r="AZ73" s="104"/>
      <c r="BA73" s="104"/>
      <c r="BB73" s="145"/>
      <c r="BC73" s="146"/>
      <c r="BD73" s="104"/>
      <c r="BE73" s="104"/>
      <c r="BF73" s="104"/>
      <c r="BG73" s="104"/>
      <c r="BH73" s="104"/>
      <c r="BI73" s="104"/>
      <c r="BJ73" s="104"/>
      <c r="BK73" s="104"/>
      <c r="BL73" s="104"/>
      <c r="BM73" s="104"/>
      <c r="BN73" s="145"/>
      <c r="BO73" s="148">
        <f t="shared" si="19"/>
        <v>0</v>
      </c>
      <c r="BP73" s="105"/>
      <c r="BQ73" s="105"/>
      <c r="BR73" s="105"/>
      <c r="BS73" s="71" t="e">
        <f t="shared" si="32"/>
        <v>#DIV/0!</v>
      </c>
      <c r="BT73" s="71" t="e">
        <f t="shared" si="33"/>
        <v>#DIV/0!</v>
      </c>
      <c r="BU73" s="71">
        <f t="shared" si="34"/>
        <v>0</v>
      </c>
      <c r="BV73" s="15">
        <f t="shared" si="23"/>
        <v>1</v>
      </c>
      <c r="BW73" s="15" t="str">
        <f t="shared" si="24"/>
        <v>тўғри</v>
      </c>
      <c r="BX73" s="71">
        <f t="shared" si="25"/>
        <v>0</v>
      </c>
      <c r="BY73" s="15">
        <f t="shared" si="26"/>
        <v>1</v>
      </c>
      <c r="BZ73" s="15" t="str">
        <f t="shared" si="27"/>
        <v>тўғри</v>
      </c>
    </row>
    <row r="74" spans="1:78" ht="14.25" customHeight="1" x14ac:dyDescent="0.25">
      <c r="A74" s="71">
        <v>2</v>
      </c>
      <c r="B74" s="104" t="s">
        <v>217</v>
      </c>
      <c r="C74" s="104"/>
      <c r="D74" s="149" t="s">
        <v>139</v>
      </c>
      <c r="E74" s="149"/>
      <c r="F74" s="149"/>
      <c r="G74" s="149"/>
      <c r="H74" s="149"/>
      <c r="I74" s="149"/>
      <c r="J74" s="149"/>
      <c r="K74" s="149"/>
      <c r="L74" s="149"/>
      <c r="M74" s="149"/>
      <c r="N74" s="149"/>
      <c r="O74" s="150"/>
      <c r="P74" s="144"/>
      <c r="Q74" s="106"/>
      <c r="R74" s="106"/>
      <c r="S74" s="131"/>
      <c r="T74" s="131"/>
      <c r="U74" s="151"/>
      <c r="V74" s="152"/>
      <c r="W74" s="106"/>
      <c r="X74" s="106"/>
      <c r="Y74" s="104"/>
      <c r="Z74" s="104"/>
      <c r="AA74" s="104"/>
      <c r="AB74" s="104"/>
      <c r="AC74" s="104"/>
      <c r="AD74" s="104"/>
      <c r="AE74" s="104"/>
      <c r="AF74" s="104"/>
      <c r="AG74" s="104"/>
      <c r="AH74" s="104"/>
      <c r="AI74" s="104"/>
      <c r="AJ74" s="104"/>
      <c r="AK74" s="106"/>
      <c r="AL74" s="106"/>
      <c r="AM74" s="106"/>
      <c r="AN74" s="104"/>
      <c r="AO74" s="104"/>
      <c r="AP74" s="145"/>
      <c r="AQ74" s="146"/>
      <c r="AR74" s="104"/>
      <c r="AS74" s="104"/>
      <c r="AT74" s="104"/>
      <c r="AU74" s="104"/>
      <c r="AV74" s="104"/>
      <c r="AW74" s="104"/>
      <c r="AX74" s="104"/>
      <c r="AY74" s="104"/>
      <c r="AZ74" s="104"/>
      <c r="BA74" s="104"/>
      <c r="BB74" s="145"/>
      <c r="BC74" s="146"/>
      <c r="BD74" s="104"/>
      <c r="BE74" s="104"/>
      <c r="BF74" s="104"/>
      <c r="BG74" s="104"/>
      <c r="BH74" s="104"/>
      <c r="BI74" s="104"/>
      <c r="BJ74" s="104"/>
      <c r="BK74" s="104"/>
      <c r="BL74" s="104"/>
      <c r="BM74" s="104"/>
      <c r="BN74" s="145"/>
      <c r="BO74" s="148">
        <f t="shared" si="19"/>
        <v>0</v>
      </c>
      <c r="BP74" s="105"/>
      <c r="BQ74" s="105"/>
      <c r="BR74" s="105"/>
      <c r="BS74" s="71" t="e">
        <f t="shared" si="32"/>
        <v>#DIV/0!</v>
      </c>
      <c r="BT74" s="71" t="e">
        <f t="shared" si="33"/>
        <v>#DIV/0!</v>
      </c>
      <c r="BU74" s="71">
        <f t="shared" si="34"/>
        <v>0</v>
      </c>
      <c r="BV74" s="15">
        <f t="shared" si="23"/>
        <v>1</v>
      </c>
      <c r="BW74" s="15" t="str">
        <f t="shared" si="24"/>
        <v>тўғри</v>
      </c>
      <c r="BX74" s="71">
        <f t="shared" si="25"/>
        <v>0</v>
      </c>
      <c r="BY74" s="15">
        <f t="shared" si="26"/>
        <v>1</v>
      </c>
      <c r="BZ74" s="15" t="str">
        <f t="shared" si="27"/>
        <v>тўғри</v>
      </c>
    </row>
    <row r="75" spans="1:78" ht="14.25" customHeight="1" x14ac:dyDescent="0.25">
      <c r="A75" s="85" t="s">
        <v>12</v>
      </c>
      <c r="B75" s="104"/>
      <c r="C75" s="104"/>
      <c r="D75" s="178" t="s">
        <v>131</v>
      </c>
      <c r="E75" s="178"/>
      <c r="F75" s="178"/>
      <c r="G75" s="178"/>
      <c r="H75" s="178"/>
      <c r="I75" s="178"/>
      <c r="J75" s="178"/>
      <c r="K75" s="178"/>
      <c r="L75" s="178"/>
      <c r="M75" s="178"/>
      <c r="N75" s="178"/>
      <c r="O75" s="179"/>
      <c r="P75" s="144">
        <f>SUM(V75+AN75)</f>
        <v>90</v>
      </c>
      <c r="Q75" s="106"/>
      <c r="R75" s="106"/>
      <c r="S75" s="131"/>
      <c r="T75" s="131"/>
      <c r="U75" s="151"/>
      <c r="V75" s="152">
        <f t="shared" ref="V75" si="37">SUM(AQ75+AT75+AW75+AZ75)*15</f>
        <v>30</v>
      </c>
      <c r="W75" s="106"/>
      <c r="X75" s="106"/>
      <c r="Y75" s="104">
        <v>10</v>
      </c>
      <c r="Z75" s="104"/>
      <c r="AA75" s="104"/>
      <c r="AB75" s="104">
        <v>10</v>
      </c>
      <c r="AC75" s="104"/>
      <c r="AD75" s="104"/>
      <c r="AE75" s="104"/>
      <c r="AF75" s="104"/>
      <c r="AG75" s="104"/>
      <c r="AH75" s="104">
        <v>10</v>
      </c>
      <c r="AI75" s="104"/>
      <c r="AJ75" s="104"/>
      <c r="AK75" s="106"/>
      <c r="AL75" s="106"/>
      <c r="AM75" s="106"/>
      <c r="AN75" s="104">
        <v>60</v>
      </c>
      <c r="AO75" s="104"/>
      <c r="AP75" s="145"/>
      <c r="AQ75" s="146"/>
      <c r="AR75" s="104"/>
      <c r="AS75" s="104"/>
      <c r="AT75" s="104"/>
      <c r="AU75" s="104"/>
      <c r="AV75" s="104"/>
      <c r="AW75" s="104">
        <v>2</v>
      </c>
      <c r="AX75" s="104"/>
      <c r="AY75" s="104"/>
      <c r="AZ75" s="104"/>
      <c r="BA75" s="104"/>
      <c r="BB75" s="145"/>
      <c r="BC75" s="146"/>
      <c r="BD75" s="104"/>
      <c r="BE75" s="104"/>
      <c r="BF75" s="104"/>
      <c r="BG75" s="104"/>
      <c r="BH75" s="104"/>
      <c r="BI75" s="104">
        <v>3</v>
      </c>
      <c r="BJ75" s="104"/>
      <c r="BK75" s="104"/>
      <c r="BL75" s="104"/>
      <c r="BM75" s="104"/>
      <c r="BN75" s="145"/>
      <c r="BO75" s="148">
        <f t="shared" si="19"/>
        <v>3</v>
      </c>
      <c r="BP75" s="105"/>
      <c r="BQ75" s="105"/>
      <c r="BR75" s="105"/>
      <c r="BS75" s="71">
        <f t="shared" si="32"/>
        <v>33.333333333333329</v>
      </c>
      <c r="BT75" s="71">
        <f t="shared" si="33"/>
        <v>66.666666666666657</v>
      </c>
      <c r="BU75" s="71">
        <f t="shared" si="34"/>
        <v>30</v>
      </c>
      <c r="BV75" s="15">
        <f t="shared" si="23"/>
        <v>1</v>
      </c>
      <c r="BW75" s="15" t="str">
        <f t="shared" si="24"/>
        <v>тўғри</v>
      </c>
      <c r="BX75" s="71">
        <f t="shared" si="25"/>
        <v>3</v>
      </c>
      <c r="BY75" s="15">
        <f t="shared" si="26"/>
        <v>1</v>
      </c>
      <c r="BZ75" s="15" t="str">
        <f t="shared" si="27"/>
        <v>тўғри</v>
      </c>
    </row>
    <row r="76" spans="1:78" ht="14.25" customHeight="1" x14ac:dyDescent="0.25">
      <c r="A76" s="71">
        <v>1</v>
      </c>
      <c r="B76" s="104" t="s">
        <v>32</v>
      </c>
      <c r="C76" s="104"/>
      <c r="D76" s="149" t="s">
        <v>247</v>
      </c>
      <c r="E76" s="149"/>
      <c r="F76" s="149"/>
      <c r="G76" s="149"/>
      <c r="H76" s="149"/>
      <c r="I76" s="149"/>
      <c r="J76" s="149"/>
      <c r="K76" s="149"/>
      <c r="L76" s="149"/>
      <c r="M76" s="149"/>
      <c r="N76" s="149"/>
      <c r="O76" s="150"/>
      <c r="P76" s="144"/>
      <c r="Q76" s="106"/>
      <c r="R76" s="106"/>
      <c r="S76" s="131"/>
      <c r="T76" s="131"/>
      <c r="U76" s="151"/>
      <c r="V76" s="152"/>
      <c r="W76" s="106"/>
      <c r="X76" s="106"/>
      <c r="Y76" s="104"/>
      <c r="Z76" s="104"/>
      <c r="AA76" s="104"/>
      <c r="AB76" s="104"/>
      <c r="AC76" s="104"/>
      <c r="AD76" s="104"/>
      <c r="AE76" s="104"/>
      <c r="AF76" s="104"/>
      <c r="AG76" s="104"/>
      <c r="AH76" s="104"/>
      <c r="AI76" s="104"/>
      <c r="AJ76" s="104"/>
      <c r="AK76" s="106"/>
      <c r="AL76" s="106"/>
      <c r="AM76" s="106"/>
      <c r="AN76" s="104"/>
      <c r="AO76" s="104"/>
      <c r="AP76" s="145"/>
      <c r="AQ76" s="146"/>
      <c r="AR76" s="104"/>
      <c r="AS76" s="104"/>
      <c r="AT76" s="104"/>
      <c r="AU76" s="104"/>
      <c r="AV76" s="104"/>
      <c r="AW76" s="104"/>
      <c r="AX76" s="104"/>
      <c r="AY76" s="104"/>
      <c r="AZ76" s="104"/>
      <c r="BA76" s="104"/>
      <c r="BB76" s="145"/>
      <c r="BC76" s="146"/>
      <c r="BD76" s="104"/>
      <c r="BE76" s="104"/>
      <c r="BF76" s="104"/>
      <c r="BG76" s="104"/>
      <c r="BH76" s="104"/>
      <c r="BI76" s="104"/>
      <c r="BJ76" s="104"/>
      <c r="BK76" s="104"/>
      <c r="BL76" s="104"/>
      <c r="BM76" s="104"/>
      <c r="BN76" s="145"/>
      <c r="BO76" s="148">
        <f t="shared" si="19"/>
        <v>0</v>
      </c>
      <c r="BP76" s="105"/>
      <c r="BQ76" s="105"/>
      <c r="BR76" s="105"/>
      <c r="BS76" s="71" t="e">
        <f t="shared" si="32"/>
        <v>#DIV/0!</v>
      </c>
      <c r="BT76" s="71" t="e">
        <f t="shared" si="33"/>
        <v>#DIV/0!</v>
      </c>
      <c r="BU76" s="71">
        <f t="shared" si="34"/>
        <v>0</v>
      </c>
      <c r="BV76" s="15">
        <f t="shared" si="23"/>
        <v>1</v>
      </c>
      <c r="BW76" s="15" t="str">
        <f t="shared" si="24"/>
        <v>тўғри</v>
      </c>
      <c r="BX76" s="71">
        <f t="shared" si="25"/>
        <v>0</v>
      </c>
      <c r="BY76" s="15">
        <f t="shared" si="26"/>
        <v>1</v>
      </c>
      <c r="BZ76" s="15" t="str">
        <f t="shared" si="27"/>
        <v>тўғри</v>
      </c>
    </row>
    <row r="77" spans="1:78" ht="14.25" customHeight="1" x14ac:dyDescent="0.25">
      <c r="A77" s="71">
        <v>2</v>
      </c>
      <c r="B77" s="104" t="s">
        <v>33</v>
      </c>
      <c r="C77" s="104"/>
      <c r="D77" s="149" t="s">
        <v>140</v>
      </c>
      <c r="E77" s="149"/>
      <c r="F77" s="149"/>
      <c r="G77" s="149"/>
      <c r="H77" s="149"/>
      <c r="I77" s="149"/>
      <c r="J77" s="149"/>
      <c r="K77" s="149"/>
      <c r="L77" s="149"/>
      <c r="M77" s="149"/>
      <c r="N77" s="149"/>
      <c r="O77" s="150"/>
      <c r="P77" s="144"/>
      <c r="Q77" s="106"/>
      <c r="R77" s="106"/>
      <c r="S77" s="131"/>
      <c r="T77" s="131"/>
      <c r="U77" s="151"/>
      <c r="V77" s="152"/>
      <c r="W77" s="106"/>
      <c r="X77" s="106"/>
      <c r="Y77" s="104"/>
      <c r="Z77" s="104"/>
      <c r="AA77" s="104"/>
      <c r="AB77" s="104"/>
      <c r="AC77" s="104"/>
      <c r="AD77" s="104"/>
      <c r="AE77" s="104"/>
      <c r="AF77" s="104"/>
      <c r="AG77" s="104"/>
      <c r="AH77" s="104"/>
      <c r="AI77" s="104"/>
      <c r="AJ77" s="104"/>
      <c r="AK77" s="106"/>
      <c r="AL77" s="106"/>
      <c r="AM77" s="106"/>
      <c r="AN77" s="104"/>
      <c r="AO77" s="104"/>
      <c r="AP77" s="145"/>
      <c r="AQ77" s="146"/>
      <c r="AR77" s="104"/>
      <c r="AS77" s="104"/>
      <c r="AT77" s="104"/>
      <c r="AU77" s="104"/>
      <c r="AV77" s="104"/>
      <c r="AW77" s="104"/>
      <c r="AX77" s="104"/>
      <c r="AY77" s="104"/>
      <c r="AZ77" s="104"/>
      <c r="BA77" s="104"/>
      <c r="BB77" s="145"/>
      <c r="BC77" s="146"/>
      <c r="BD77" s="104"/>
      <c r="BE77" s="104"/>
      <c r="BF77" s="104"/>
      <c r="BG77" s="104"/>
      <c r="BH77" s="104"/>
      <c r="BI77" s="104"/>
      <c r="BJ77" s="104"/>
      <c r="BK77" s="104"/>
      <c r="BL77" s="104"/>
      <c r="BM77" s="104"/>
      <c r="BN77" s="145"/>
      <c r="BO77" s="148">
        <f t="shared" si="19"/>
        <v>0</v>
      </c>
      <c r="BP77" s="105"/>
      <c r="BQ77" s="105"/>
      <c r="BR77" s="105"/>
      <c r="BS77" s="71" t="e">
        <f t="shared" si="32"/>
        <v>#DIV/0!</v>
      </c>
      <c r="BT77" s="71" t="e">
        <f t="shared" si="33"/>
        <v>#DIV/0!</v>
      </c>
      <c r="BU77" s="71">
        <f t="shared" si="34"/>
        <v>0</v>
      </c>
      <c r="BV77" s="15">
        <f t="shared" si="23"/>
        <v>1</v>
      </c>
      <c r="BW77" s="15" t="str">
        <f t="shared" si="24"/>
        <v>тўғри</v>
      </c>
      <c r="BX77" s="71">
        <f t="shared" si="25"/>
        <v>0</v>
      </c>
      <c r="BY77" s="15">
        <f t="shared" si="26"/>
        <v>1</v>
      </c>
      <c r="BZ77" s="15" t="str">
        <f t="shared" si="27"/>
        <v>тўғри</v>
      </c>
    </row>
    <row r="78" spans="1:78" ht="14.25" customHeight="1" x14ac:dyDescent="0.25">
      <c r="A78" s="71"/>
      <c r="B78" s="104"/>
      <c r="C78" s="104"/>
      <c r="D78" s="184" t="s">
        <v>133</v>
      </c>
      <c r="E78" s="184"/>
      <c r="F78" s="184"/>
      <c r="G78" s="184"/>
      <c r="H78" s="184"/>
      <c r="I78" s="184"/>
      <c r="J78" s="184"/>
      <c r="K78" s="184"/>
      <c r="L78" s="184"/>
      <c r="M78" s="184"/>
      <c r="N78" s="184"/>
      <c r="O78" s="185"/>
      <c r="P78" s="144">
        <f>SUM(V78+AN78)</f>
        <v>1800</v>
      </c>
      <c r="Q78" s="106"/>
      <c r="R78" s="106"/>
      <c r="S78" s="131">
        <f>P78/3600*100</f>
        <v>50</v>
      </c>
      <c r="T78" s="131"/>
      <c r="U78" s="151"/>
      <c r="V78" s="152">
        <f t="shared" ref="V78" si="38">SUM(AQ78+AT78+AW78+AZ78)*15</f>
        <v>690</v>
      </c>
      <c r="W78" s="106"/>
      <c r="X78" s="106"/>
      <c r="Y78" s="106">
        <f>SUM(Y68+Y57)</f>
        <v>104</v>
      </c>
      <c r="Z78" s="106"/>
      <c r="AA78" s="106"/>
      <c r="AB78" s="106">
        <f>SUM(AB68+AB57)</f>
        <v>170</v>
      </c>
      <c r="AC78" s="106"/>
      <c r="AD78" s="106"/>
      <c r="AE78" s="106">
        <f>SUM(AE68+AE57)</f>
        <v>360</v>
      </c>
      <c r="AF78" s="106"/>
      <c r="AG78" s="106"/>
      <c r="AH78" s="106">
        <f>SUM(AH68+AH57)</f>
        <v>56</v>
      </c>
      <c r="AI78" s="106"/>
      <c r="AJ78" s="106"/>
      <c r="AK78" s="106"/>
      <c r="AL78" s="106"/>
      <c r="AM78" s="106"/>
      <c r="AN78" s="106">
        <f>SUM(AN68+AN57)</f>
        <v>1110</v>
      </c>
      <c r="AO78" s="106"/>
      <c r="AP78" s="147"/>
      <c r="AQ78" s="144">
        <f>SUM(AQ68+AQ57)</f>
        <v>18</v>
      </c>
      <c r="AR78" s="106"/>
      <c r="AS78" s="106"/>
      <c r="AT78" s="106">
        <f>SUM(AT68+AT57)</f>
        <v>10</v>
      </c>
      <c r="AU78" s="106"/>
      <c r="AV78" s="106"/>
      <c r="AW78" s="106">
        <f>SUM(AW68+AW57)</f>
        <v>12</v>
      </c>
      <c r="AX78" s="106"/>
      <c r="AY78" s="106"/>
      <c r="AZ78" s="106">
        <f>SUM(AZ68+AZ57)</f>
        <v>6</v>
      </c>
      <c r="BA78" s="106"/>
      <c r="BB78" s="147"/>
      <c r="BC78" s="144">
        <f>SUM(BC68+BC57)</f>
        <v>24</v>
      </c>
      <c r="BD78" s="106"/>
      <c r="BE78" s="106"/>
      <c r="BF78" s="106">
        <f>SUM(BF68+BF57)</f>
        <v>13</v>
      </c>
      <c r="BG78" s="106"/>
      <c r="BH78" s="106"/>
      <c r="BI78" s="106">
        <f>SUM(BI68+BI57)</f>
        <v>15</v>
      </c>
      <c r="BJ78" s="106"/>
      <c r="BK78" s="106"/>
      <c r="BL78" s="106">
        <f>SUM(BL68+BL57)</f>
        <v>8</v>
      </c>
      <c r="BM78" s="106"/>
      <c r="BN78" s="147"/>
      <c r="BO78" s="148">
        <f>SUM(P78/30)</f>
        <v>60</v>
      </c>
      <c r="BP78" s="105"/>
      <c r="BQ78" s="105"/>
      <c r="BR78" s="105"/>
      <c r="BS78" s="71">
        <f>SUM(V78/P78)*100</f>
        <v>38.333333333333336</v>
      </c>
      <c r="BT78" s="71">
        <f t="shared" si="29"/>
        <v>61.666666666666671</v>
      </c>
      <c r="BU78" s="71">
        <f t="shared" si="30"/>
        <v>690</v>
      </c>
      <c r="BV78" s="15">
        <f t="shared" si="23"/>
        <v>1</v>
      </c>
      <c r="BW78" s="15" t="str">
        <f t="shared" si="24"/>
        <v>тўғри</v>
      </c>
      <c r="BX78" s="71">
        <f t="shared" si="25"/>
        <v>60</v>
      </c>
      <c r="BY78" s="15">
        <f t="shared" si="26"/>
        <v>1</v>
      </c>
      <c r="BZ78" s="15" t="str">
        <f>IF(BY78=1,"тўғри","хато")</f>
        <v>тўғри</v>
      </c>
    </row>
    <row r="79" spans="1:78" ht="14.25" customHeight="1" x14ac:dyDescent="0.25">
      <c r="A79" s="72" t="s">
        <v>49</v>
      </c>
      <c r="B79" s="104"/>
      <c r="C79" s="104"/>
      <c r="D79" s="182" t="s">
        <v>132</v>
      </c>
      <c r="E79" s="182"/>
      <c r="F79" s="182"/>
      <c r="G79" s="182"/>
      <c r="H79" s="182"/>
      <c r="I79" s="182"/>
      <c r="J79" s="182"/>
      <c r="K79" s="182"/>
      <c r="L79" s="182"/>
      <c r="M79" s="182"/>
      <c r="N79" s="182"/>
      <c r="O79" s="183"/>
      <c r="P79" s="144">
        <f>SUM(V79+AN79)</f>
        <v>1800</v>
      </c>
      <c r="Q79" s="106"/>
      <c r="R79" s="106"/>
      <c r="S79" s="131">
        <f>P79/3600*100</f>
        <v>50</v>
      </c>
      <c r="T79" s="131"/>
      <c r="U79" s="151"/>
      <c r="V79" s="152">
        <f>SUM(AQ79+AT79+AW79+AZ79)*15</f>
        <v>750</v>
      </c>
      <c r="W79" s="106"/>
      <c r="X79" s="106"/>
      <c r="Y79" s="106"/>
      <c r="Z79" s="106"/>
      <c r="AA79" s="106"/>
      <c r="AB79" s="106"/>
      <c r="AC79" s="106"/>
      <c r="AD79" s="106"/>
      <c r="AE79" s="106"/>
      <c r="AF79" s="106"/>
      <c r="AG79" s="106"/>
      <c r="AH79" s="106"/>
      <c r="AI79" s="106"/>
      <c r="AJ79" s="106"/>
      <c r="AK79" s="106"/>
      <c r="AL79" s="106"/>
      <c r="AM79" s="106"/>
      <c r="AN79" s="106">
        <f>SUM(AN80:AP82)</f>
        <v>1050</v>
      </c>
      <c r="AO79" s="106"/>
      <c r="AP79" s="147"/>
      <c r="AQ79" s="144">
        <f>SUM(AQ80:AS82)</f>
        <v>6</v>
      </c>
      <c r="AR79" s="106"/>
      <c r="AS79" s="106"/>
      <c r="AT79" s="106">
        <f>SUM(AT80:AV82)</f>
        <v>14</v>
      </c>
      <c r="AU79" s="106"/>
      <c r="AV79" s="106"/>
      <c r="AW79" s="106">
        <f>SUM(AW80:AY82)</f>
        <v>12</v>
      </c>
      <c r="AX79" s="106"/>
      <c r="AY79" s="106"/>
      <c r="AZ79" s="106">
        <f>SUM(AZ80:BB82)</f>
        <v>18</v>
      </c>
      <c r="BA79" s="106"/>
      <c r="BB79" s="147"/>
      <c r="BC79" s="144">
        <f>SUM(BC80:BE82)</f>
        <v>6</v>
      </c>
      <c r="BD79" s="106"/>
      <c r="BE79" s="106"/>
      <c r="BF79" s="106">
        <f>SUM(BF80:BH82)</f>
        <v>17</v>
      </c>
      <c r="BG79" s="106"/>
      <c r="BH79" s="106"/>
      <c r="BI79" s="106">
        <f>SUM(BI80:BK82)</f>
        <v>15</v>
      </c>
      <c r="BJ79" s="106"/>
      <c r="BK79" s="106"/>
      <c r="BL79" s="106">
        <f>SUM(BL80:BN82)</f>
        <v>22</v>
      </c>
      <c r="BM79" s="106"/>
      <c r="BN79" s="147"/>
      <c r="BO79" s="148">
        <f>SUM(P79/30)</f>
        <v>60</v>
      </c>
      <c r="BP79" s="105"/>
      <c r="BQ79" s="105"/>
      <c r="BR79" s="105"/>
      <c r="BS79" s="71">
        <f t="shared" si="28"/>
        <v>41.666666666666671</v>
      </c>
      <c r="BT79" s="71">
        <f t="shared" si="29"/>
        <v>58.333333333333336</v>
      </c>
      <c r="BU79" s="71"/>
      <c r="BV79" s="15"/>
      <c r="BW79" s="15"/>
      <c r="BX79" s="71">
        <f>SUM(BC79:BN79)</f>
        <v>60</v>
      </c>
      <c r="BY79" s="15">
        <f t="shared" si="26"/>
        <v>1</v>
      </c>
      <c r="BZ79" s="15" t="str">
        <f t="shared" ref="BZ79:BZ81" si="39">IF(BY79=1,"тўғри","хато")</f>
        <v>тўғри</v>
      </c>
    </row>
    <row r="80" spans="1:78" ht="28.5" customHeight="1" x14ac:dyDescent="0.25">
      <c r="A80" s="14" t="s">
        <v>50</v>
      </c>
      <c r="B80" s="104"/>
      <c r="C80" s="104"/>
      <c r="D80" s="180" t="s">
        <v>99</v>
      </c>
      <c r="E80" s="180"/>
      <c r="F80" s="180"/>
      <c r="G80" s="180"/>
      <c r="H80" s="180"/>
      <c r="I80" s="180"/>
      <c r="J80" s="180"/>
      <c r="K80" s="180"/>
      <c r="L80" s="180"/>
      <c r="M80" s="180"/>
      <c r="N80" s="180"/>
      <c r="O80" s="181"/>
      <c r="P80" s="144">
        <f>SUM(V80+AN80)</f>
        <v>1080</v>
      </c>
      <c r="Q80" s="106"/>
      <c r="R80" s="106"/>
      <c r="S80" s="106"/>
      <c r="T80" s="106"/>
      <c r="U80" s="147"/>
      <c r="V80" s="152">
        <f t="shared" ref="V80:V82" si="40">SUM(AQ80+AT80+AW80+AZ80)*15</f>
        <v>480</v>
      </c>
      <c r="W80" s="106"/>
      <c r="X80" s="106"/>
      <c r="Y80" s="106"/>
      <c r="Z80" s="106"/>
      <c r="AA80" s="106"/>
      <c r="AB80" s="106"/>
      <c r="AC80" s="106"/>
      <c r="AD80" s="106"/>
      <c r="AE80" s="106"/>
      <c r="AF80" s="106"/>
      <c r="AG80" s="106"/>
      <c r="AH80" s="106"/>
      <c r="AI80" s="106"/>
      <c r="AJ80" s="106"/>
      <c r="AK80" s="106"/>
      <c r="AL80" s="106"/>
      <c r="AM80" s="106"/>
      <c r="AN80" s="104">
        <v>600</v>
      </c>
      <c r="AO80" s="104"/>
      <c r="AP80" s="145"/>
      <c r="AQ80" s="146">
        <v>4</v>
      </c>
      <c r="AR80" s="104"/>
      <c r="AS80" s="104"/>
      <c r="AT80" s="104">
        <v>6</v>
      </c>
      <c r="AU80" s="104"/>
      <c r="AV80" s="104"/>
      <c r="AW80" s="104">
        <v>10</v>
      </c>
      <c r="AX80" s="104"/>
      <c r="AY80" s="104"/>
      <c r="AZ80" s="104">
        <v>12</v>
      </c>
      <c r="BA80" s="104"/>
      <c r="BB80" s="145"/>
      <c r="BC80" s="146">
        <v>4</v>
      </c>
      <c r="BD80" s="104"/>
      <c r="BE80" s="104"/>
      <c r="BF80" s="104">
        <v>6</v>
      </c>
      <c r="BG80" s="104"/>
      <c r="BH80" s="104"/>
      <c r="BI80" s="104">
        <v>12</v>
      </c>
      <c r="BJ80" s="104"/>
      <c r="BK80" s="104"/>
      <c r="BL80" s="104">
        <v>14</v>
      </c>
      <c r="BM80" s="104"/>
      <c r="BN80" s="145"/>
      <c r="BO80" s="148">
        <f t="shared" ref="BO80:BO82" si="41">SUM(P80/30)</f>
        <v>36</v>
      </c>
      <c r="BP80" s="105"/>
      <c r="BQ80" s="105"/>
      <c r="BR80" s="105"/>
      <c r="BS80" s="71">
        <f t="shared" ref="BS80:BS82" si="42">SUM(V80/P80)*100</f>
        <v>44.444444444444443</v>
      </c>
      <c r="BT80" s="71">
        <f t="shared" ref="BT80:BT82" si="43">SUM(AN80/P80)*100</f>
        <v>55.555555555555557</v>
      </c>
      <c r="BU80" s="71"/>
      <c r="BV80" s="15"/>
      <c r="BW80" s="15" t="str">
        <f>IF(BV80=1,"тўғри","хато")</f>
        <v>хато</v>
      </c>
      <c r="BX80" s="71">
        <f>SUM(BC80:BN80)</f>
        <v>36</v>
      </c>
      <c r="BY80" s="15">
        <f t="shared" si="26"/>
        <v>1</v>
      </c>
      <c r="BZ80" s="15" t="str">
        <f t="shared" si="39"/>
        <v>тўғри</v>
      </c>
    </row>
    <row r="81" spans="1:78" ht="14.25" customHeight="1" x14ac:dyDescent="0.25">
      <c r="A81" s="14" t="s">
        <v>51</v>
      </c>
      <c r="B81" s="104"/>
      <c r="C81" s="104"/>
      <c r="D81" s="149" t="s">
        <v>134</v>
      </c>
      <c r="E81" s="149"/>
      <c r="F81" s="149"/>
      <c r="G81" s="149"/>
      <c r="H81" s="149"/>
      <c r="I81" s="149"/>
      <c r="J81" s="149"/>
      <c r="K81" s="149"/>
      <c r="L81" s="149"/>
      <c r="M81" s="149"/>
      <c r="N81" s="149"/>
      <c r="O81" s="150"/>
      <c r="P81" s="144">
        <f t="shared" ref="P81:P82" si="44">SUM(V81+AN81)</f>
        <v>240</v>
      </c>
      <c r="Q81" s="106"/>
      <c r="R81" s="106"/>
      <c r="S81" s="106"/>
      <c r="T81" s="106"/>
      <c r="U81" s="147"/>
      <c r="V81" s="152">
        <f t="shared" si="40"/>
        <v>90</v>
      </c>
      <c r="W81" s="106"/>
      <c r="X81" s="106"/>
      <c r="Y81" s="106"/>
      <c r="Z81" s="106"/>
      <c r="AA81" s="106"/>
      <c r="AB81" s="106"/>
      <c r="AC81" s="106"/>
      <c r="AD81" s="106"/>
      <c r="AE81" s="106"/>
      <c r="AF81" s="106"/>
      <c r="AG81" s="106"/>
      <c r="AH81" s="106"/>
      <c r="AI81" s="106"/>
      <c r="AJ81" s="106"/>
      <c r="AK81" s="106"/>
      <c r="AL81" s="106"/>
      <c r="AM81" s="106"/>
      <c r="AN81" s="104">
        <v>150</v>
      </c>
      <c r="AO81" s="104"/>
      <c r="AP81" s="145"/>
      <c r="AQ81" s="146">
        <v>2</v>
      </c>
      <c r="AR81" s="104"/>
      <c r="AS81" s="104"/>
      <c r="AT81" s="104">
        <v>2</v>
      </c>
      <c r="AU81" s="104"/>
      <c r="AV81" s="104"/>
      <c r="AW81" s="104">
        <v>2</v>
      </c>
      <c r="AX81" s="104"/>
      <c r="AY81" s="104"/>
      <c r="AZ81" s="104"/>
      <c r="BA81" s="104"/>
      <c r="BB81" s="145"/>
      <c r="BC81" s="146">
        <v>2</v>
      </c>
      <c r="BD81" s="104"/>
      <c r="BE81" s="104"/>
      <c r="BF81" s="104">
        <v>3</v>
      </c>
      <c r="BG81" s="104"/>
      <c r="BH81" s="104"/>
      <c r="BI81" s="104">
        <v>3</v>
      </c>
      <c r="BJ81" s="104"/>
      <c r="BK81" s="104"/>
      <c r="BL81" s="104"/>
      <c r="BM81" s="104"/>
      <c r="BN81" s="145"/>
      <c r="BO81" s="148">
        <f t="shared" si="41"/>
        <v>8</v>
      </c>
      <c r="BP81" s="105"/>
      <c r="BQ81" s="105"/>
      <c r="BR81" s="105"/>
      <c r="BS81" s="71">
        <f t="shared" si="42"/>
        <v>37.5</v>
      </c>
      <c r="BT81" s="71">
        <f t="shared" si="43"/>
        <v>62.5</v>
      </c>
      <c r="BU81" s="71"/>
      <c r="BV81" s="15"/>
      <c r="BW81" s="15" t="str">
        <f t="shared" ref="BW81:BW82" si="45">IF(BV81=1,"тўғри","хато")</f>
        <v>хато</v>
      </c>
      <c r="BX81" s="71">
        <f t="shared" ref="BX81:BX82" si="46">SUM(BC81:BN81)</f>
        <v>8</v>
      </c>
      <c r="BY81" s="15">
        <f t="shared" si="26"/>
        <v>1</v>
      </c>
      <c r="BZ81" s="15" t="str">
        <f t="shared" si="39"/>
        <v>тўғри</v>
      </c>
    </row>
    <row r="82" spans="1:78" ht="14.25" customHeight="1" x14ac:dyDescent="0.25">
      <c r="A82" s="14" t="s">
        <v>52</v>
      </c>
      <c r="B82" s="104"/>
      <c r="C82" s="104"/>
      <c r="D82" s="149" t="s">
        <v>135</v>
      </c>
      <c r="E82" s="149"/>
      <c r="F82" s="149"/>
      <c r="G82" s="149"/>
      <c r="H82" s="149"/>
      <c r="I82" s="149"/>
      <c r="J82" s="149"/>
      <c r="K82" s="149"/>
      <c r="L82" s="149"/>
      <c r="M82" s="149"/>
      <c r="N82" s="149"/>
      <c r="O82" s="150"/>
      <c r="P82" s="144">
        <f t="shared" si="44"/>
        <v>480</v>
      </c>
      <c r="Q82" s="106"/>
      <c r="R82" s="106"/>
      <c r="S82" s="106"/>
      <c r="T82" s="106"/>
      <c r="U82" s="147"/>
      <c r="V82" s="152">
        <f t="shared" si="40"/>
        <v>180</v>
      </c>
      <c r="W82" s="106"/>
      <c r="X82" s="106"/>
      <c r="Y82" s="106"/>
      <c r="Z82" s="106"/>
      <c r="AA82" s="106"/>
      <c r="AB82" s="106"/>
      <c r="AC82" s="106"/>
      <c r="AD82" s="106"/>
      <c r="AE82" s="106"/>
      <c r="AF82" s="106"/>
      <c r="AG82" s="106"/>
      <c r="AH82" s="106"/>
      <c r="AI82" s="106"/>
      <c r="AJ82" s="106"/>
      <c r="AK82" s="106"/>
      <c r="AL82" s="106"/>
      <c r="AM82" s="106"/>
      <c r="AN82" s="104">
        <v>300</v>
      </c>
      <c r="AO82" s="104"/>
      <c r="AP82" s="145"/>
      <c r="AQ82" s="146"/>
      <c r="AR82" s="104"/>
      <c r="AS82" s="104"/>
      <c r="AT82" s="104">
        <v>6</v>
      </c>
      <c r="AU82" s="104"/>
      <c r="AV82" s="104"/>
      <c r="AW82" s="104"/>
      <c r="AX82" s="104"/>
      <c r="AY82" s="104"/>
      <c r="AZ82" s="104">
        <v>6</v>
      </c>
      <c r="BA82" s="104"/>
      <c r="BB82" s="145"/>
      <c r="BC82" s="146"/>
      <c r="BD82" s="104"/>
      <c r="BE82" s="104"/>
      <c r="BF82" s="104">
        <v>8</v>
      </c>
      <c r="BG82" s="104"/>
      <c r="BH82" s="104"/>
      <c r="BI82" s="104"/>
      <c r="BJ82" s="104"/>
      <c r="BK82" s="104"/>
      <c r="BL82" s="104">
        <v>8</v>
      </c>
      <c r="BM82" s="104"/>
      <c r="BN82" s="145"/>
      <c r="BO82" s="148">
        <f t="shared" si="41"/>
        <v>16</v>
      </c>
      <c r="BP82" s="105"/>
      <c r="BQ82" s="105"/>
      <c r="BR82" s="105"/>
      <c r="BS82" s="71">
        <f t="shared" si="42"/>
        <v>37.5</v>
      </c>
      <c r="BT82" s="71">
        <f t="shared" si="43"/>
        <v>62.5</v>
      </c>
      <c r="BU82" s="71"/>
      <c r="BV82" s="15"/>
      <c r="BW82" s="15" t="str">
        <f t="shared" si="45"/>
        <v>хато</v>
      </c>
      <c r="BX82" s="71">
        <f t="shared" si="46"/>
        <v>16</v>
      </c>
      <c r="BY82" s="15">
        <f t="shared" si="26"/>
        <v>1</v>
      </c>
      <c r="BZ82" s="15" t="str">
        <f>IF(BY82=1,"тўғри","хато")</f>
        <v>тўғри</v>
      </c>
    </row>
    <row r="83" spans="1:78" ht="14.25" customHeight="1" x14ac:dyDescent="0.25">
      <c r="A83" s="71"/>
      <c r="B83" s="130"/>
      <c r="C83" s="130"/>
      <c r="D83" s="184" t="s">
        <v>133</v>
      </c>
      <c r="E83" s="184"/>
      <c r="F83" s="184"/>
      <c r="G83" s="184"/>
      <c r="H83" s="184"/>
      <c r="I83" s="184"/>
      <c r="J83" s="184"/>
      <c r="K83" s="184"/>
      <c r="L83" s="184"/>
      <c r="M83" s="184"/>
      <c r="N83" s="184"/>
      <c r="O83" s="185"/>
      <c r="P83" s="144">
        <f>SUM(P79,P78)</f>
        <v>3600</v>
      </c>
      <c r="Q83" s="106"/>
      <c r="R83" s="106"/>
      <c r="S83" s="131">
        <f>P83/3600*100</f>
        <v>100</v>
      </c>
      <c r="T83" s="131"/>
      <c r="U83" s="151"/>
      <c r="V83" s="152">
        <f>SUM(V79+V77)</f>
        <v>750</v>
      </c>
      <c r="W83" s="106"/>
      <c r="X83" s="106"/>
      <c r="Y83" s="106"/>
      <c r="Z83" s="106"/>
      <c r="AA83" s="106"/>
      <c r="AB83" s="106"/>
      <c r="AC83" s="106"/>
      <c r="AD83" s="106"/>
      <c r="AE83" s="106"/>
      <c r="AF83" s="106"/>
      <c r="AG83" s="106"/>
      <c r="AH83" s="106"/>
      <c r="AI83" s="106"/>
      <c r="AJ83" s="106"/>
      <c r="AK83" s="106"/>
      <c r="AL83" s="106"/>
      <c r="AM83" s="106"/>
      <c r="AN83" s="106">
        <f>SUM(AN79+AN78)</f>
        <v>2160</v>
      </c>
      <c r="AO83" s="106"/>
      <c r="AP83" s="147"/>
      <c r="AQ83" s="144">
        <f>SUM(AQ79+AQ78)</f>
        <v>24</v>
      </c>
      <c r="AR83" s="106"/>
      <c r="AS83" s="106"/>
      <c r="AT83" s="106">
        <f t="shared" ref="AT83" si="47">SUM(AT79+AT78)</f>
        <v>24</v>
      </c>
      <c r="AU83" s="106"/>
      <c r="AV83" s="106"/>
      <c r="AW83" s="106">
        <f>SUM(AW79+AW78)</f>
        <v>24</v>
      </c>
      <c r="AX83" s="106"/>
      <c r="AY83" s="106"/>
      <c r="AZ83" s="106">
        <f>SUM(AZ79+AZ78)</f>
        <v>24</v>
      </c>
      <c r="BA83" s="106"/>
      <c r="BB83" s="147"/>
      <c r="BC83" s="144">
        <f>SUM(BC79+BC78)</f>
        <v>30</v>
      </c>
      <c r="BD83" s="106"/>
      <c r="BE83" s="106"/>
      <c r="BF83" s="106">
        <f>SUM(BF79+BF78)</f>
        <v>30</v>
      </c>
      <c r="BG83" s="106"/>
      <c r="BH83" s="106"/>
      <c r="BI83" s="106">
        <f>SUM(BI79+BI78)</f>
        <v>30</v>
      </c>
      <c r="BJ83" s="106"/>
      <c r="BK83" s="106"/>
      <c r="BL83" s="106">
        <f>SUM(BL79+BL78)</f>
        <v>30</v>
      </c>
      <c r="BM83" s="106"/>
      <c r="BN83" s="147"/>
      <c r="BO83" s="148">
        <f>SUM(P83/30)</f>
        <v>120</v>
      </c>
      <c r="BP83" s="105"/>
      <c r="BQ83" s="105"/>
      <c r="BR83" s="105"/>
      <c r="BS83" s="71">
        <f t="shared" si="20"/>
        <v>20.833333333333336</v>
      </c>
      <c r="BT83" s="71">
        <f t="shared" si="21"/>
        <v>60</v>
      </c>
      <c r="BU83" s="71"/>
      <c r="BV83" s="15"/>
      <c r="BW83" s="15"/>
      <c r="BX83" s="71">
        <f t="shared" si="25"/>
        <v>120</v>
      </c>
      <c r="BY83" s="15">
        <f t="shared" si="26"/>
        <v>1</v>
      </c>
      <c r="BZ83" s="15" t="str">
        <f t="shared" si="27"/>
        <v>тўғри</v>
      </c>
    </row>
    <row r="84" spans="1:78" ht="14.25" customHeight="1" x14ac:dyDescent="0.25">
      <c r="A84" s="1"/>
      <c r="B84" s="16"/>
      <c r="C84" s="16"/>
      <c r="D84" s="17"/>
      <c r="E84" s="17"/>
      <c r="F84" s="17"/>
      <c r="G84" s="17"/>
      <c r="H84" s="17"/>
      <c r="I84" s="17"/>
      <c r="J84" s="17"/>
      <c r="K84" s="17"/>
      <c r="L84" s="17"/>
      <c r="M84" s="17"/>
      <c r="N84" s="17"/>
      <c r="O84" s="17"/>
      <c r="P84" s="18"/>
      <c r="Q84" s="18"/>
      <c r="R84" s="18"/>
      <c r="S84" s="18"/>
      <c r="T84" s="18"/>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
      <c r="BC84" s="1"/>
      <c r="BD84" s="1"/>
      <c r="BE84" s="1"/>
      <c r="BF84" s="1"/>
      <c r="BG84" s="1"/>
      <c r="BH84" s="1"/>
      <c r="BI84" s="1"/>
      <c r="BJ84" s="1"/>
      <c r="BK84" s="1"/>
      <c r="BL84" s="1"/>
      <c r="BM84" s="1"/>
      <c r="BN84" s="1"/>
      <c r="BO84" s="20"/>
      <c r="BP84" s="20"/>
      <c r="BQ84" s="20"/>
      <c r="BR84" s="20"/>
    </row>
    <row r="85" spans="1:78" ht="14.25" customHeight="1" thickBot="1" x14ac:dyDescent="0.3">
      <c r="A85" s="1"/>
      <c r="B85" s="16"/>
      <c r="C85" s="16"/>
      <c r="D85" s="17"/>
      <c r="E85" s="17"/>
      <c r="F85" s="17"/>
      <c r="G85" s="17"/>
      <c r="H85" s="17"/>
      <c r="I85" s="17"/>
      <c r="J85" s="17"/>
      <c r="K85" s="17"/>
      <c r="L85" s="17"/>
      <c r="M85" s="17"/>
      <c r="N85" s="17"/>
      <c r="O85" s="17"/>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
      <c r="BC85" s="1"/>
      <c r="BD85" s="1"/>
      <c r="BE85" s="1"/>
      <c r="BF85" s="1"/>
      <c r="BG85" s="1"/>
      <c r="BH85" s="1"/>
      <c r="BI85" s="1"/>
      <c r="BJ85" s="1"/>
      <c r="BK85" s="1"/>
      <c r="BL85" s="1"/>
      <c r="BM85" s="1"/>
      <c r="BN85" s="1"/>
      <c r="BO85" s="20"/>
      <c r="BP85" s="20"/>
      <c r="BQ85" s="20"/>
      <c r="BR85" s="20"/>
    </row>
    <row r="86" spans="1:78" s="24" customFormat="1" ht="14.25" customHeight="1" x14ac:dyDescent="0.35">
      <c r="A86" s="21"/>
      <c r="B86" s="16"/>
      <c r="C86" s="16"/>
      <c r="D86" s="74"/>
      <c r="E86" s="74"/>
      <c r="F86" s="74"/>
      <c r="G86" s="74"/>
      <c r="H86" s="74"/>
      <c r="I86" s="74"/>
      <c r="J86" s="74"/>
      <c r="K86" s="74"/>
      <c r="L86" s="74"/>
      <c r="M86" s="74"/>
      <c r="N86" s="74"/>
      <c r="O86" s="74"/>
      <c r="P86" s="22"/>
      <c r="Q86" s="22"/>
      <c r="R86" s="22"/>
      <c r="S86" s="22"/>
      <c r="T86" s="22"/>
      <c r="U86" s="22"/>
      <c r="V86" s="191" t="s">
        <v>129</v>
      </c>
      <c r="W86" s="192"/>
      <c r="X86" s="192"/>
      <c r="Y86" s="192"/>
      <c r="Z86" s="192"/>
      <c r="AA86" s="192"/>
      <c r="AB86" s="192"/>
      <c r="AC86" s="192"/>
      <c r="AD86" s="192"/>
      <c r="AE86" s="192"/>
      <c r="AF86" s="192"/>
      <c r="AG86" s="192"/>
      <c r="AH86" s="192"/>
      <c r="AI86" s="192"/>
      <c r="AJ86" s="192"/>
      <c r="AK86" s="192"/>
      <c r="AL86" s="192"/>
      <c r="AM86" s="192"/>
      <c r="AN86" s="192"/>
      <c r="AO86" s="192"/>
      <c r="AP86" s="192"/>
      <c r="AQ86" s="192"/>
      <c r="AR86" s="192"/>
      <c r="AS86" s="192"/>
      <c r="AT86" s="192"/>
      <c r="AU86" s="192"/>
      <c r="AV86" s="192"/>
      <c r="AW86" s="192"/>
      <c r="AX86" s="192"/>
      <c r="AY86" s="192"/>
      <c r="AZ86" s="193"/>
      <c r="BA86" s="22"/>
      <c r="BB86" s="22"/>
      <c r="BC86" s="22"/>
      <c r="BD86" s="22"/>
      <c r="BE86" s="22"/>
      <c r="BF86" s="22"/>
      <c r="BG86" s="22"/>
      <c r="BH86" s="22"/>
      <c r="BI86" s="22"/>
      <c r="BJ86" s="22"/>
      <c r="BK86" s="22"/>
      <c r="BL86" s="22"/>
      <c r="BM86" s="22"/>
      <c r="BN86" s="22"/>
      <c r="BO86" s="23"/>
      <c r="BP86" s="23"/>
      <c r="BQ86" s="23"/>
      <c r="BR86" s="23"/>
      <c r="BS86" s="1"/>
      <c r="BT86" s="1"/>
      <c r="BU86" s="1"/>
      <c r="BV86" s="1"/>
      <c r="BW86" s="1"/>
      <c r="BX86" s="1"/>
      <c r="BY86" s="1"/>
      <c r="BZ86" s="1"/>
    </row>
    <row r="87" spans="1:78" s="24" customFormat="1" ht="14.25" customHeight="1" x14ac:dyDescent="0.35">
      <c r="A87" s="21"/>
      <c r="B87" s="16"/>
      <c r="C87" s="16"/>
      <c r="D87" s="74"/>
      <c r="E87" s="74"/>
      <c r="F87" s="74"/>
      <c r="G87" s="74"/>
      <c r="H87" s="74"/>
      <c r="I87" s="74"/>
      <c r="J87" s="74"/>
      <c r="K87" s="74"/>
      <c r="L87" s="74"/>
      <c r="M87" s="74"/>
      <c r="N87" s="74"/>
      <c r="O87" s="74"/>
      <c r="P87" s="22"/>
      <c r="Q87" s="22"/>
      <c r="R87" s="22"/>
      <c r="S87" s="22"/>
      <c r="T87" s="22"/>
      <c r="U87" s="22"/>
      <c r="V87" s="194"/>
      <c r="W87" s="195"/>
      <c r="X87" s="195"/>
      <c r="Y87" s="195"/>
      <c r="Z87" s="195"/>
      <c r="AA87" s="195"/>
      <c r="AB87" s="195"/>
      <c r="AC87" s="195"/>
      <c r="AD87" s="195"/>
      <c r="AE87" s="195"/>
      <c r="AF87" s="195"/>
      <c r="AG87" s="195"/>
      <c r="AH87" s="195"/>
      <c r="AI87" s="195"/>
      <c r="AJ87" s="195"/>
      <c r="AK87" s="195"/>
      <c r="AL87" s="195"/>
      <c r="AM87" s="195"/>
      <c r="AN87" s="195"/>
      <c r="AO87" s="195"/>
      <c r="AP87" s="195"/>
      <c r="AQ87" s="195"/>
      <c r="AR87" s="195"/>
      <c r="AS87" s="195"/>
      <c r="AT87" s="195"/>
      <c r="AU87" s="195"/>
      <c r="AV87" s="195"/>
      <c r="AW87" s="195"/>
      <c r="AX87" s="195"/>
      <c r="AY87" s="195"/>
      <c r="AZ87" s="196"/>
      <c r="BA87" s="22"/>
      <c r="BB87" s="22"/>
      <c r="BC87" s="22"/>
      <c r="BD87" s="22"/>
      <c r="BE87" s="22"/>
      <c r="BF87" s="22"/>
      <c r="BG87" s="22"/>
      <c r="BH87" s="22"/>
      <c r="BI87" s="22"/>
      <c r="BJ87" s="22"/>
      <c r="BK87" s="22"/>
      <c r="BL87" s="22"/>
      <c r="BM87" s="22"/>
      <c r="BN87" s="22"/>
      <c r="BO87" s="23"/>
      <c r="BP87" s="23"/>
      <c r="BQ87" s="23"/>
      <c r="BR87" s="23"/>
      <c r="BS87" s="1"/>
      <c r="BT87" s="1"/>
      <c r="BU87" s="1"/>
      <c r="BV87" s="1"/>
      <c r="BW87" s="1"/>
      <c r="BX87" s="1"/>
      <c r="BY87" s="1"/>
      <c r="BZ87" s="1"/>
    </row>
    <row r="88" spans="1:78" s="24" customFormat="1" ht="14.25" customHeight="1" x14ac:dyDescent="0.35">
      <c r="A88" s="21"/>
      <c r="B88" s="16"/>
      <c r="C88" s="16"/>
      <c r="D88" s="74"/>
      <c r="E88" s="74"/>
      <c r="F88" s="74"/>
      <c r="G88" s="74"/>
      <c r="H88" s="74"/>
      <c r="I88" s="74"/>
      <c r="J88" s="74"/>
      <c r="K88" s="74"/>
      <c r="L88" s="74"/>
      <c r="M88" s="74"/>
      <c r="N88" s="74"/>
      <c r="O88" s="74"/>
      <c r="P88" s="22"/>
      <c r="Q88" s="22"/>
      <c r="R88" s="22"/>
      <c r="S88" s="22"/>
      <c r="T88" s="22"/>
      <c r="U88" s="22"/>
      <c r="V88" s="197" t="s">
        <v>141</v>
      </c>
      <c r="W88" s="198"/>
      <c r="X88" s="198"/>
      <c r="Y88" s="198"/>
      <c r="Z88" s="198"/>
      <c r="AA88" s="198"/>
      <c r="AB88" s="198"/>
      <c r="AC88" s="198"/>
      <c r="AD88" s="198"/>
      <c r="AE88" s="198"/>
      <c r="AF88" s="198"/>
      <c r="AG88" s="198"/>
      <c r="AH88" s="198"/>
      <c r="AI88" s="198"/>
      <c r="AJ88" s="198"/>
      <c r="AK88" s="198"/>
      <c r="AL88" s="198"/>
      <c r="AM88" s="198"/>
      <c r="AN88" s="198"/>
      <c r="AO88" s="198"/>
      <c r="AP88" s="198"/>
      <c r="AQ88" s="198"/>
      <c r="AR88" s="198"/>
      <c r="AS88" s="198"/>
      <c r="AT88" s="198"/>
      <c r="AU88" s="198"/>
      <c r="AV88" s="198"/>
      <c r="AW88" s="198"/>
      <c r="AX88" s="198"/>
      <c r="AY88" s="198"/>
      <c r="AZ88" s="199"/>
      <c r="BA88" s="22"/>
      <c r="BB88" s="22"/>
      <c r="BC88" s="22"/>
      <c r="BD88" s="22"/>
      <c r="BE88" s="22"/>
      <c r="BF88" s="22"/>
      <c r="BG88" s="22"/>
      <c r="BH88" s="22"/>
      <c r="BI88" s="22"/>
      <c r="BJ88" s="22"/>
      <c r="BK88" s="22"/>
      <c r="BL88" s="22"/>
      <c r="BM88" s="22"/>
      <c r="BN88" s="22"/>
      <c r="BO88" s="23"/>
      <c r="BP88" s="23"/>
      <c r="BQ88" s="23"/>
      <c r="BR88" s="23"/>
      <c r="BS88" s="1"/>
      <c r="BT88" s="1"/>
      <c r="BU88" s="1"/>
      <c r="BV88" s="1"/>
      <c r="BW88" s="1"/>
      <c r="BX88" s="1"/>
      <c r="BY88" s="1"/>
      <c r="BZ88" s="1"/>
    </row>
    <row r="89" spans="1:78" ht="14.25" customHeight="1" thickBot="1" x14ac:dyDescent="0.3">
      <c r="A89" s="1"/>
      <c r="B89" s="16"/>
      <c r="C89" s="16"/>
      <c r="D89" s="18"/>
      <c r="E89" s="18"/>
      <c r="F89" s="18"/>
      <c r="G89" s="18"/>
      <c r="H89" s="18"/>
      <c r="I89" s="18"/>
      <c r="J89" s="18"/>
      <c r="K89" s="18"/>
      <c r="L89" s="18"/>
      <c r="M89" s="18"/>
      <c r="N89" s="18"/>
      <c r="O89" s="18"/>
      <c r="P89" s="25"/>
      <c r="Q89" s="25"/>
      <c r="R89" s="25"/>
      <c r="S89" s="25"/>
      <c r="T89" s="25"/>
      <c r="U89" s="25"/>
      <c r="V89" s="200"/>
      <c r="W89" s="201"/>
      <c r="X89" s="201"/>
      <c r="Y89" s="201"/>
      <c r="Z89" s="201"/>
      <c r="AA89" s="201"/>
      <c r="AB89" s="201"/>
      <c r="AC89" s="201"/>
      <c r="AD89" s="201"/>
      <c r="AE89" s="201"/>
      <c r="AF89" s="201"/>
      <c r="AG89" s="201"/>
      <c r="AH89" s="201"/>
      <c r="AI89" s="201"/>
      <c r="AJ89" s="201"/>
      <c r="AK89" s="201"/>
      <c r="AL89" s="201"/>
      <c r="AM89" s="201"/>
      <c r="AN89" s="201"/>
      <c r="AO89" s="201"/>
      <c r="AP89" s="201"/>
      <c r="AQ89" s="201"/>
      <c r="AR89" s="201"/>
      <c r="AS89" s="201"/>
      <c r="AT89" s="201"/>
      <c r="AU89" s="201"/>
      <c r="AV89" s="201"/>
      <c r="AW89" s="201"/>
      <c r="AX89" s="201"/>
      <c r="AY89" s="201"/>
      <c r="AZ89" s="202"/>
      <c r="BA89" s="25"/>
      <c r="BB89" s="25"/>
      <c r="BC89" s="25"/>
      <c r="BD89" s="25"/>
      <c r="BE89" s="25"/>
      <c r="BF89" s="25"/>
      <c r="BG89" s="25"/>
      <c r="BH89" s="25"/>
      <c r="BI89" s="25"/>
      <c r="BJ89" s="25"/>
      <c r="BK89" s="25"/>
      <c r="BL89" s="25"/>
      <c r="BM89" s="25"/>
      <c r="BN89" s="25"/>
      <c r="BO89" s="26"/>
      <c r="BP89" s="26"/>
      <c r="BQ89" s="26"/>
      <c r="BR89" s="26"/>
    </row>
    <row r="90" spans="1:78" ht="14.25" customHeight="1" x14ac:dyDescent="0.25">
      <c r="A90" s="1"/>
      <c r="B90" s="10"/>
      <c r="C90" s="10"/>
      <c r="D90" s="18"/>
      <c r="E90" s="18"/>
      <c r="F90" s="18"/>
      <c r="G90" s="18"/>
      <c r="H90" s="18"/>
      <c r="I90" s="18"/>
      <c r="J90" s="18"/>
      <c r="K90" s="18"/>
      <c r="L90" s="18"/>
      <c r="M90" s="18"/>
      <c r="N90" s="18"/>
      <c r="O90" s="18"/>
      <c r="P90" s="25"/>
      <c r="Q90" s="25"/>
      <c r="R90" s="25"/>
      <c r="S90" s="25"/>
      <c r="T90" s="25"/>
      <c r="U90" s="25"/>
      <c r="V90" s="80"/>
      <c r="W90" s="80"/>
      <c r="X90" s="80"/>
      <c r="Y90" s="80"/>
      <c r="Z90" s="80"/>
      <c r="AA90" s="80"/>
      <c r="AB90" s="80"/>
      <c r="AC90" s="80"/>
      <c r="AD90" s="80"/>
      <c r="AE90" s="80"/>
      <c r="AF90" s="80"/>
      <c r="AG90" s="80"/>
      <c r="AH90" s="80"/>
      <c r="AI90" s="80"/>
      <c r="AJ90" s="80"/>
      <c r="AK90" s="80"/>
      <c r="AL90" s="80"/>
      <c r="AM90" s="80"/>
      <c r="AN90" s="80"/>
      <c r="AO90" s="80"/>
      <c r="AP90" s="80"/>
      <c r="AQ90" s="80"/>
      <c r="AR90" s="80"/>
      <c r="AS90" s="80"/>
      <c r="AT90" s="80"/>
      <c r="AU90" s="80"/>
      <c r="AV90" s="80"/>
      <c r="AW90" s="80"/>
      <c r="AX90" s="80"/>
      <c r="AY90" s="80"/>
      <c r="AZ90" s="80"/>
      <c r="BA90" s="25"/>
      <c r="BB90" s="25"/>
      <c r="BC90" s="25"/>
      <c r="BD90" s="25"/>
      <c r="BE90" s="25"/>
      <c r="BF90" s="25"/>
      <c r="BG90" s="25"/>
      <c r="BH90" s="25"/>
      <c r="BI90" s="25"/>
      <c r="BJ90" s="25"/>
      <c r="BK90" s="25"/>
      <c r="BL90" s="25"/>
      <c r="BM90" s="25"/>
      <c r="BN90" s="25"/>
      <c r="BO90" s="26"/>
      <c r="BP90" s="26"/>
      <c r="BQ90" s="26"/>
      <c r="BR90" s="26"/>
    </row>
    <row r="91" spans="1:78" ht="14.25" customHeight="1" x14ac:dyDescent="0.25">
      <c r="A91" s="27" t="s">
        <v>149</v>
      </c>
      <c r="B91" s="28"/>
      <c r="C91" s="28"/>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30"/>
      <c r="BP91" s="30"/>
    </row>
    <row r="92" spans="1:78" ht="14.25" customHeight="1" x14ac:dyDescent="0.25">
      <c r="A92" s="31" t="s">
        <v>13</v>
      </c>
      <c r="B92" s="207" t="s">
        <v>144</v>
      </c>
      <c r="C92" s="207"/>
      <c r="D92" s="207"/>
      <c r="E92" s="207"/>
      <c r="F92" s="207"/>
      <c r="G92" s="207"/>
      <c r="H92" s="207"/>
      <c r="I92" s="207"/>
      <c r="J92" s="207"/>
      <c r="K92" s="207"/>
      <c r="L92" s="207"/>
      <c r="M92" s="207"/>
      <c r="N92" s="207"/>
      <c r="O92" s="207"/>
      <c r="P92" s="207"/>
      <c r="Q92" s="207"/>
      <c r="R92" s="207"/>
      <c r="S92" s="207"/>
      <c r="T92" s="207"/>
      <c r="U92" s="207"/>
      <c r="V92" s="207"/>
      <c r="W92" s="207"/>
      <c r="X92" s="207"/>
      <c r="Y92" s="207"/>
      <c r="Z92" s="207"/>
      <c r="AA92" s="207"/>
      <c r="AB92" s="207"/>
      <c r="AC92" s="207"/>
      <c r="AD92" s="207"/>
      <c r="AE92" s="207"/>
      <c r="AF92" s="207"/>
      <c r="AG92" s="207"/>
      <c r="AH92" s="207"/>
      <c r="AI92" s="207"/>
      <c r="AJ92" s="207"/>
      <c r="AK92" s="207"/>
      <c r="AL92" s="207"/>
      <c r="AM92" s="207"/>
      <c r="AN92" s="207"/>
      <c r="AO92" s="207"/>
      <c r="AP92" s="207"/>
      <c r="AQ92" s="207"/>
      <c r="AR92" s="207"/>
      <c r="AS92" s="207"/>
      <c r="AT92" s="207"/>
      <c r="AU92" s="207"/>
      <c r="AV92" s="207"/>
      <c r="AW92" s="207"/>
      <c r="AX92" s="207"/>
      <c r="AY92" s="207"/>
      <c r="AZ92" s="207"/>
      <c r="BA92" s="207"/>
      <c r="BB92" s="207"/>
      <c r="BC92" s="207"/>
      <c r="BD92" s="207"/>
      <c r="BE92" s="207"/>
      <c r="BF92" s="207"/>
      <c r="BG92" s="207"/>
      <c r="BH92" s="207"/>
      <c r="BI92" s="207"/>
      <c r="BJ92" s="207"/>
      <c r="BK92" s="207"/>
      <c r="BL92" s="207"/>
      <c r="BM92" s="207"/>
      <c r="BN92" s="207"/>
      <c r="BO92" s="207"/>
      <c r="BP92" s="207"/>
      <c r="BQ92" s="207"/>
    </row>
    <row r="93" spans="1:78" ht="14.25" customHeight="1" x14ac:dyDescent="0.25">
      <c r="A93" s="31" t="s">
        <v>14</v>
      </c>
      <c r="B93" s="189" t="s">
        <v>145</v>
      </c>
      <c r="C93" s="189"/>
      <c r="D93" s="189"/>
      <c r="E93" s="189"/>
      <c r="F93" s="189"/>
      <c r="G93" s="189"/>
      <c r="H93" s="189"/>
      <c r="I93" s="189"/>
      <c r="J93" s="189"/>
      <c r="K93" s="189"/>
      <c r="L93" s="189"/>
      <c r="M93" s="189"/>
      <c r="N93" s="189"/>
      <c r="O93" s="189"/>
      <c r="P93" s="189"/>
      <c r="Q93" s="189"/>
      <c r="R93" s="189"/>
      <c r="S93" s="189"/>
      <c r="T93" s="189"/>
      <c r="U93" s="189"/>
      <c r="V93" s="189"/>
      <c r="W93" s="189"/>
      <c r="X93" s="189"/>
      <c r="Y93" s="189"/>
      <c r="Z93" s="189"/>
      <c r="AA93" s="189"/>
      <c r="AB93" s="189"/>
      <c r="AC93" s="189"/>
      <c r="AD93" s="189"/>
      <c r="AE93" s="189"/>
      <c r="AF93" s="189"/>
      <c r="AG93" s="189"/>
      <c r="AH93" s="189"/>
      <c r="AI93" s="189"/>
      <c r="AJ93" s="189"/>
      <c r="AK93" s="189"/>
      <c r="AL93" s="189"/>
      <c r="AM93" s="189"/>
      <c r="AN93" s="189"/>
      <c r="AO93" s="189"/>
      <c r="AP93" s="189"/>
      <c r="AQ93" s="189"/>
      <c r="AR93" s="189"/>
      <c r="AS93" s="189"/>
      <c r="AT93" s="189"/>
      <c r="AU93" s="189"/>
      <c r="AV93" s="189"/>
      <c r="AW93" s="189"/>
      <c r="AX93" s="189"/>
      <c r="AY93" s="189"/>
      <c r="AZ93" s="189"/>
      <c r="BA93" s="189"/>
      <c r="BB93" s="189"/>
      <c r="BC93" s="189"/>
      <c r="BD93" s="189"/>
      <c r="BE93" s="189"/>
      <c r="BF93" s="189"/>
      <c r="BG93" s="189"/>
      <c r="BH93" s="189"/>
      <c r="BI93" s="189"/>
      <c r="BJ93" s="189"/>
      <c r="BK93" s="189"/>
      <c r="BL93" s="189"/>
      <c r="BM93" s="189"/>
      <c r="BN93" s="189"/>
      <c r="BO93" s="189"/>
      <c r="BP93" s="189"/>
      <c r="BQ93" s="190"/>
    </row>
    <row r="94" spans="1:78" ht="14.25" customHeight="1" x14ac:dyDescent="0.25">
      <c r="A94" s="31" t="s">
        <v>15</v>
      </c>
      <c r="B94" s="189" t="s">
        <v>146</v>
      </c>
      <c r="C94" s="189"/>
      <c r="D94" s="189"/>
      <c r="E94" s="189"/>
      <c r="F94" s="189"/>
      <c r="G94" s="189"/>
      <c r="H94" s="189"/>
      <c r="I94" s="189"/>
      <c r="J94" s="189"/>
      <c r="K94" s="189"/>
      <c r="L94" s="189"/>
      <c r="M94" s="189"/>
      <c r="N94" s="189"/>
      <c r="O94" s="189"/>
      <c r="P94" s="189"/>
      <c r="Q94" s="189"/>
      <c r="R94" s="189"/>
      <c r="S94" s="189"/>
      <c r="T94" s="189"/>
      <c r="U94" s="189"/>
      <c r="V94" s="189"/>
      <c r="W94" s="189"/>
      <c r="X94" s="189"/>
      <c r="Y94" s="189"/>
      <c r="Z94" s="189"/>
      <c r="AA94" s="189"/>
      <c r="AB94" s="189"/>
      <c r="AC94" s="189"/>
      <c r="AD94" s="189"/>
      <c r="AE94" s="189"/>
      <c r="AF94" s="189"/>
      <c r="AG94" s="189"/>
      <c r="AH94" s="189"/>
      <c r="AI94" s="189"/>
      <c r="AJ94" s="189"/>
      <c r="AK94" s="189"/>
      <c r="AL94" s="189"/>
      <c r="AM94" s="189"/>
      <c r="AN94" s="189"/>
      <c r="AO94" s="189"/>
      <c r="AP94" s="189"/>
      <c r="AQ94" s="189"/>
      <c r="AR94" s="189"/>
      <c r="AS94" s="189"/>
      <c r="AT94" s="189"/>
      <c r="AU94" s="189"/>
      <c r="AV94" s="189"/>
      <c r="AW94" s="189"/>
      <c r="AX94" s="189"/>
      <c r="AY94" s="189"/>
      <c r="AZ94" s="189"/>
      <c r="BA94" s="189"/>
      <c r="BB94" s="189"/>
      <c r="BC94" s="189"/>
      <c r="BD94" s="189"/>
      <c r="BE94" s="189"/>
      <c r="BF94" s="189"/>
      <c r="BG94" s="189"/>
      <c r="BH94" s="189"/>
      <c r="BI94" s="189"/>
      <c r="BJ94" s="189"/>
      <c r="BK94" s="189"/>
      <c r="BL94" s="189"/>
      <c r="BM94" s="189"/>
      <c r="BN94" s="189"/>
      <c r="BO94" s="189"/>
      <c r="BP94" s="189"/>
      <c r="BQ94" s="190"/>
    </row>
    <row r="95" spans="1:78" ht="14.25" customHeight="1" x14ac:dyDescent="0.25">
      <c r="A95" s="31" t="s">
        <v>16</v>
      </c>
      <c r="B95" s="189" t="s">
        <v>147</v>
      </c>
      <c r="C95" s="189"/>
      <c r="D95" s="189"/>
      <c r="E95" s="189"/>
      <c r="F95" s="189"/>
      <c r="G95" s="189"/>
      <c r="H95" s="189"/>
      <c r="I95" s="189"/>
      <c r="J95" s="189"/>
      <c r="K95" s="189"/>
      <c r="L95" s="189"/>
      <c r="M95" s="189"/>
      <c r="N95" s="189"/>
      <c r="O95" s="189"/>
      <c r="P95" s="189"/>
      <c r="Q95" s="189"/>
      <c r="R95" s="189"/>
      <c r="S95" s="189"/>
      <c r="T95" s="189"/>
      <c r="U95" s="189"/>
      <c r="V95" s="189"/>
      <c r="W95" s="189"/>
      <c r="X95" s="189"/>
      <c r="Y95" s="189"/>
      <c r="Z95" s="189"/>
      <c r="AA95" s="189"/>
      <c r="AB95" s="189"/>
      <c r="AC95" s="189"/>
      <c r="AD95" s="189"/>
      <c r="AE95" s="189"/>
      <c r="AF95" s="189"/>
      <c r="AG95" s="189"/>
      <c r="AH95" s="189"/>
      <c r="AI95" s="189"/>
      <c r="AJ95" s="189"/>
      <c r="AK95" s="189"/>
      <c r="AL95" s="189"/>
      <c r="AM95" s="189"/>
      <c r="AN95" s="189"/>
      <c r="AO95" s="189"/>
      <c r="AP95" s="189"/>
      <c r="AQ95" s="189"/>
      <c r="AR95" s="189"/>
      <c r="AS95" s="189"/>
      <c r="AT95" s="189"/>
      <c r="AU95" s="189"/>
      <c r="AV95" s="189"/>
      <c r="AW95" s="189"/>
      <c r="AX95" s="189"/>
      <c r="AY95" s="189"/>
      <c r="AZ95" s="189"/>
      <c r="BA95" s="189"/>
      <c r="BB95" s="189"/>
      <c r="BC95" s="189"/>
      <c r="BD95" s="189"/>
      <c r="BE95" s="189"/>
      <c r="BF95" s="189"/>
      <c r="BG95" s="189"/>
      <c r="BH95" s="189"/>
      <c r="BI95" s="189"/>
      <c r="BJ95" s="189"/>
      <c r="BK95" s="189"/>
      <c r="BL95" s="189"/>
      <c r="BM95" s="189"/>
      <c r="BN95" s="189"/>
      <c r="BO95" s="189"/>
      <c r="BP95" s="189"/>
      <c r="BQ95" s="190"/>
    </row>
    <row r="96" spans="1:78" ht="14.25" customHeight="1" x14ac:dyDescent="0.25">
      <c r="A96" s="31" t="s">
        <v>17</v>
      </c>
      <c r="B96" s="189" t="s">
        <v>148</v>
      </c>
      <c r="C96" s="189"/>
      <c r="D96" s="189"/>
      <c r="E96" s="189"/>
      <c r="F96" s="189"/>
      <c r="G96" s="189"/>
      <c r="H96" s="189"/>
      <c r="I96" s="189"/>
      <c r="J96" s="189"/>
      <c r="K96" s="189"/>
      <c r="L96" s="189"/>
      <c r="M96" s="189"/>
      <c r="N96" s="189"/>
      <c r="O96" s="189"/>
      <c r="P96" s="189"/>
      <c r="Q96" s="189"/>
      <c r="R96" s="189"/>
      <c r="S96" s="189"/>
      <c r="T96" s="189"/>
      <c r="U96" s="189"/>
      <c r="V96" s="189"/>
      <c r="W96" s="189"/>
      <c r="X96" s="189"/>
      <c r="Y96" s="189"/>
      <c r="Z96" s="189"/>
      <c r="AA96" s="189"/>
      <c r="AB96" s="189"/>
      <c r="AC96" s="189"/>
      <c r="AD96" s="189"/>
      <c r="AE96" s="189"/>
      <c r="AF96" s="189"/>
      <c r="AG96" s="189"/>
      <c r="AH96" s="189"/>
      <c r="AI96" s="189"/>
      <c r="AJ96" s="189"/>
      <c r="AK96" s="189"/>
      <c r="AL96" s="189"/>
      <c r="AM96" s="189"/>
      <c r="AN96" s="189"/>
      <c r="AO96" s="189"/>
      <c r="AP96" s="189"/>
      <c r="AQ96" s="189"/>
      <c r="AR96" s="189"/>
      <c r="AS96" s="189"/>
      <c r="AT96" s="189"/>
      <c r="AU96" s="189"/>
      <c r="AV96" s="189"/>
      <c r="AW96" s="189"/>
      <c r="AX96" s="189"/>
      <c r="AY96" s="189"/>
      <c r="AZ96" s="189"/>
      <c r="BA96" s="189"/>
      <c r="BB96" s="189"/>
      <c r="BC96" s="189"/>
      <c r="BD96" s="189"/>
      <c r="BE96" s="189"/>
      <c r="BF96" s="189"/>
      <c r="BG96" s="189"/>
      <c r="BH96" s="189"/>
      <c r="BI96" s="189"/>
      <c r="BJ96" s="189"/>
      <c r="BK96" s="189"/>
      <c r="BL96" s="189"/>
      <c r="BM96" s="189"/>
      <c r="BN96" s="189"/>
      <c r="BO96" s="189"/>
      <c r="BP96" s="190"/>
      <c r="BQ96" s="190"/>
    </row>
    <row r="97" spans="1:70" ht="14.25" customHeight="1" x14ac:dyDescent="0.25">
      <c r="A97" s="31" t="s">
        <v>18</v>
      </c>
      <c r="B97" s="188" t="s">
        <v>158</v>
      </c>
      <c r="C97" s="188"/>
      <c r="D97" s="188"/>
      <c r="E97" s="188"/>
      <c r="F97" s="188"/>
      <c r="G97" s="188"/>
      <c r="H97" s="188"/>
      <c r="I97" s="188"/>
      <c r="J97" s="188"/>
      <c r="K97" s="188"/>
      <c r="L97" s="188"/>
      <c r="M97" s="188"/>
      <c r="N97" s="188"/>
      <c r="O97" s="188"/>
      <c r="P97" s="188"/>
      <c r="Q97" s="188"/>
      <c r="R97" s="188"/>
      <c r="S97" s="188"/>
      <c r="T97" s="188"/>
      <c r="U97" s="188"/>
      <c r="V97" s="188"/>
      <c r="W97" s="188"/>
      <c r="X97" s="188"/>
      <c r="Y97" s="188"/>
      <c r="Z97" s="188"/>
      <c r="AA97" s="188"/>
      <c r="AB97" s="188"/>
      <c r="AC97" s="188"/>
      <c r="AD97" s="188"/>
      <c r="AE97" s="188"/>
      <c r="AF97" s="188"/>
      <c r="AG97" s="188"/>
      <c r="AH97" s="188"/>
      <c r="AI97" s="188"/>
      <c r="AJ97" s="188"/>
      <c r="AK97" s="188"/>
      <c r="AL97" s="188"/>
      <c r="AM97" s="188"/>
      <c r="AN97" s="188"/>
      <c r="AO97" s="188"/>
      <c r="AP97" s="188"/>
      <c r="AQ97" s="188"/>
      <c r="AR97" s="188"/>
      <c r="AS97" s="188"/>
      <c r="AT97" s="188"/>
      <c r="AU97" s="188"/>
      <c r="AV97" s="188"/>
      <c r="AW97" s="188"/>
      <c r="AX97" s="188"/>
      <c r="AY97" s="188"/>
      <c r="AZ97" s="188"/>
      <c r="BA97" s="188"/>
      <c r="BB97" s="188"/>
      <c r="BC97" s="188"/>
      <c r="BD97" s="188"/>
      <c r="BE97" s="188"/>
      <c r="BF97" s="188"/>
      <c r="BG97" s="188"/>
      <c r="BH97" s="188"/>
      <c r="BI97" s="188"/>
      <c r="BJ97" s="188"/>
      <c r="BK97" s="188"/>
      <c r="BL97" s="188"/>
      <c r="BM97" s="188"/>
      <c r="BN97" s="188"/>
      <c r="BO97" s="188"/>
      <c r="BP97" s="188"/>
    </row>
    <row r="98" spans="1:70" ht="14.25" customHeight="1" x14ac:dyDescent="0.25">
      <c r="A98" s="31" t="s">
        <v>19</v>
      </c>
      <c r="B98" s="188" t="s">
        <v>167</v>
      </c>
      <c r="C98" s="188"/>
      <c r="D98" s="188"/>
      <c r="E98" s="188"/>
      <c r="F98" s="188"/>
      <c r="G98" s="188"/>
      <c r="H98" s="188"/>
      <c r="I98" s="188"/>
      <c r="J98" s="188"/>
      <c r="K98" s="188"/>
      <c r="L98" s="188"/>
      <c r="M98" s="188"/>
      <c r="N98" s="188"/>
      <c r="O98" s="188"/>
      <c r="P98" s="188"/>
      <c r="Q98" s="188"/>
      <c r="R98" s="188"/>
      <c r="S98" s="188"/>
      <c r="T98" s="188"/>
      <c r="U98" s="188"/>
      <c r="V98" s="188"/>
      <c r="W98" s="188"/>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88"/>
      <c r="AX98" s="188"/>
      <c r="AY98" s="188"/>
      <c r="AZ98" s="188"/>
      <c r="BA98" s="188"/>
      <c r="BB98" s="188"/>
      <c r="BC98" s="188"/>
      <c r="BD98" s="188"/>
      <c r="BE98" s="188"/>
      <c r="BF98" s="188"/>
      <c r="BG98" s="188"/>
      <c r="BH98" s="188"/>
      <c r="BI98" s="188"/>
      <c r="BJ98" s="188"/>
      <c r="BK98" s="188"/>
      <c r="BL98" s="188"/>
      <c r="BM98" s="188"/>
      <c r="BN98" s="188"/>
      <c r="BO98" s="188"/>
      <c r="BP98" s="188"/>
    </row>
    <row r="99" spans="1:70" ht="14.25" customHeight="1" x14ac:dyDescent="0.25">
      <c r="A99" s="31"/>
      <c r="B99" s="79"/>
      <c r="C99" s="79"/>
      <c r="D99" s="79"/>
      <c r="E99" s="79"/>
      <c r="F99" s="79"/>
      <c r="G99" s="79"/>
      <c r="H99" s="79"/>
      <c r="I99" s="79"/>
      <c r="J99" s="79"/>
      <c r="K99" s="79"/>
      <c r="L99" s="79"/>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79"/>
      <c r="AZ99" s="79"/>
      <c r="BA99" s="79"/>
      <c r="BB99" s="79"/>
      <c r="BC99" s="79"/>
      <c r="BD99" s="79"/>
      <c r="BE99" s="79"/>
      <c r="BF99" s="79"/>
      <c r="BG99" s="79"/>
      <c r="BH99" s="79"/>
      <c r="BI99" s="79"/>
      <c r="BJ99" s="79"/>
      <c r="BK99" s="79"/>
      <c r="BL99" s="79"/>
      <c r="BM99" s="79"/>
      <c r="BN99" s="79"/>
      <c r="BO99" s="79"/>
      <c r="BP99" s="79"/>
    </row>
    <row r="100" spans="1:70" ht="14.25" customHeight="1" x14ac:dyDescent="0.25">
      <c r="A100" s="31"/>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row>
    <row r="101" spans="1:70" ht="14.25" customHeight="1" x14ac:dyDescent="0.25">
      <c r="A101" s="143"/>
      <c r="B101" s="143"/>
      <c r="C101" s="143"/>
      <c r="D101" s="143"/>
      <c r="E101" s="143"/>
      <c r="F101" s="143"/>
      <c r="G101" s="143"/>
      <c r="H101" s="143"/>
      <c r="I101" s="143"/>
      <c r="J101" s="143"/>
      <c r="K101" s="143"/>
      <c r="L101" s="143"/>
      <c r="M101" s="143"/>
      <c r="N101" s="143"/>
      <c r="O101" s="143"/>
      <c r="P101" s="143"/>
      <c r="Q101" s="143"/>
      <c r="R101" s="143"/>
      <c r="S101" s="143"/>
      <c r="T101" s="143"/>
      <c r="U101" s="143"/>
      <c r="V101" s="143"/>
      <c r="W101" s="143"/>
      <c r="X101" s="143"/>
      <c r="Y101" s="32"/>
      <c r="Z101" s="32"/>
      <c r="AA101" s="32"/>
      <c r="AB101" s="32"/>
      <c r="AC101" s="32"/>
      <c r="AD101" s="32"/>
      <c r="AE101" s="32"/>
      <c r="AF101" s="32"/>
      <c r="AG101" s="32"/>
      <c r="AH101" s="32"/>
      <c r="AI101" s="32"/>
      <c r="AJ101" s="142" t="s">
        <v>71</v>
      </c>
      <c r="AK101" s="142"/>
      <c r="AL101" s="142"/>
      <c r="AM101" s="142"/>
      <c r="AN101" s="142"/>
      <c r="AO101" s="142"/>
      <c r="AP101" s="142"/>
      <c r="AQ101" s="142"/>
      <c r="AR101" s="142"/>
      <c r="AS101" s="142"/>
      <c r="AT101" s="142"/>
      <c r="AU101" s="142"/>
      <c r="AV101" s="142"/>
      <c r="AW101" s="142"/>
      <c r="AX101" s="142"/>
      <c r="AY101" s="142"/>
      <c r="AZ101" s="142"/>
      <c r="BA101" s="142"/>
      <c r="BB101" s="142"/>
      <c r="BC101" s="142"/>
      <c r="BD101" s="142"/>
      <c r="BE101" s="142"/>
      <c r="BF101" s="142"/>
      <c r="BG101" s="142"/>
      <c r="BH101" s="142"/>
      <c r="BI101" s="142"/>
      <c r="BJ101" s="142"/>
      <c r="BK101" s="142"/>
      <c r="BL101" s="142"/>
      <c r="BM101" s="142"/>
      <c r="BN101" s="142"/>
      <c r="BO101" s="142"/>
      <c r="BP101" s="142"/>
      <c r="BQ101" s="142"/>
      <c r="BR101" s="142"/>
    </row>
    <row r="102" spans="1:70" ht="14.25" customHeight="1" x14ac:dyDescent="0.25">
      <c r="A102" s="33"/>
      <c r="B102" s="34"/>
      <c r="C102" s="34"/>
      <c r="D102" s="33"/>
      <c r="E102" s="33"/>
      <c r="F102" s="33"/>
      <c r="G102" s="33"/>
      <c r="H102" s="33"/>
      <c r="I102" s="33"/>
      <c r="J102" s="33"/>
      <c r="K102" s="33"/>
      <c r="L102" s="33"/>
      <c r="M102" s="33"/>
      <c r="N102" s="33"/>
      <c r="O102" s="33"/>
      <c r="P102" s="33"/>
      <c r="Q102" s="33"/>
      <c r="R102" s="33"/>
      <c r="S102" s="33"/>
      <c r="T102" s="35"/>
      <c r="U102" s="35"/>
      <c r="V102" s="35"/>
      <c r="W102" s="35"/>
      <c r="X102" s="35"/>
      <c r="Y102" s="36"/>
      <c r="Z102" s="36"/>
      <c r="AA102" s="36"/>
      <c r="AB102" s="36"/>
      <c r="AC102" s="36"/>
      <c r="AD102" s="36"/>
      <c r="AE102" s="36"/>
      <c r="AF102" s="36"/>
      <c r="AG102" s="36"/>
      <c r="AH102" s="36"/>
      <c r="AI102" s="36"/>
      <c r="AJ102" s="142"/>
      <c r="AK102" s="142"/>
      <c r="AL102" s="142"/>
      <c r="AM102" s="142"/>
      <c r="AN102" s="142"/>
      <c r="AO102" s="142"/>
      <c r="AP102" s="142"/>
      <c r="AQ102" s="142"/>
      <c r="AR102" s="142"/>
      <c r="AS102" s="142"/>
      <c r="AT102" s="142"/>
      <c r="AU102" s="142"/>
      <c r="AV102" s="142"/>
      <c r="AW102" s="142"/>
      <c r="AX102" s="142"/>
      <c r="AY102" s="142"/>
      <c r="AZ102" s="142"/>
      <c r="BA102" s="142"/>
      <c r="BB102" s="142"/>
      <c r="BC102" s="142"/>
      <c r="BD102" s="142"/>
      <c r="BE102" s="142"/>
      <c r="BF102" s="142"/>
      <c r="BG102" s="142"/>
      <c r="BH102" s="142"/>
      <c r="BI102" s="142"/>
      <c r="BJ102" s="142"/>
      <c r="BK102" s="142"/>
      <c r="BL102" s="142"/>
      <c r="BM102" s="142"/>
      <c r="BN102" s="142"/>
      <c r="BO102" s="142"/>
      <c r="BP102" s="142"/>
      <c r="BQ102" s="142"/>
      <c r="BR102" s="142"/>
    </row>
    <row r="103" spans="1:70" ht="14.25" customHeight="1" x14ac:dyDescent="0.25">
      <c r="A103" s="33"/>
      <c r="B103" s="34"/>
      <c r="C103" s="34"/>
      <c r="D103" s="33"/>
      <c r="E103" s="33"/>
      <c r="F103" s="33"/>
      <c r="G103" s="33"/>
      <c r="H103" s="33"/>
      <c r="I103" s="33"/>
      <c r="J103" s="33"/>
      <c r="K103" s="33"/>
      <c r="L103" s="33"/>
      <c r="M103" s="33"/>
      <c r="N103" s="33"/>
      <c r="O103" s="33"/>
      <c r="P103" s="33"/>
      <c r="Q103" s="33"/>
      <c r="R103" s="33"/>
      <c r="S103" s="33"/>
      <c r="T103" s="35"/>
      <c r="U103" s="35"/>
      <c r="V103" s="35"/>
      <c r="W103" s="35"/>
      <c r="X103" s="35"/>
      <c r="Y103" s="36"/>
      <c r="Z103" s="36"/>
      <c r="AA103" s="36"/>
      <c r="AB103" s="36"/>
      <c r="AC103" s="36"/>
      <c r="AD103" s="36"/>
      <c r="AE103" s="36"/>
      <c r="AF103" s="36"/>
      <c r="AG103" s="36"/>
      <c r="AH103" s="36"/>
      <c r="AI103" s="36"/>
      <c r="AJ103" s="142"/>
      <c r="AK103" s="142"/>
      <c r="AL103" s="142"/>
      <c r="AM103" s="142"/>
      <c r="AN103" s="142"/>
      <c r="AO103" s="142"/>
      <c r="AP103" s="142"/>
      <c r="AQ103" s="142"/>
      <c r="AR103" s="142"/>
      <c r="AS103" s="142"/>
      <c r="AT103" s="142"/>
      <c r="AU103" s="142"/>
      <c r="AV103" s="142"/>
      <c r="AW103" s="142"/>
      <c r="AX103" s="142"/>
      <c r="AY103" s="142"/>
      <c r="AZ103" s="142"/>
      <c r="BA103" s="142"/>
      <c r="BB103" s="142"/>
      <c r="BC103" s="142"/>
      <c r="BD103" s="142"/>
      <c r="BE103" s="142"/>
      <c r="BF103" s="142"/>
      <c r="BG103" s="142"/>
      <c r="BH103" s="142"/>
      <c r="BI103" s="142"/>
      <c r="BJ103" s="142"/>
      <c r="BK103" s="142"/>
      <c r="BL103" s="142"/>
      <c r="BM103" s="142"/>
      <c r="BN103" s="142"/>
      <c r="BO103" s="142"/>
      <c r="BP103" s="142"/>
      <c r="BQ103" s="142"/>
      <c r="BR103" s="142"/>
    </row>
    <row r="104" spans="1:70" ht="14.25" customHeight="1" x14ac:dyDescent="0.25">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6"/>
      <c r="AG104" s="36"/>
      <c r="AH104" s="36"/>
      <c r="AI104" s="36"/>
      <c r="AJ104" s="142"/>
      <c r="AK104" s="142"/>
      <c r="AL104" s="142"/>
      <c r="AM104" s="142"/>
      <c r="AN104" s="142"/>
      <c r="AO104" s="142"/>
      <c r="AP104" s="142"/>
      <c r="AQ104" s="142"/>
      <c r="AR104" s="142"/>
      <c r="AS104" s="142"/>
      <c r="AT104" s="142"/>
      <c r="AU104" s="142"/>
      <c r="AV104" s="142"/>
      <c r="AW104" s="142"/>
      <c r="AX104" s="142"/>
      <c r="AY104" s="142"/>
      <c r="AZ104" s="142"/>
      <c r="BA104" s="142"/>
      <c r="BB104" s="142"/>
      <c r="BC104" s="142"/>
      <c r="BD104" s="142"/>
      <c r="BE104" s="142"/>
      <c r="BF104" s="142"/>
      <c r="BG104" s="142"/>
      <c r="BH104" s="142"/>
      <c r="BI104" s="142"/>
      <c r="BJ104" s="142"/>
      <c r="BK104" s="142"/>
      <c r="BL104" s="142"/>
      <c r="BM104" s="142"/>
      <c r="BN104" s="142"/>
      <c r="BO104" s="142"/>
      <c r="BP104" s="142"/>
      <c r="BQ104" s="142"/>
      <c r="BR104" s="142"/>
    </row>
    <row r="105" spans="1:70" ht="14.25" customHeight="1" x14ac:dyDescent="0.2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6"/>
      <c r="AG105" s="36"/>
      <c r="AH105" s="36"/>
      <c r="AI105" s="36"/>
      <c r="AJ105" s="142"/>
      <c r="AK105" s="142"/>
      <c r="AL105" s="142"/>
      <c r="AM105" s="142"/>
      <c r="AN105" s="142"/>
      <c r="AO105" s="142"/>
      <c r="AP105" s="142"/>
      <c r="AQ105" s="142"/>
      <c r="AR105" s="142"/>
      <c r="AS105" s="142"/>
      <c r="AT105" s="142"/>
      <c r="AU105" s="142"/>
      <c r="AV105" s="142"/>
      <c r="AW105" s="142"/>
      <c r="AX105" s="142"/>
      <c r="AY105" s="142"/>
      <c r="AZ105" s="142"/>
      <c r="BA105" s="142"/>
      <c r="BB105" s="142"/>
      <c r="BC105" s="142"/>
      <c r="BD105" s="142"/>
      <c r="BE105" s="142"/>
      <c r="BF105" s="142"/>
      <c r="BG105" s="142"/>
      <c r="BH105" s="142"/>
      <c r="BI105" s="142"/>
      <c r="BJ105" s="142"/>
      <c r="BK105" s="142"/>
      <c r="BL105" s="142"/>
      <c r="BM105" s="142"/>
      <c r="BN105" s="142"/>
      <c r="BO105" s="142"/>
      <c r="BP105" s="142"/>
      <c r="BQ105" s="142"/>
      <c r="BR105" s="142"/>
    </row>
    <row r="106" spans="1:70" ht="14.25" customHeight="1" x14ac:dyDescent="0.25">
      <c r="A106" s="38"/>
      <c r="B106" s="16"/>
      <c r="C106" s="16"/>
      <c r="D106" s="38"/>
      <c r="E106" s="38"/>
      <c r="F106" s="38"/>
      <c r="G106" s="38"/>
      <c r="H106" s="38"/>
      <c r="I106" s="38"/>
      <c r="J106" s="38"/>
      <c r="K106" s="38"/>
      <c r="L106" s="38"/>
      <c r="M106" s="38"/>
      <c r="N106" s="38"/>
      <c r="O106" s="38"/>
      <c r="P106" s="38"/>
      <c r="Q106" s="38"/>
      <c r="R106" s="38"/>
      <c r="S106" s="38"/>
      <c r="T106" s="39"/>
      <c r="U106" s="39"/>
      <c r="V106" s="39"/>
      <c r="W106" s="39"/>
      <c r="X106" s="39"/>
      <c r="Y106" s="38"/>
      <c r="Z106" s="38"/>
      <c r="AA106" s="38"/>
      <c r="AB106" s="38"/>
      <c r="AC106" s="38"/>
      <c r="AD106" s="38"/>
      <c r="AE106" s="38"/>
      <c r="AF106" s="36"/>
      <c r="AG106" s="36"/>
      <c r="AH106" s="36"/>
      <c r="AI106" s="36"/>
      <c r="AJ106" s="142"/>
      <c r="AK106" s="142"/>
      <c r="AL106" s="142"/>
      <c r="AM106" s="142"/>
      <c r="AN106" s="142"/>
      <c r="AO106" s="142"/>
      <c r="AP106" s="142"/>
      <c r="AQ106" s="142"/>
      <c r="AR106" s="142"/>
      <c r="AS106" s="142"/>
      <c r="AT106" s="142"/>
      <c r="AU106" s="142"/>
      <c r="AV106" s="142"/>
      <c r="AW106" s="142"/>
      <c r="AX106" s="142"/>
      <c r="AY106" s="142"/>
      <c r="AZ106" s="142"/>
      <c r="BA106" s="142"/>
      <c r="BB106" s="142"/>
      <c r="BC106" s="142"/>
      <c r="BD106" s="142"/>
      <c r="BE106" s="142"/>
      <c r="BF106" s="142"/>
      <c r="BG106" s="142"/>
      <c r="BH106" s="142"/>
      <c r="BI106" s="142"/>
      <c r="BJ106" s="142"/>
      <c r="BK106" s="142"/>
      <c r="BL106" s="142"/>
      <c r="BM106" s="142"/>
      <c r="BN106" s="142"/>
      <c r="BO106" s="142"/>
      <c r="BP106" s="142"/>
      <c r="BQ106" s="142"/>
      <c r="BR106" s="142"/>
    </row>
    <row r="107" spans="1:70" ht="14.25" customHeight="1" x14ac:dyDescent="0.25">
      <c r="A107" s="70"/>
      <c r="B107" s="16"/>
      <c r="C107" s="16"/>
      <c r="D107" s="70"/>
      <c r="E107" s="70"/>
      <c r="F107" s="70"/>
      <c r="G107" s="70"/>
      <c r="H107" s="70"/>
      <c r="I107" s="70"/>
      <c r="J107" s="70"/>
      <c r="K107" s="70"/>
      <c r="L107" s="70"/>
      <c r="M107" s="70"/>
      <c r="N107" s="70"/>
      <c r="O107" s="70"/>
      <c r="P107" s="70"/>
      <c r="Q107" s="70"/>
      <c r="R107" s="70"/>
      <c r="S107" s="70"/>
      <c r="T107" s="40"/>
      <c r="U107" s="40"/>
      <c r="V107" s="40"/>
      <c r="W107" s="40"/>
      <c r="X107" s="40"/>
      <c r="Y107" s="38"/>
      <c r="Z107" s="38"/>
      <c r="AA107" s="38"/>
      <c r="AB107" s="38"/>
      <c r="AC107" s="38"/>
      <c r="AD107" s="38"/>
      <c r="AE107" s="38"/>
      <c r="AF107" s="36"/>
      <c r="AG107" s="36"/>
      <c r="AH107" s="36"/>
      <c r="AI107" s="36"/>
      <c r="AJ107" s="142"/>
      <c r="AK107" s="142"/>
      <c r="AL107" s="142"/>
      <c r="AM107" s="142"/>
      <c r="AN107" s="142"/>
      <c r="AO107" s="142"/>
      <c r="AP107" s="142"/>
      <c r="AQ107" s="142"/>
      <c r="AR107" s="142"/>
      <c r="AS107" s="142"/>
      <c r="AT107" s="142"/>
      <c r="AU107" s="142"/>
      <c r="AV107" s="142"/>
      <c r="AW107" s="142"/>
      <c r="AX107" s="142"/>
      <c r="AY107" s="142"/>
      <c r="AZ107" s="142"/>
      <c r="BA107" s="142"/>
      <c r="BB107" s="142"/>
      <c r="BC107" s="142"/>
      <c r="BD107" s="142"/>
      <c r="BE107" s="142"/>
      <c r="BF107" s="142"/>
      <c r="BG107" s="142"/>
      <c r="BH107" s="142"/>
      <c r="BI107" s="142"/>
      <c r="BJ107" s="142"/>
      <c r="BK107" s="142"/>
      <c r="BL107" s="142"/>
      <c r="BM107" s="142"/>
      <c r="BN107" s="142"/>
      <c r="BO107" s="142"/>
      <c r="BP107" s="142"/>
      <c r="BQ107" s="142"/>
      <c r="BR107" s="142"/>
    </row>
    <row r="108" spans="1:70" ht="14.25" customHeight="1" x14ac:dyDescent="0.3">
      <c r="A108" s="70"/>
      <c r="B108" s="16"/>
      <c r="C108" s="16"/>
      <c r="D108" s="70"/>
      <c r="E108" s="70"/>
      <c r="F108" s="70"/>
      <c r="G108" s="70"/>
      <c r="H108" s="70"/>
      <c r="I108" s="70"/>
      <c r="J108" s="70"/>
      <c r="K108" s="70"/>
      <c r="L108" s="70"/>
      <c r="M108" s="70"/>
      <c r="N108" s="70"/>
      <c r="O108" s="70"/>
      <c r="P108" s="70"/>
      <c r="Q108" s="70"/>
      <c r="R108" s="70"/>
      <c r="S108" s="70"/>
      <c r="T108" s="40"/>
      <c r="U108" s="40"/>
      <c r="V108" s="40"/>
      <c r="W108" s="40"/>
      <c r="X108" s="40"/>
      <c r="Y108" s="38"/>
      <c r="Z108" s="38"/>
      <c r="AA108" s="38"/>
      <c r="AB108" s="38"/>
      <c r="AC108" s="38"/>
      <c r="AD108" s="38"/>
      <c r="AE108" s="38"/>
      <c r="AF108" s="36"/>
      <c r="AG108" s="36"/>
      <c r="AH108" s="36"/>
      <c r="AI108" s="36"/>
      <c r="AJ108" s="36"/>
      <c r="AK108" s="41"/>
      <c r="AL108" s="69"/>
      <c r="AM108" s="69"/>
      <c r="AN108" s="69"/>
      <c r="AO108" s="69"/>
      <c r="AP108" s="69"/>
      <c r="AQ108" s="69"/>
      <c r="AR108" s="69"/>
      <c r="AS108" s="69"/>
      <c r="AT108" s="69"/>
      <c r="AU108" s="69"/>
      <c r="AV108" s="69"/>
      <c r="AW108" s="69"/>
      <c r="AX108" s="69"/>
      <c r="AY108" s="69"/>
      <c r="AZ108" s="69"/>
      <c r="BA108" s="69"/>
      <c r="BB108" s="69"/>
      <c r="BC108" s="69"/>
      <c r="BD108" s="69"/>
      <c r="BE108" s="69"/>
      <c r="BF108" s="69"/>
      <c r="BG108" s="69"/>
      <c r="BH108" s="69"/>
      <c r="BI108" s="69"/>
      <c r="BJ108" s="69"/>
      <c r="BK108" s="69"/>
      <c r="BL108" s="69"/>
      <c r="BM108" s="69"/>
      <c r="BN108" s="69"/>
      <c r="BO108" s="69"/>
      <c r="BP108" s="69"/>
    </row>
    <row r="109" spans="1:70" ht="14.25" customHeight="1" x14ac:dyDescent="0.3">
      <c r="A109" s="70"/>
      <c r="B109" s="16"/>
      <c r="C109" s="16"/>
      <c r="D109" s="70"/>
      <c r="E109" s="70"/>
      <c r="F109" s="70"/>
      <c r="G109" s="70"/>
      <c r="H109" s="70"/>
      <c r="I109" s="70"/>
      <c r="J109" s="70"/>
      <c r="K109" s="70"/>
      <c r="L109" s="70"/>
      <c r="M109" s="70"/>
      <c r="N109" s="70"/>
      <c r="O109" s="70"/>
      <c r="P109" s="70"/>
      <c r="Q109" s="70"/>
      <c r="R109" s="70"/>
      <c r="S109" s="70"/>
      <c r="T109" s="40"/>
      <c r="U109" s="40"/>
      <c r="V109" s="40"/>
      <c r="W109" s="40"/>
      <c r="X109" s="40"/>
      <c r="Y109" s="38"/>
      <c r="Z109" s="38"/>
      <c r="AA109" s="38"/>
      <c r="AB109" s="38"/>
      <c r="AC109" s="38"/>
      <c r="AD109" s="38"/>
      <c r="AE109" s="38"/>
      <c r="AF109" s="36"/>
      <c r="AG109" s="36"/>
      <c r="AH109" s="36"/>
      <c r="AI109" s="36"/>
      <c r="AJ109" s="36"/>
      <c r="AK109" s="41"/>
      <c r="AL109" s="69"/>
      <c r="AM109" s="69"/>
      <c r="AN109" s="69"/>
      <c r="AO109" s="69"/>
      <c r="AP109" s="69"/>
      <c r="AQ109" s="69"/>
      <c r="AR109" s="69"/>
      <c r="AS109" s="69"/>
      <c r="AT109" s="69"/>
      <c r="AU109" s="69"/>
      <c r="AV109" s="69"/>
      <c r="AW109" s="69"/>
      <c r="AX109" s="69"/>
      <c r="AY109" s="69"/>
      <c r="AZ109" s="69"/>
      <c r="BA109" s="69"/>
      <c r="BB109" s="69"/>
      <c r="BC109" s="69"/>
      <c r="BD109" s="69"/>
      <c r="BE109" s="69"/>
      <c r="BF109" s="69"/>
      <c r="BG109" s="69"/>
      <c r="BH109" s="69"/>
      <c r="BI109" s="69"/>
      <c r="BJ109" s="69"/>
      <c r="BK109" s="69"/>
      <c r="BL109" s="69"/>
      <c r="BM109" s="69"/>
      <c r="BN109" s="69"/>
      <c r="BO109" s="69"/>
      <c r="BP109" s="69"/>
    </row>
    <row r="110" spans="1:70" ht="14.25" customHeight="1" x14ac:dyDescent="0.25">
      <c r="A110" s="141" t="s">
        <v>67</v>
      </c>
      <c r="B110" s="141"/>
      <c r="C110" s="141"/>
      <c r="D110" s="141"/>
      <c r="E110" s="141"/>
      <c r="F110" s="141"/>
      <c r="G110" s="141"/>
      <c r="H110" s="141"/>
      <c r="I110" s="141"/>
      <c r="J110" s="141"/>
      <c r="K110" s="141"/>
      <c r="L110" s="141"/>
      <c r="M110" s="141"/>
      <c r="N110" s="141"/>
      <c r="O110" s="141"/>
      <c r="P110" s="142" t="s">
        <v>21</v>
      </c>
      <c r="Q110" s="142"/>
      <c r="R110" s="142"/>
      <c r="S110" s="142"/>
      <c r="T110" s="142"/>
      <c r="U110" s="142"/>
      <c r="V110" s="142"/>
      <c r="W110" s="142"/>
      <c r="X110" s="142"/>
      <c r="Y110" s="141" t="s">
        <v>68</v>
      </c>
      <c r="Z110" s="141"/>
      <c r="AA110" s="141"/>
      <c r="AB110" s="141"/>
      <c r="AC110" s="141"/>
      <c r="AD110" s="141"/>
      <c r="AE110" s="141"/>
      <c r="AF110" s="42"/>
      <c r="AG110" s="42"/>
      <c r="AH110" s="43"/>
      <c r="AI110" s="43"/>
      <c r="AJ110" s="203" t="s">
        <v>238</v>
      </c>
      <c r="AK110" s="203"/>
      <c r="AL110" s="203"/>
      <c r="AM110" s="203"/>
      <c r="AN110" s="203"/>
      <c r="AO110" s="203"/>
      <c r="AP110" s="203"/>
      <c r="AQ110" s="203"/>
      <c r="AR110" s="203"/>
      <c r="AS110" s="203"/>
      <c r="AT110" s="203"/>
      <c r="AU110" s="203"/>
      <c r="AV110" s="203"/>
      <c r="AW110" s="203"/>
      <c r="AX110" s="203"/>
      <c r="AY110" s="142" t="s">
        <v>21</v>
      </c>
      <c r="AZ110" s="142"/>
      <c r="BA110" s="142"/>
      <c r="BB110" s="142"/>
      <c r="BC110" s="142"/>
      <c r="BD110" s="142"/>
      <c r="BE110" s="142"/>
      <c r="BF110" s="142"/>
      <c r="BG110" s="142"/>
      <c r="BH110" s="203" t="s">
        <v>241</v>
      </c>
      <c r="BI110" s="203"/>
      <c r="BJ110" s="203"/>
      <c r="BK110" s="203"/>
      <c r="BL110" s="203"/>
      <c r="BM110" s="203"/>
      <c r="BN110" s="203"/>
      <c r="BO110" s="203"/>
      <c r="BP110" s="203"/>
      <c r="BQ110" s="203"/>
      <c r="BR110" s="203"/>
    </row>
    <row r="111" spans="1:70" ht="14.25" customHeight="1" x14ac:dyDescent="0.25">
      <c r="A111" s="141"/>
      <c r="B111" s="141"/>
      <c r="C111" s="141"/>
      <c r="D111" s="141"/>
      <c r="E111" s="141"/>
      <c r="F111" s="141"/>
      <c r="G111" s="141"/>
      <c r="H111" s="141"/>
      <c r="I111" s="141"/>
      <c r="J111" s="141"/>
      <c r="K111" s="141"/>
      <c r="L111" s="141"/>
      <c r="M111" s="141"/>
      <c r="N111" s="141"/>
      <c r="O111" s="141"/>
      <c r="P111" s="142"/>
      <c r="Q111" s="142"/>
      <c r="R111" s="142"/>
      <c r="S111" s="142"/>
      <c r="T111" s="142"/>
      <c r="U111" s="142"/>
      <c r="V111" s="142"/>
      <c r="W111" s="142"/>
      <c r="X111" s="142"/>
      <c r="Y111" s="141"/>
      <c r="Z111" s="141"/>
      <c r="AA111" s="141"/>
      <c r="AB111" s="141"/>
      <c r="AC111" s="141"/>
      <c r="AD111" s="141"/>
      <c r="AE111" s="141"/>
      <c r="AF111" s="42"/>
      <c r="AG111" s="42"/>
      <c r="AH111" s="43"/>
      <c r="AI111" s="43"/>
      <c r="AJ111" s="203"/>
      <c r="AK111" s="203"/>
      <c r="AL111" s="203"/>
      <c r="AM111" s="203"/>
      <c r="AN111" s="203"/>
      <c r="AO111" s="203"/>
      <c r="AP111" s="203"/>
      <c r="AQ111" s="203"/>
      <c r="AR111" s="203"/>
      <c r="AS111" s="203"/>
      <c r="AT111" s="203"/>
      <c r="AU111" s="203"/>
      <c r="AV111" s="203"/>
      <c r="AW111" s="203"/>
      <c r="AX111" s="203"/>
      <c r="AY111" s="142"/>
      <c r="AZ111" s="142"/>
      <c r="BA111" s="142"/>
      <c r="BB111" s="142"/>
      <c r="BC111" s="142"/>
      <c r="BD111" s="142"/>
      <c r="BE111" s="142"/>
      <c r="BF111" s="142"/>
      <c r="BG111" s="142"/>
      <c r="BH111" s="203"/>
      <c r="BI111" s="203"/>
      <c r="BJ111" s="203"/>
      <c r="BK111" s="203"/>
      <c r="BL111" s="203"/>
      <c r="BM111" s="203"/>
      <c r="BN111" s="203"/>
      <c r="BO111" s="203"/>
      <c r="BP111" s="203"/>
      <c r="BQ111" s="203"/>
      <c r="BR111" s="203"/>
    </row>
    <row r="112" spans="1:70" ht="14.25" customHeight="1" x14ac:dyDescent="0.25">
      <c r="A112" s="141"/>
      <c r="B112" s="141"/>
      <c r="C112" s="141"/>
      <c r="D112" s="141"/>
      <c r="E112" s="141"/>
      <c r="F112" s="141"/>
      <c r="G112" s="141"/>
      <c r="H112" s="141"/>
      <c r="I112" s="141"/>
      <c r="J112" s="141"/>
      <c r="K112" s="141"/>
      <c r="L112" s="141"/>
      <c r="M112" s="141"/>
      <c r="N112" s="141"/>
      <c r="O112" s="141"/>
      <c r="P112" s="142"/>
      <c r="Q112" s="142"/>
      <c r="R112" s="142"/>
      <c r="S112" s="142"/>
      <c r="T112" s="142"/>
      <c r="U112" s="142"/>
      <c r="V112" s="142"/>
      <c r="W112" s="142"/>
      <c r="X112" s="142"/>
      <c r="Y112" s="141"/>
      <c r="Z112" s="141"/>
      <c r="AA112" s="141"/>
      <c r="AB112" s="141"/>
      <c r="AC112" s="141"/>
      <c r="AD112" s="141"/>
      <c r="AE112" s="141"/>
      <c r="AF112" s="42"/>
      <c r="AG112" s="42"/>
      <c r="AH112" s="43"/>
      <c r="AI112" s="43"/>
      <c r="AJ112" s="203"/>
      <c r="AK112" s="203"/>
      <c r="AL112" s="203"/>
      <c r="AM112" s="203"/>
      <c r="AN112" s="203"/>
      <c r="AO112" s="203"/>
      <c r="AP112" s="203"/>
      <c r="AQ112" s="203"/>
      <c r="AR112" s="203"/>
      <c r="AS112" s="203"/>
      <c r="AT112" s="203"/>
      <c r="AU112" s="203"/>
      <c r="AV112" s="203"/>
      <c r="AW112" s="203"/>
      <c r="AX112" s="203"/>
      <c r="AY112" s="142"/>
      <c r="AZ112" s="142"/>
      <c r="BA112" s="142"/>
      <c r="BB112" s="142"/>
      <c r="BC112" s="142"/>
      <c r="BD112" s="142"/>
      <c r="BE112" s="142"/>
      <c r="BF112" s="142"/>
      <c r="BG112" s="142"/>
      <c r="BH112" s="203"/>
      <c r="BI112" s="203"/>
      <c r="BJ112" s="203"/>
      <c r="BK112" s="203"/>
      <c r="BL112" s="203"/>
      <c r="BM112" s="203"/>
      <c r="BN112" s="203"/>
      <c r="BO112" s="203"/>
      <c r="BP112" s="203"/>
      <c r="BQ112" s="203"/>
      <c r="BR112" s="203"/>
    </row>
    <row r="113" spans="1:70" ht="14.25" customHeight="1" x14ac:dyDescent="0.25">
      <c r="A113" s="141"/>
      <c r="B113" s="141"/>
      <c r="C113" s="141"/>
      <c r="D113" s="141"/>
      <c r="E113" s="141"/>
      <c r="F113" s="141"/>
      <c r="G113" s="141"/>
      <c r="H113" s="141"/>
      <c r="I113" s="141"/>
      <c r="J113" s="141"/>
      <c r="K113" s="141"/>
      <c r="L113" s="141"/>
      <c r="M113" s="141"/>
      <c r="N113" s="141"/>
      <c r="O113" s="141"/>
      <c r="P113" s="142"/>
      <c r="Q113" s="142"/>
      <c r="R113" s="142"/>
      <c r="S113" s="142"/>
      <c r="T113" s="142"/>
      <c r="U113" s="142"/>
      <c r="V113" s="142"/>
      <c r="W113" s="142"/>
      <c r="X113" s="142"/>
      <c r="Y113" s="141"/>
      <c r="Z113" s="141"/>
      <c r="AA113" s="141"/>
      <c r="AB113" s="141"/>
      <c r="AC113" s="141"/>
      <c r="AD113" s="141"/>
      <c r="AE113" s="141"/>
      <c r="AF113" s="42"/>
      <c r="AG113" s="42"/>
      <c r="AH113" s="43"/>
      <c r="AI113" s="43"/>
      <c r="AJ113" s="203"/>
      <c r="AK113" s="203"/>
      <c r="AL113" s="203"/>
      <c r="AM113" s="203"/>
      <c r="AN113" s="203"/>
      <c r="AO113" s="203"/>
      <c r="AP113" s="203"/>
      <c r="AQ113" s="203"/>
      <c r="AR113" s="203"/>
      <c r="AS113" s="203"/>
      <c r="AT113" s="203"/>
      <c r="AU113" s="203"/>
      <c r="AV113" s="203"/>
      <c r="AW113" s="203"/>
      <c r="AX113" s="203"/>
      <c r="AY113" s="142"/>
      <c r="AZ113" s="142"/>
      <c r="BA113" s="142"/>
      <c r="BB113" s="142"/>
      <c r="BC113" s="142"/>
      <c r="BD113" s="142"/>
      <c r="BE113" s="142"/>
      <c r="BF113" s="142"/>
      <c r="BG113" s="142"/>
      <c r="BH113" s="203"/>
      <c r="BI113" s="203"/>
      <c r="BJ113" s="203"/>
      <c r="BK113" s="203"/>
      <c r="BL113" s="203"/>
      <c r="BM113" s="203"/>
      <c r="BN113" s="203"/>
      <c r="BO113" s="203"/>
      <c r="BP113" s="203"/>
      <c r="BQ113" s="203"/>
      <c r="BR113" s="203"/>
    </row>
    <row r="114" spans="1:70" ht="14.25" customHeight="1" x14ac:dyDescent="0.25">
      <c r="A114" s="68"/>
      <c r="B114" s="68"/>
      <c r="C114" s="68"/>
      <c r="D114" s="68"/>
      <c r="E114" s="68"/>
      <c r="F114" s="68"/>
      <c r="G114" s="68"/>
      <c r="H114" s="68"/>
      <c r="I114" s="68"/>
      <c r="J114" s="68"/>
      <c r="K114" s="68"/>
      <c r="L114" s="68"/>
      <c r="M114" s="68"/>
      <c r="N114" s="68"/>
      <c r="O114" s="68"/>
      <c r="P114" s="69"/>
      <c r="Q114" s="69"/>
      <c r="R114" s="69"/>
      <c r="S114" s="69"/>
      <c r="T114" s="69"/>
      <c r="U114" s="69"/>
      <c r="V114" s="69"/>
      <c r="W114" s="69"/>
      <c r="X114" s="69"/>
      <c r="Y114" s="68"/>
      <c r="Z114" s="68"/>
      <c r="AA114" s="68"/>
      <c r="AB114" s="68"/>
      <c r="AC114" s="68"/>
      <c r="AD114" s="68"/>
      <c r="AE114" s="68"/>
      <c r="AF114" s="42"/>
      <c r="AG114" s="42"/>
      <c r="AH114" s="43"/>
      <c r="AI114" s="43"/>
      <c r="AJ114" s="68"/>
      <c r="AK114" s="68"/>
      <c r="AL114" s="68"/>
      <c r="AM114" s="68"/>
      <c r="AN114" s="68"/>
      <c r="AO114" s="68"/>
      <c r="AP114" s="68"/>
      <c r="AQ114" s="68"/>
      <c r="AR114" s="68"/>
      <c r="AS114" s="68"/>
      <c r="AT114" s="68"/>
      <c r="AU114" s="68"/>
      <c r="AV114" s="68"/>
      <c r="AW114" s="68"/>
      <c r="AX114" s="68"/>
      <c r="AY114" s="69"/>
      <c r="AZ114" s="69"/>
      <c r="BA114" s="69"/>
      <c r="BB114" s="69"/>
      <c r="BC114" s="69"/>
      <c r="BD114" s="69"/>
      <c r="BE114" s="69"/>
      <c r="BF114" s="69"/>
      <c r="BG114" s="69"/>
      <c r="BH114" s="81"/>
      <c r="BI114" s="81"/>
      <c r="BJ114" s="81"/>
      <c r="BK114" s="81"/>
      <c r="BL114" s="81"/>
      <c r="BM114" s="81"/>
      <c r="BN114" s="81"/>
      <c r="BO114" s="81"/>
      <c r="BP114" s="81"/>
      <c r="BQ114" s="81"/>
      <c r="BR114" s="81"/>
    </row>
    <row r="115" spans="1:70" ht="14.25" customHeight="1" x14ac:dyDescent="0.3">
      <c r="A115" s="68"/>
      <c r="B115" s="68"/>
      <c r="C115" s="68"/>
      <c r="D115" s="68"/>
      <c r="E115" s="68"/>
      <c r="F115" s="68"/>
      <c r="G115" s="68"/>
      <c r="H115" s="68"/>
      <c r="I115" s="68"/>
      <c r="J115" s="68"/>
      <c r="K115" s="68"/>
      <c r="L115" s="68"/>
      <c r="M115" s="68"/>
      <c r="N115" s="68"/>
      <c r="O115" s="68"/>
      <c r="P115" s="68"/>
      <c r="Q115" s="42"/>
      <c r="R115" s="42"/>
      <c r="S115" s="42"/>
      <c r="T115" s="68"/>
      <c r="U115" s="68"/>
      <c r="V115" s="44"/>
      <c r="W115" s="44"/>
      <c r="X115" s="44"/>
      <c r="Y115" s="81"/>
      <c r="Z115" s="81"/>
      <c r="AA115" s="81"/>
      <c r="AB115" s="81"/>
      <c r="AC115" s="81"/>
      <c r="AD115" s="81"/>
      <c r="AE115" s="81"/>
      <c r="AF115" s="81"/>
      <c r="AG115" s="81"/>
      <c r="AH115" s="81"/>
      <c r="AI115" s="43"/>
      <c r="AJ115" s="68"/>
      <c r="AK115" s="68"/>
      <c r="AL115" s="68"/>
      <c r="AM115" s="68"/>
      <c r="AN115" s="68"/>
      <c r="AO115" s="68"/>
      <c r="AP115" s="68"/>
      <c r="AQ115" s="68"/>
      <c r="AR115" s="68"/>
      <c r="AS115" s="68"/>
      <c r="AT115" s="68"/>
      <c r="AU115" s="68"/>
      <c r="AV115" s="68"/>
      <c r="AW115" s="68"/>
      <c r="AX115" s="68"/>
      <c r="AY115" s="68"/>
      <c r="AZ115" s="42"/>
      <c r="BA115" s="42"/>
      <c r="BB115" s="42"/>
      <c r="BC115" s="68"/>
      <c r="BD115" s="68"/>
      <c r="BE115" s="44"/>
      <c r="BF115" s="44"/>
      <c r="BG115" s="44"/>
      <c r="BH115" s="81"/>
      <c r="BI115" s="81"/>
      <c r="BJ115" s="81"/>
      <c r="BK115" s="81"/>
      <c r="BL115" s="81"/>
      <c r="BM115" s="81"/>
      <c r="BN115" s="81"/>
      <c r="BO115" s="45"/>
      <c r="BP115" s="45"/>
    </row>
    <row r="116" spans="1:70" ht="14.25" customHeight="1" x14ac:dyDescent="0.25">
      <c r="A116" s="141" t="s">
        <v>254</v>
      </c>
      <c r="B116" s="141"/>
      <c r="C116" s="141"/>
      <c r="D116" s="141"/>
      <c r="E116" s="141"/>
      <c r="F116" s="141"/>
      <c r="G116" s="141"/>
      <c r="H116" s="141"/>
      <c r="I116" s="141"/>
      <c r="J116" s="141"/>
      <c r="K116" s="141"/>
      <c r="L116" s="141"/>
      <c r="M116" s="141"/>
      <c r="N116" s="141"/>
      <c r="O116" s="141"/>
      <c r="P116" s="142" t="s">
        <v>21</v>
      </c>
      <c r="Q116" s="142"/>
      <c r="R116" s="142"/>
      <c r="S116" s="142"/>
      <c r="T116" s="142"/>
      <c r="U116" s="142"/>
      <c r="V116" s="142"/>
      <c r="W116" s="142"/>
      <c r="X116" s="142"/>
      <c r="Y116" s="141" t="s">
        <v>69</v>
      </c>
      <c r="Z116" s="141"/>
      <c r="AA116" s="141"/>
      <c r="AB116" s="141"/>
      <c r="AC116" s="141"/>
      <c r="AD116" s="141"/>
      <c r="AE116" s="141"/>
      <c r="AF116" s="42"/>
      <c r="AG116" s="42"/>
      <c r="AH116" s="43"/>
      <c r="AI116" s="43"/>
      <c r="AJ116" s="141" t="s">
        <v>70</v>
      </c>
      <c r="AK116" s="141"/>
      <c r="AL116" s="141"/>
      <c r="AM116" s="141"/>
      <c r="AN116" s="141"/>
      <c r="AO116" s="141"/>
      <c r="AP116" s="141"/>
      <c r="AQ116" s="141"/>
      <c r="AR116" s="141"/>
      <c r="AS116" s="141"/>
      <c r="AT116" s="141"/>
      <c r="AU116" s="141"/>
      <c r="AV116" s="141"/>
      <c r="AW116" s="141"/>
      <c r="AX116" s="141"/>
      <c r="AY116" s="142" t="s">
        <v>21</v>
      </c>
      <c r="AZ116" s="142"/>
      <c r="BA116" s="142"/>
      <c r="BB116" s="142"/>
      <c r="BC116" s="142"/>
      <c r="BD116" s="142"/>
      <c r="BE116" s="142"/>
      <c r="BF116" s="142"/>
      <c r="BG116" s="142"/>
      <c r="BH116" s="203" t="s">
        <v>175</v>
      </c>
      <c r="BI116" s="203"/>
      <c r="BJ116" s="203"/>
      <c r="BK116" s="203"/>
      <c r="BL116" s="203"/>
      <c r="BM116" s="203"/>
      <c r="BN116" s="203"/>
      <c r="BO116" s="203"/>
      <c r="BP116" s="203"/>
      <c r="BQ116" s="203"/>
      <c r="BR116" s="203"/>
    </row>
    <row r="117" spans="1:70" ht="14.25" customHeight="1" x14ac:dyDescent="0.25">
      <c r="A117" s="141"/>
      <c r="B117" s="141"/>
      <c r="C117" s="141"/>
      <c r="D117" s="141"/>
      <c r="E117" s="141"/>
      <c r="F117" s="141"/>
      <c r="G117" s="141"/>
      <c r="H117" s="141"/>
      <c r="I117" s="141"/>
      <c r="J117" s="141"/>
      <c r="K117" s="141"/>
      <c r="L117" s="141"/>
      <c r="M117" s="141"/>
      <c r="N117" s="141"/>
      <c r="O117" s="141"/>
      <c r="P117" s="142"/>
      <c r="Q117" s="142"/>
      <c r="R117" s="142"/>
      <c r="S117" s="142"/>
      <c r="T117" s="142"/>
      <c r="U117" s="142"/>
      <c r="V117" s="142"/>
      <c r="W117" s="142"/>
      <c r="X117" s="142"/>
      <c r="Y117" s="141"/>
      <c r="Z117" s="141"/>
      <c r="AA117" s="141"/>
      <c r="AB117" s="141"/>
      <c r="AC117" s="141"/>
      <c r="AD117" s="141"/>
      <c r="AE117" s="141"/>
      <c r="AF117" s="42"/>
      <c r="AG117" s="42"/>
      <c r="AH117" s="43"/>
      <c r="AI117" s="43"/>
      <c r="AJ117" s="141"/>
      <c r="AK117" s="141"/>
      <c r="AL117" s="141"/>
      <c r="AM117" s="141"/>
      <c r="AN117" s="141"/>
      <c r="AO117" s="141"/>
      <c r="AP117" s="141"/>
      <c r="AQ117" s="141"/>
      <c r="AR117" s="141"/>
      <c r="AS117" s="141"/>
      <c r="AT117" s="141"/>
      <c r="AU117" s="141"/>
      <c r="AV117" s="141"/>
      <c r="AW117" s="141"/>
      <c r="AX117" s="141"/>
      <c r="AY117" s="142"/>
      <c r="AZ117" s="142"/>
      <c r="BA117" s="142"/>
      <c r="BB117" s="142"/>
      <c r="BC117" s="142"/>
      <c r="BD117" s="142"/>
      <c r="BE117" s="142"/>
      <c r="BF117" s="142"/>
      <c r="BG117" s="142"/>
      <c r="BH117" s="203"/>
      <c r="BI117" s="203"/>
      <c r="BJ117" s="203"/>
      <c r="BK117" s="203"/>
      <c r="BL117" s="203"/>
      <c r="BM117" s="203"/>
      <c r="BN117" s="203"/>
      <c r="BO117" s="203"/>
      <c r="BP117" s="203"/>
      <c r="BQ117" s="203"/>
      <c r="BR117" s="203"/>
    </row>
    <row r="118" spans="1:70" ht="14.25" customHeight="1" x14ac:dyDescent="0.25">
      <c r="A118" s="141"/>
      <c r="B118" s="141"/>
      <c r="C118" s="141"/>
      <c r="D118" s="141"/>
      <c r="E118" s="141"/>
      <c r="F118" s="141"/>
      <c r="G118" s="141"/>
      <c r="H118" s="141"/>
      <c r="I118" s="141"/>
      <c r="J118" s="141"/>
      <c r="K118" s="141"/>
      <c r="L118" s="141"/>
      <c r="M118" s="141"/>
      <c r="N118" s="141"/>
      <c r="O118" s="141"/>
      <c r="P118" s="142"/>
      <c r="Q118" s="142"/>
      <c r="R118" s="142"/>
      <c r="S118" s="142"/>
      <c r="T118" s="142"/>
      <c r="U118" s="142"/>
      <c r="V118" s="142"/>
      <c r="W118" s="142"/>
      <c r="X118" s="142"/>
      <c r="Y118" s="141"/>
      <c r="Z118" s="141"/>
      <c r="AA118" s="141"/>
      <c r="AB118" s="141"/>
      <c r="AC118" s="141"/>
      <c r="AD118" s="141"/>
      <c r="AE118" s="141"/>
      <c r="AF118" s="42"/>
      <c r="AG118" s="42"/>
      <c r="AH118" s="43"/>
      <c r="AI118" s="43"/>
      <c r="AJ118" s="141"/>
      <c r="AK118" s="141"/>
      <c r="AL118" s="141"/>
      <c r="AM118" s="141"/>
      <c r="AN118" s="141"/>
      <c r="AO118" s="141"/>
      <c r="AP118" s="141"/>
      <c r="AQ118" s="141"/>
      <c r="AR118" s="141"/>
      <c r="AS118" s="141"/>
      <c r="AT118" s="141"/>
      <c r="AU118" s="141"/>
      <c r="AV118" s="141"/>
      <c r="AW118" s="141"/>
      <c r="AX118" s="141"/>
      <c r="AY118" s="142"/>
      <c r="AZ118" s="142"/>
      <c r="BA118" s="142"/>
      <c r="BB118" s="142"/>
      <c r="BC118" s="142"/>
      <c r="BD118" s="142"/>
      <c r="BE118" s="142"/>
      <c r="BF118" s="142"/>
      <c r="BG118" s="142"/>
      <c r="BH118" s="203"/>
      <c r="BI118" s="203"/>
      <c r="BJ118" s="203"/>
      <c r="BK118" s="203"/>
      <c r="BL118" s="203"/>
      <c r="BM118" s="203"/>
      <c r="BN118" s="203"/>
      <c r="BO118" s="203"/>
      <c r="BP118" s="203"/>
      <c r="BQ118" s="203"/>
      <c r="BR118" s="203"/>
    </row>
    <row r="119" spans="1:70" ht="14.25" customHeight="1" x14ac:dyDescent="0.25">
      <c r="A119" s="141"/>
      <c r="B119" s="141"/>
      <c r="C119" s="141"/>
      <c r="D119" s="141"/>
      <c r="E119" s="141"/>
      <c r="F119" s="141"/>
      <c r="G119" s="141"/>
      <c r="H119" s="141"/>
      <c r="I119" s="141"/>
      <c r="J119" s="141"/>
      <c r="K119" s="141"/>
      <c r="L119" s="141"/>
      <c r="M119" s="141"/>
      <c r="N119" s="141"/>
      <c r="O119" s="141"/>
      <c r="P119" s="142"/>
      <c r="Q119" s="142"/>
      <c r="R119" s="142"/>
      <c r="S119" s="142"/>
      <c r="T119" s="142"/>
      <c r="U119" s="142"/>
      <c r="V119" s="142"/>
      <c r="W119" s="142"/>
      <c r="X119" s="142"/>
      <c r="Y119" s="141"/>
      <c r="Z119" s="141"/>
      <c r="AA119" s="141"/>
      <c r="AB119" s="141"/>
      <c r="AC119" s="141"/>
      <c r="AD119" s="141"/>
      <c r="AE119" s="141"/>
      <c r="AF119" s="42"/>
      <c r="AG119" s="42"/>
      <c r="AH119" s="43"/>
      <c r="AI119" s="81"/>
      <c r="AJ119" s="141"/>
      <c r="AK119" s="141"/>
      <c r="AL119" s="141"/>
      <c r="AM119" s="141"/>
      <c r="AN119" s="141"/>
      <c r="AO119" s="141"/>
      <c r="AP119" s="141"/>
      <c r="AQ119" s="141"/>
      <c r="AR119" s="141"/>
      <c r="AS119" s="141"/>
      <c r="AT119" s="141"/>
      <c r="AU119" s="141"/>
      <c r="AV119" s="141"/>
      <c r="AW119" s="141"/>
      <c r="AX119" s="141"/>
      <c r="AY119" s="142"/>
      <c r="AZ119" s="142"/>
      <c r="BA119" s="142"/>
      <c r="BB119" s="142"/>
      <c r="BC119" s="142"/>
      <c r="BD119" s="142"/>
      <c r="BE119" s="142"/>
      <c r="BF119" s="142"/>
      <c r="BG119" s="142"/>
      <c r="BH119" s="203"/>
      <c r="BI119" s="203"/>
      <c r="BJ119" s="203"/>
      <c r="BK119" s="203"/>
      <c r="BL119" s="203"/>
      <c r="BM119" s="203"/>
      <c r="BN119" s="203"/>
      <c r="BO119" s="203"/>
      <c r="BP119" s="203"/>
      <c r="BQ119" s="203"/>
      <c r="BR119" s="203"/>
    </row>
    <row r="120" spans="1:70" ht="14.25" customHeight="1" x14ac:dyDescent="0.25">
      <c r="A120" s="68"/>
      <c r="B120" s="68"/>
      <c r="C120" s="68"/>
      <c r="D120" s="68"/>
      <c r="E120" s="68"/>
      <c r="F120" s="68"/>
      <c r="G120" s="68"/>
      <c r="H120" s="68"/>
      <c r="I120" s="68"/>
      <c r="J120" s="68"/>
      <c r="K120" s="68"/>
      <c r="L120" s="68"/>
      <c r="M120" s="68"/>
      <c r="N120" s="68"/>
      <c r="O120" s="68"/>
      <c r="P120" s="43"/>
      <c r="Q120" s="43"/>
      <c r="R120" s="43"/>
      <c r="S120" s="43"/>
      <c r="T120" s="43"/>
      <c r="U120" s="43"/>
      <c r="V120" s="43"/>
      <c r="W120" s="43"/>
      <c r="X120" s="43"/>
      <c r="Y120" s="81"/>
      <c r="Z120" s="81"/>
      <c r="AA120" s="81"/>
      <c r="AB120" s="81"/>
      <c r="AC120" s="81"/>
      <c r="AD120" s="81"/>
      <c r="AE120" s="81"/>
      <c r="AF120" s="81"/>
      <c r="AG120" s="81"/>
      <c r="AH120" s="43"/>
      <c r="AI120" s="81"/>
      <c r="AJ120" s="68"/>
      <c r="AK120" s="68"/>
      <c r="AL120" s="68"/>
      <c r="AM120" s="68"/>
      <c r="AN120" s="68"/>
      <c r="AO120" s="68"/>
      <c r="AP120" s="68"/>
      <c r="AQ120" s="68"/>
      <c r="AR120" s="68"/>
      <c r="AS120" s="68"/>
      <c r="AT120" s="68"/>
      <c r="AU120" s="68"/>
      <c r="AV120" s="68"/>
      <c r="AW120" s="68"/>
      <c r="AX120" s="68"/>
      <c r="AY120" s="43"/>
      <c r="AZ120" s="43"/>
      <c r="BA120" s="43"/>
      <c r="BB120" s="43"/>
      <c r="BC120" s="43"/>
      <c r="BD120" s="43"/>
      <c r="BE120" s="43"/>
      <c r="BF120" s="43"/>
      <c r="BG120" s="43"/>
      <c r="BH120" s="203" t="s">
        <v>176</v>
      </c>
      <c r="BI120" s="203"/>
      <c r="BJ120" s="203"/>
      <c r="BK120" s="203"/>
      <c r="BL120" s="203"/>
      <c r="BM120" s="203"/>
      <c r="BN120" s="203"/>
      <c r="BO120" s="203"/>
      <c r="BP120" s="203"/>
      <c r="BQ120" s="203"/>
      <c r="BR120" s="203"/>
    </row>
    <row r="121" spans="1:70" ht="14.25" customHeight="1" x14ac:dyDescent="0.25">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3"/>
      <c r="Z121" s="43"/>
      <c r="AA121" s="43"/>
      <c r="AB121" s="43"/>
      <c r="AC121" s="43"/>
      <c r="AD121" s="43"/>
      <c r="AE121" s="43"/>
      <c r="AF121" s="42"/>
      <c r="AG121" s="42"/>
      <c r="AH121" s="43"/>
      <c r="AI121" s="43"/>
      <c r="AJ121" s="42"/>
      <c r="AK121" s="42"/>
      <c r="AL121" s="42"/>
      <c r="AM121" s="42"/>
      <c r="AN121" s="42"/>
      <c r="AO121" s="42"/>
      <c r="AP121" s="42"/>
      <c r="AQ121" s="42"/>
      <c r="AR121" s="42"/>
      <c r="AS121" s="42"/>
      <c r="AT121" s="42"/>
      <c r="AU121" s="42"/>
      <c r="AV121" s="42"/>
      <c r="AW121" s="42"/>
      <c r="AX121" s="42"/>
      <c r="AY121" s="42"/>
      <c r="AZ121" s="42"/>
      <c r="BA121" s="42"/>
      <c r="BB121" s="42"/>
      <c r="BC121" s="42"/>
      <c r="BD121" s="42"/>
      <c r="BE121" s="42"/>
      <c r="BF121" s="42"/>
      <c r="BG121" s="42"/>
      <c r="BH121" s="203"/>
      <c r="BI121" s="203"/>
      <c r="BJ121" s="203"/>
      <c r="BK121" s="203"/>
      <c r="BL121" s="203"/>
      <c r="BM121" s="203"/>
      <c r="BN121" s="203"/>
      <c r="BO121" s="203"/>
      <c r="BP121" s="203"/>
      <c r="BQ121" s="203"/>
      <c r="BR121" s="203"/>
    </row>
    <row r="122" spans="1:70" ht="14.25" customHeight="1" x14ac:dyDescent="0.25">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3"/>
      <c r="Z122" s="43"/>
      <c r="AA122" s="43"/>
      <c r="AB122" s="43"/>
      <c r="AC122" s="43"/>
      <c r="AD122" s="43"/>
      <c r="AE122" s="43"/>
      <c r="AF122" s="42"/>
      <c r="AG122" s="42"/>
      <c r="AH122" s="43"/>
      <c r="AI122" s="43"/>
      <c r="AJ122" s="42"/>
      <c r="AK122" s="42"/>
      <c r="AL122" s="42"/>
      <c r="AM122" s="42"/>
      <c r="AN122" s="42"/>
      <c r="AO122" s="42"/>
      <c r="AP122" s="42"/>
      <c r="AQ122" s="42"/>
      <c r="AR122" s="42"/>
      <c r="AS122" s="42"/>
      <c r="AT122" s="42"/>
      <c r="AU122" s="42"/>
      <c r="AV122" s="42"/>
      <c r="AW122" s="42"/>
      <c r="AX122" s="42"/>
      <c r="AY122" s="42"/>
      <c r="AZ122" s="42"/>
      <c r="BA122" s="42"/>
      <c r="BB122" s="42"/>
      <c r="BC122" s="42"/>
      <c r="BD122" s="42"/>
      <c r="BE122" s="42"/>
      <c r="BF122" s="42"/>
      <c r="BG122" s="42"/>
      <c r="BH122" s="203"/>
      <c r="BI122" s="203"/>
      <c r="BJ122" s="203"/>
      <c r="BK122" s="203"/>
      <c r="BL122" s="203"/>
      <c r="BM122" s="203"/>
      <c r="BN122" s="203"/>
      <c r="BO122" s="203"/>
      <c r="BP122" s="203"/>
      <c r="BQ122" s="203"/>
      <c r="BR122" s="203"/>
    </row>
    <row r="123" spans="1:70" ht="14.25" customHeight="1" x14ac:dyDescent="0.25">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3"/>
      <c r="Z123" s="43"/>
      <c r="AA123" s="43"/>
      <c r="AB123" s="43"/>
      <c r="AC123" s="43"/>
      <c r="AD123" s="43"/>
      <c r="AE123" s="43"/>
      <c r="AF123" s="42"/>
      <c r="AG123" s="42"/>
      <c r="AH123" s="43"/>
      <c r="AI123" s="43"/>
      <c r="AJ123" s="42"/>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2"/>
      <c r="BH123" s="203"/>
      <c r="BI123" s="203"/>
      <c r="BJ123" s="203"/>
      <c r="BK123" s="203"/>
      <c r="BL123" s="203"/>
      <c r="BM123" s="203"/>
      <c r="BN123" s="203"/>
      <c r="BO123" s="203"/>
      <c r="BP123" s="203"/>
      <c r="BQ123" s="203"/>
      <c r="BR123" s="203"/>
    </row>
    <row r="124" spans="1:70" ht="14.25" customHeight="1" x14ac:dyDescent="0.25">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3"/>
      <c r="Z124" s="43"/>
      <c r="AA124" s="43"/>
      <c r="AB124" s="43"/>
      <c r="AC124" s="43"/>
      <c r="AD124" s="43"/>
      <c r="AE124" s="43"/>
      <c r="AF124" s="42"/>
      <c r="AG124" s="42"/>
      <c r="AH124" s="43"/>
      <c r="AI124" s="37"/>
      <c r="AJ124" s="42"/>
      <c r="AK124" s="42"/>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42"/>
      <c r="BH124" s="203" t="s">
        <v>177</v>
      </c>
      <c r="BI124" s="203"/>
      <c r="BJ124" s="203"/>
      <c r="BK124" s="203"/>
      <c r="BL124" s="203"/>
      <c r="BM124" s="203"/>
      <c r="BN124" s="203"/>
      <c r="BO124" s="203"/>
      <c r="BP124" s="203"/>
      <c r="BQ124" s="203"/>
      <c r="BR124" s="203"/>
    </row>
    <row r="125" spans="1:70" ht="14.25" customHeight="1" x14ac:dyDescent="0.3">
      <c r="A125" s="68"/>
      <c r="B125" s="46"/>
      <c r="C125" s="46"/>
      <c r="D125" s="68"/>
      <c r="E125" s="68"/>
      <c r="F125" s="68"/>
      <c r="G125" s="68"/>
      <c r="H125" s="68"/>
      <c r="I125" s="68"/>
      <c r="J125" s="68"/>
      <c r="K125" s="68"/>
      <c r="L125" s="68"/>
      <c r="M125" s="68"/>
      <c r="N125" s="68"/>
      <c r="O125" s="68"/>
      <c r="P125" s="42"/>
      <c r="Q125" s="42"/>
      <c r="R125" s="42"/>
      <c r="S125" s="42"/>
      <c r="T125" s="42"/>
      <c r="U125" s="42"/>
      <c r="V125" s="42"/>
      <c r="W125" s="42"/>
      <c r="X125" s="42"/>
      <c r="Y125" s="43"/>
      <c r="Z125" s="43"/>
      <c r="AA125" s="43"/>
      <c r="AB125" s="43"/>
      <c r="AC125" s="43"/>
      <c r="AD125" s="43"/>
      <c r="AE125" s="43"/>
      <c r="AF125" s="47"/>
      <c r="AG125" s="47"/>
      <c r="AH125" s="48"/>
      <c r="AI125" s="47"/>
      <c r="AJ125" s="68"/>
      <c r="AK125" s="68"/>
      <c r="AL125" s="68"/>
      <c r="AM125" s="68"/>
      <c r="AN125" s="68"/>
      <c r="AO125" s="68"/>
      <c r="AP125" s="68"/>
      <c r="AQ125" s="68"/>
      <c r="AR125" s="68"/>
      <c r="AS125" s="68"/>
      <c r="AT125" s="68"/>
      <c r="AU125" s="68"/>
      <c r="AV125" s="68"/>
      <c r="AW125" s="68"/>
      <c r="AX125" s="68"/>
      <c r="AY125" s="187"/>
      <c r="AZ125" s="187"/>
      <c r="BA125" s="187"/>
      <c r="BB125" s="187"/>
      <c r="BC125" s="187"/>
      <c r="BD125" s="187"/>
      <c r="BE125" s="187"/>
      <c r="BF125" s="187"/>
      <c r="BG125" s="187"/>
      <c r="BH125" s="203"/>
      <c r="BI125" s="203"/>
      <c r="BJ125" s="203"/>
      <c r="BK125" s="203"/>
      <c r="BL125" s="203"/>
      <c r="BM125" s="203"/>
      <c r="BN125" s="203"/>
      <c r="BO125" s="203"/>
      <c r="BP125" s="203"/>
      <c r="BQ125" s="203"/>
      <c r="BR125" s="203"/>
    </row>
    <row r="126" spans="1:70" ht="14.25" customHeight="1" x14ac:dyDescent="0.3">
      <c r="A126" s="68"/>
      <c r="B126" s="46"/>
      <c r="C126" s="46"/>
      <c r="D126" s="68"/>
      <c r="E126" s="68"/>
      <c r="F126" s="68"/>
      <c r="G126" s="68"/>
      <c r="H126" s="68"/>
      <c r="I126" s="68"/>
      <c r="J126" s="68"/>
      <c r="K126" s="68"/>
      <c r="L126" s="68"/>
      <c r="M126" s="68"/>
      <c r="N126" s="68"/>
      <c r="O126" s="68"/>
      <c r="P126" s="42"/>
      <c r="Q126" s="42"/>
      <c r="R126" s="42"/>
      <c r="S126" s="42"/>
      <c r="T126" s="42"/>
      <c r="U126" s="42"/>
      <c r="V126" s="42"/>
      <c r="W126" s="42"/>
      <c r="X126" s="42"/>
      <c r="Y126" s="43"/>
      <c r="Z126" s="43"/>
      <c r="AA126" s="43"/>
      <c r="AB126" s="43"/>
      <c r="AC126" s="43"/>
      <c r="AD126" s="43"/>
      <c r="AE126" s="43"/>
      <c r="AF126" s="47"/>
      <c r="AG126" s="47"/>
      <c r="AH126" s="48"/>
      <c r="AI126" s="47"/>
      <c r="AJ126" s="68"/>
      <c r="AK126" s="68"/>
      <c r="AL126" s="68"/>
      <c r="AM126" s="68"/>
      <c r="AN126" s="68"/>
      <c r="AO126" s="68"/>
      <c r="AP126" s="68"/>
      <c r="AQ126" s="68"/>
      <c r="AR126" s="68"/>
      <c r="AS126" s="68"/>
      <c r="AT126" s="68"/>
      <c r="AU126" s="68"/>
      <c r="AV126" s="68"/>
      <c r="AW126" s="68"/>
      <c r="AX126" s="68"/>
      <c r="AY126" s="78"/>
      <c r="AZ126" s="78"/>
      <c r="BA126" s="78"/>
      <c r="BB126" s="78"/>
      <c r="BC126" s="78"/>
      <c r="BD126" s="78"/>
      <c r="BE126" s="78"/>
      <c r="BF126" s="78"/>
      <c r="BG126" s="78"/>
      <c r="BH126" s="203"/>
      <c r="BI126" s="203"/>
      <c r="BJ126" s="203"/>
      <c r="BK126" s="203"/>
      <c r="BL126" s="203"/>
      <c r="BM126" s="203"/>
      <c r="BN126" s="203"/>
      <c r="BO126" s="203"/>
      <c r="BP126" s="203"/>
      <c r="BQ126" s="203"/>
      <c r="BR126" s="203"/>
    </row>
    <row r="127" spans="1:70" ht="14.25" customHeight="1" x14ac:dyDescent="0.3">
      <c r="A127" s="68"/>
      <c r="B127" s="46"/>
      <c r="C127" s="46"/>
      <c r="D127" s="68"/>
      <c r="E127" s="68"/>
      <c r="F127" s="68"/>
      <c r="G127" s="68"/>
      <c r="H127" s="68"/>
      <c r="I127" s="68"/>
      <c r="J127" s="68"/>
      <c r="K127" s="68"/>
      <c r="L127" s="68"/>
      <c r="M127" s="68"/>
      <c r="N127" s="68"/>
      <c r="O127" s="68"/>
      <c r="P127" s="42"/>
      <c r="Q127" s="42"/>
      <c r="R127" s="42"/>
      <c r="S127" s="42"/>
      <c r="T127" s="42"/>
      <c r="U127" s="42"/>
      <c r="V127" s="42"/>
      <c r="W127" s="42"/>
      <c r="X127" s="42"/>
      <c r="Y127" s="43"/>
      <c r="Z127" s="43"/>
      <c r="AA127" s="43"/>
      <c r="AB127" s="43"/>
      <c r="AC127" s="43"/>
      <c r="AD127" s="43"/>
      <c r="AE127" s="43"/>
      <c r="AF127" s="47"/>
      <c r="AG127" s="47"/>
      <c r="AH127" s="48"/>
      <c r="AI127" s="47"/>
      <c r="AJ127" s="68"/>
      <c r="AK127" s="68"/>
      <c r="AL127" s="68"/>
      <c r="AM127" s="68"/>
      <c r="AN127" s="68"/>
      <c r="AO127" s="68"/>
      <c r="AP127" s="68"/>
      <c r="AQ127" s="68"/>
      <c r="AR127" s="68"/>
      <c r="AS127" s="68"/>
      <c r="AT127" s="68"/>
      <c r="AU127" s="68"/>
      <c r="AV127" s="68"/>
      <c r="AW127" s="68"/>
      <c r="AX127" s="68"/>
      <c r="AY127" s="78"/>
      <c r="AZ127" s="78"/>
      <c r="BA127" s="78"/>
      <c r="BB127" s="78"/>
      <c r="BC127" s="78"/>
      <c r="BD127" s="78"/>
      <c r="BE127" s="78"/>
      <c r="BF127" s="78"/>
      <c r="BG127" s="78"/>
      <c r="BH127" s="203"/>
      <c r="BI127" s="203"/>
      <c r="BJ127" s="203"/>
      <c r="BK127" s="203"/>
      <c r="BL127" s="203"/>
      <c r="BM127" s="203"/>
      <c r="BN127" s="203"/>
      <c r="BO127" s="203"/>
      <c r="BP127" s="203"/>
      <c r="BQ127" s="203"/>
      <c r="BR127" s="203"/>
    </row>
    <row r="128" spans="1:70" ht="14.25" customHeight="1" x14ac:dyDescent="0.3">
      <c r="A128" s="45"/>
      <c r="B128" s="45"/>
      <c r="C128" s="45"/>
      <c r="D128" s="45"/>
      <c r="E128" s="45"/>
      <c r="F128" s="45"/>
      <c r="G128" s="45"/>
      <c r="H128" s="45"/>
      <c r="I128" s="45"/>
      <c r="J128" s="45"/>
      <c r="K128" s="45"/>
      <c r="L128" s="45"/>
      <c r="M128" s="45"/>
      <c r="N128" s="45"/>
      <c r="O128" s="45"/>
      <c r="P128" s="42"/>
      <c r="Q128" s="42"/>
      <c r="R128" s="42"/>
      <c r="S128" s="42"/>
      <c r="T128" s="42"/>
      <c r="U128" s="42"/>
      <c r="V128" s="42"/>
      <c r="W128" s="42"/>
      <c r="X128" s="42"/>
      <c r="Y128" s="43"/>
      <c r="Z128" s="43"/>
      <c r="AA128" s="43"/>
      <c r="AB128" s="43"/>
      <c r="AC128" s="43"/>
      <c r="AD128" s="43"/>
      <c r="AE128" s="43"/>
      <c r="AF128" s="45"/>
      <c r="AG128" s="45"/>
      <c r="AH128" s="48"/>
      <c r="AI128" s="48"/>
      <c r="AJ128" s="206"/>
      <c r="AK128" s="206"/>
      <c r="AL128" s="206"/>
      <c r="AM128" s="206"/>
      <c r="AN128" s="206"/>
      <c r="AO128" s="206"/>
      <c r="AP128" s="206"/>
      <c r="AQ128" s="206"/>
      <c r="AR128" s="206"/>
      <c r="AS128" s="206"/>
      <c r="AT128" s="206"/>
      <c r="AU128" s="206"/>
      <c r="AV128" s="206"/>
      <c r="AW128" s="206"/>
      <c r="AX128" s="206"/>
      <c r="AY128" s="187"/>
      <c r="AZ128" s="187"/>
      <c r="BA128" s="187"/>
      <c r="BB128" s="187"/>
      <c r="BC128" s="187"/>
      <c r="BD128" s="187"/>
      <c r="BE128" s="187"/>
      <c r="BF128" s="187"/>
      <c r="BG128" s="187"/>
      <c r="BH128" s="187"/>
      <c r="BI128" s="187"/>
      <c r="BJ128" s="187"/>
      <c r="BK128" s="187"/>
      <c r="BL128" s="187"/>
      <c r="BM128" s="187"/>
      <c r="BN128" s="187"/>
      <c r="BO128" s="187"/>
      <c r="BP128" s="187"/>
    </row>
    <row r="129" spans="1:66" ht="14.25" customHeight="1" x14ac:dyDescent="0.3">
      <c r="A129" s="45"/>
      <c r="B129" s="45"/>
      <c r="C129" s="45"/>
      <c r="D129" s="45"/>
      <c r="E129" s="45"/>
      <c r="F129" s="45"/>
      <c r="G129" s="45"/>
      <c r="H129" s="45"/>
      <c r="I129" s="45"/>
      <c r="J129" s="45"/>
      <c r="K129" s="45"/>
      <c r="L129" s="45"/>
      <c r="M129" s="45"/>
      <c r="N129" s="45"/>
      <c r="O129" s="45"/>
      <c r="P129" s="42"/>
      <c r="Q129" s="42"/>
      <c r="R129" s="42"/>
      <c r="S129" s="42"/>
      <c r="T129" s="42"/>
      <c r="U129" s="42"/>
      <c r="V129" s="42"/>
      <c r="W129" s="42"/>
      <c r="X129" s="42"/>
      <c r="Y129" s="43"/>
      <c r="Z129" s="43"/>
      <c r="AA129" s="43"/>
      <c r="AB129" s="43"/>
      <c r="AC129" s="43"/>
      <c r="AD129" s="43"/>
      <c r="AE129" s="43"/>
      <c r="AF129" s="45"/>
      <c r="AG129" s="45"/>
      <c r="AH129" s="48"/>
      <c r="AI129" s="37"/>
      <c r="AJ129" s="206"/>
      <c r="AK129" s="206"/>
      <c r="AL129" s="206"/>
      <c r="AM129" s="206"/>
      <c r="AN129" s="206"/>
      <c r="AO129" s="206"/>
      <c r="AP129" s="206"/>
      <c r="AQ129" s="206"/>
      <c r="AR129" s="206"/>
      <c r="AS129" s="206"/>
      <c r="AT129" s="206"/>
      <c r="AU129" s="206"/>
      <c r="AV129" s="206"/>
      <c r="AW129" s="206"/>
      <c r="AX129" s="206"/>
      <c r="AY129" s="45"/>
      <c r="AZ129" s="45"/>
      <c r="BA129" s="45"/>
      <c r="BB129" s="45"/>
      <c r="BC129" s="45"/>
      <c r="BD129" s="45"/>
      <c r="BE129" s="45"/>
      <c r="BF129" s="45"/>
      <c r="BG129" s="45"/>
    </row>
    <row r="130" spans="1:66" ht="14.25" customHeight="1" x14ac:dyDescent="0.3">
      <c r="BH130" s="45"/>
      <c r="BI130" s="45"/>
      <c r="BJ130" s="45"/>
      <c r="BK130" s="45"/>
      <c r="BL130" s="45"/>
      <c r="BM130" s="45"/>
      <c r="BN130" s="45"/>
    </row>
    <row r="131" spans="1:66" ht="14.25" customHeight="1" x14ac:dyDescent="0.3">
      <c r="A131" s="49"/>
      <c r="B131" s="49"/>
      <c r="C131" s="49"/>
      <c r="D131" s="49"/>
      <c r="E131" s="49"/>
      <c r="F131" s="49"/>
      <c r="G131" s="49"/>
      <c r="H131" s="49"/>
      <c r="I131" s="49"/>
      <c r="J131" s="49"/>
      <c r="K131" s="49"/>
      <c r="L131" s="49"/>
      <c r="M131" s="49"/>
      <c r="N131" s="49"/>
      <c r="O131" s="49"/>
      <c r="P131" s="49"/>
      <c r="Q131" s="49"/>
      <c r="R131" s="49"/>
      <c r="S131" s="49"/>
      <c r="T131" s="82"/>
      <c r="U131" s="82"/>
      <c r="V131" s="82"/>
      <c r="W131" s="49"/>
      <c r="X131" s="49"/>
      <c r="Y131" s="49"/>
      <c r="Z131" s="49"/>
      <c r="AA131" s="49"/>
      <c r="AB131" s="49"/>
      <c r="AC131" s="49"/>
      <c r="AD131" s="49"/>
      <c r="AE131" s="49"/>
      <c r="AF131" s="49"/>
      <c r="AG131" s="49"/>
      <c r="AH131" s="50"/>
      <c r="AI131" s="50"/>
      <c r="AJ131" s="62"/>
      <c r="AK131" s="62"/>
      <c r="AL131" s="62"/>
      <c r="AM131" s="62"/>
      <c r="AN131" s="62"/>
      <c r="AO131" s="62"/>
      <c r="AP131" s="62"/>
      <c r="BC131" s="48"/>
      <c r="BD131" s="48"/>
      <c r="BE131" s="48"/>
      <c r="BF131" s="48"/>
      <c r="BG131" s="48"/>
      <c r="BH131" s="45"/>
      <c r="BI131" s="45"/>
      <c r="BJ131" s="45"/>
      <c r="BK131" s="45"/>
      <c r="BL131" s="45"/>
      <c r="BM131" s="45"/>
      <c r="BN131" s="45"/>
    </row>
    <row r="132" spans="1:66" ht="14.25" customHeight="1" x14ac:dyDescent="0.3">
      <c r="A132" s="82"/>
      <c r="B132" s="64"/>
      <c r="C132" s="64"/>
      <c r="D132" s="82"/>
      <c r="E132" s="82"/>
      <c r="F132" s="82"/>
      <c r="G132" s="82"/>
      <c r="H132" s="82"/>
      <c r="I132" s="82"/>
      <c r="J132" s="82"/>
      <c r="K132" s="82"/>
      <c r="L132" s="82"/>
      <c r="M132" s="82"/>
      <c r="N132" s="82"/>
      <c r="O132" s="82"/>
      <c r="P132" s="82"/>
      <c r="Q132" s="82"/>
      <c r="R132" s="82"/>
      <c r="S132" s="82"/>
      <c r="T132" s="82"/>
      <c r="U132" s="82"/>
      <c r="V132" s="82"/>
      <c r="W132" s="82"/>
      <c r="X132" s="82"/>
      <c r="Y132" s="52"/>
      <c r="Z132" s="52"/>
      <c r="AA132" s="52"/>
      <c r="AB132" s="52"/>
      <c r="AC132" s="52"/>
      <c r="AD132" s="52"/>
      <c r="AE132" s="52"/>
      <c r="AF132" s="52"/>
      <c r="AG132" s="52"/>
      <c r="AH132" s="52"/>
      <c r="AI132" s="52"/>
      <c r="AJ132" s="52"/>
      <c r="AK132" s="52"/>
      <c r="AL132" s="52"/>
      <c r="AM132" s="52"/>
      <c r="AN132" s="52"/>
      <c r="AO132" s="52"/>
      <c r="AP132" s="52"/>
      <c r="BH132" s="45"/>
      <c r="BI132" s="45"/>
      <c r="BJ132" s="45"/>
      <c r="BK132" s="45"/>
      <c r="BL132" s="45"/>
      <c r="BM132" s="45"/>
      <c r="BN132" s="45"/>
    </row>
    <row r="133" spans="1:66" ht="14.25" customHeight="1" x14ac:dyDescent="0.3">
      <c r="A133" s="49"/>
      <c r="B133" s="49"/>
      <c r="C133" s="49"/>
      <c r="D133" s="49"/>
      <c r="E133" s="49"/>
      <c r="F133" s="49"/>
      <c r="G133" s="49"/>
      <c r="H133" s="49"/>
      <c r="I133" s="49"/>
      <c r="J133" s="49"/>
      <c r="K133" s="49"/>
      <c r="L133" s="49"/>
      <c r="M133" s="49"/>
      <c r="N133" s="49"/>
      <c r="O133" s="49"/>
      <c r="P133" s="49"/>
      <c r="Q133" s="49"/>
      <c r="R133" s="49"/>
      <c r="S133" s="49"/>
      <c r="T133" s="53"/>
      <c r="U133" s="53"/>
      <c r="V133" s="54"/>
      <c r="W133" s="49"/>
      <c r="X133" s="49"/>
      <c r="Y133" s="49"/>
      <c r="Z133" s="49"/>
      <c r="AA133" s="49"/>
      <c r="AB133" s="49"/>
      <c r="AC133" s="49"/>
      <c r="AD133" s="49"/>
      <c r="AE133" s="49"/>
      <c r="AF133" s="49"/>
      <c r="AG133" s="49"/>
      <c r="AH133" s="55"/>
      <c r="AI133" s="55"/>
      <c r="AJ133" s="62"/>
      <c r="AK133" s="62"/>
      <c r="AL133" s="62"/>
      <c r="AM133" s="62"/>
      <c r="AN133" s="62"/>
      <c r="AO133" s="62"/>
      <c r="AP133" s="62"/>
    </row>
    <row r="134" spans="1:66" ht="14.25" customHeight="1" x14ac:dyDescent="0.25">
      <c r="A134" s="82"/>
      <c r="B134" s="64"/>
      <c r="C134" s="64"/>
      <c r="D134" s="82"/>
      <c r="E134" s="82"/>
      <c r="F134" s="82"/>
      <c r="G134" s="82"/>
      <c r="H134" s="82"/>
      <c r="I134" s="82"/>
      <c r="J134" s="82"/>
      <c r="K134" s="82"/>
      <c r="L134" s="82"/>
      <c r="M134" s="82"/>
      <c r="N134" s="82"/>
      <c r="O134" s="82"/>
      <c r="P134" s="82"/>
      <c r="Q134" s="49"/>
      <c r="R134" s="49"/>
      <c r="S134" s="49"/>
      <c r="T134" s="53"/>
      <c r="U134" s="53"/>
      <c r="V134" s="54"/>
      <c r="W134" s="54"/>
      <c r="X134" s="54"/>
      <c r="Y134" s="56"/>
      <c r="Z134" s="56"/>
      <c r="AA134" s="56"/>
      <c r="AB134" s="56"/>
      <c r="AC134" s="56"/>
      <c r="AD134" s="56"/>
      <c r="AE134" s="56"/>
      <c r="AF134" s="56"/>
      <c r="AG134" s="56"/>
      <c r="AH134" s="56"/>
      <c r="AI134" s="55"/>
      <c r="AJ134" s="56"/>
      <c r="AK134" s="56"/>
      <c r="AL134" s="56"/>
      <c r="AM134" s="56"/>
      <c r="AN134" s="56"/>
      <c r="AO134" s="56"/>
      <c r="AP134" s="56"/>
    </row>
    <row r="135" spans="1:66" ht="14.25" customHeight="1" x14ac:dyDescent="0.3">
      <c r="A135" s="49"/>
      <c r="B135" s="49"/>
      <c r="C135" s="49"/>
      <c r="D135" s="49"/>
      <c r="E135" s="49"/>
      <c r="F135" s="49"/>
      <c r="G135" s="49"/>
      <c r="H135" s="49"/>
      <c r="I135" s="49"/>
      <c r="J135" s="49"/>
      <c r="K135" s="49"/>
      <c r="L135" s="49"/>
      <c r="M135" s="49"/>
      <c r="N135" s="49"/>
      <c r="O135" s="49"/>
      <c r="P135" s="49"/>
      <c r="Q135" s="49"/>
      <c r="R135" s="49"/>
      <c r="S135" s="49"/>
      <c r="T135" s="52"/>
      <c r="U135" s="52"/>
      <c r="V135" s="54"/>
      <c r="W135" s="49"/>
      <c r="X135" s="49"/>
      <c r="Y135" s="49"/>
      <c r="Z135" s="49"/>
      <c r="AA135" s="49"/>
      <c r="AB135" s="49"/>
      <c r="AC135" s="49"/>
      <c r="AD135" s="49"/>
      <c r="AE135" s="49"/>
      <c r="AF135" s="49"/>
      <c r="AG135" s="49"/>
      <c r="AH135" s="55"/>
      <c r="AI135" s="55"/>
      <c r="AJ135" s="62"/>
      <c r="AK135" s="62"/>
      <c r="AL135" s="62"/>
      <c r="AM135" s="62"/>
      <c r="AN135" s="62"/>
      <c r="AO135" s="62"/>
      <c r="AP135" s="62"/>
    </row>
    <row r="136" spans="1:66" ht="14.25" customHeight="1" x14ac:dyDescent="0.25">
      <c r="A136" s="82"/>
      <c r="B136" s="64"/>
      <c r="C136" s="64"/>
      <c r="D136" s="82"/>
      <c r="E136" s="82"/>
      <c r="F136" s="82"/>
      <c r="G136" s="82"/>
      <c r="H136" s="82"/>
      <c r="I136" s="82"/>
      <c r="J136" s="82"/>
      <c r="K136" s="82"/>
      <c r="L136" s="82"/>
      <c r="M136" s="82"/>
      <c r="N136" s="82"/>
      <c r="O136" s="82"/>
      <c r="P136" s="82"/>
      <c r="Q136" s="82"/>
      <c r="R136" s="82"/>
      <c r="S136" s="82"/>
      <c r="T136" s="52"/>
      <c r="U136" s="52"/>
      <c r="V136" s="54"/>
      <c r="W136" s="54"/>
      <c r="X136" s="57"/>
      <c r="Y136" s="56"/>
      <c r="Z136" s="56"/>
      <c r="AA136" s="56"/>
      <c r="AB136" s="56"/>
      <c r="AC136" s="56"/>
      <c r="AD136" s="56"/>
      <c r="AE136" s="56"/>
      <c r="AF136" s="56"/>
      <c r="AG136" s="56"/>
      <c r="AH136" s="56"/>
      <c r="AI136" s="56"/>
      <c r="AJ136" s="56"/>
      <c r="AK136" s="56"/>
      <c r="AL136" s="56"/>
      <c r="AM136" s="56"/>
      <c r="AN136" s="56"/>
      <c r="AO136" s="56"/>
      <c r="AP136" s="56"/>
    </row>
    <row r="137" spans="1:66" ht="14.25" customHeight="1" x14ac:dyDescent="0.3">
      <c r="A137" s="49"/>
      <c r="B137" s="55"/>
      <c r="C137" s="55"/>
      <c r="D137" s="55"/>
      <c r="E137" s="55"/>
      <c r="F137" s="55"/>
      <c r="G137" s="55"/>
      <c r="H137" s="55"/>
      <c r="I137" s="55"/>
      <c r="J137" s="55"/>
      <c r="K137" s="55"/>
      <c r="L137" s="55"/>
      <c r="M137" s="55"/>
      <c r="N137" s="55"/>
      <c r="O137" s="55"/>
      <c r="P137" s="55"/>
      <c r="Q137" s="55"/>
      <c r="R137" s="55"/>
      <c r="S137" s="55"/>
      <c r="T137" s="55"/>
      <c r="U137" s="52"/>
      <c r="V137" s="54"/>
      <c r="W137" s="49"/>
      <c r="X137" s="49"/>
      <c r="Y137" s="49"/>
      <c r="Z137" s="49"/>
      <c r="AA137" s="49"/>
      <c r="AB137" s="49"/>
      <c r="AC137" s="49"/>
      <c r="AD137" s="49"/>
      <c r="AE137" s="49"/>
      <c r="AF137" s="49"/>
      <c r="AG137" s="49"/>
      <c r="AH137" s="56"/>
      <c r="AI137" s="56"/>
      <c r="AJ137" s="62"/>
      <c r="AK137" s="62"/>
      <c r="AL137" s="62"/>
      <c r="AM137" s="62"/>
      <c r="AN137" s="62"/>
      <c r="AO137" s="62"/>
      <c r="AP137" s="62"/>
    </row>
    <row r="138" spans="1:66" ht="14.25" customHeight="1" x14ac:dyDescent="0.25">
      <c r="A138" s="55"/>
      <c r="B138" s="55"/>
      <c r="C138" s="55"/>
      <c r="D138" s="55"/>
      <c r="E138" s="55"/>
      <c r="F138" s="55"/>
      <c r="G138" s="55"/>
      <c r="H138" s="55"/>
      <c r="I138" s="55"/>
      <c r="J138" s="55"/>
      <c r="K138" s="55"/>
      <c r="L138" s="55"/>
      <c r="M138" s="55"/>
      <c r="N138" s="55"/>
      <c r="O138" s="55"/>
      <c r="P138" s="55"/>
      <c r="Q138" s="55"/>
      <c r="R138" s="55"/>
      <c r="S138" s="56"/>
      <c r="T138" s="52"/>
      <c r="U138" s="52"/>
      <c r="V138" s="54"/>
      <c r="W138" s="54"/>
      <c r="X138" s="57"/>
      <c r="Y138" s="56"/>
      <c r="Z138" s="55"/>
      <c r="AA138" s="55"/>
      <c r="AB138" s="55"/>
      <c r="AC138" s="55"/>
      <c r="AD138" s="55"/>
      <c r="AE138" s="55"/>
      <c r="AF138" s="55"/>
      <c r="AG138" s="55"/>
      <c r="AH138" s="56"/>
      <c r="AI138" s="56"/>
      <c r="AJ138" s="55"/>
      <c r="AK138" s="55"/>
      <c r="AL138" s="55"/>
      <c r="AM138" s="55"/>
      <c r="AN138" s="55"/>
      <c r="AO138" s="55"/>
      <c r="AP138" s="55"/>
    </row>
    <row r="139" spans="1:66" ht="14.25" customHeight="1" x14ac:dyDescent="0.25">
      <c r="A139" s="55"/>
      <c r="B139" s="55"/>
      <c r="C139" s="55"/>
      <c r="D139" s="55"/>
      <c r="E139" s="55"/>
      <c r="F139" s="55"/>
      <c r="G139" s="55"/>
      <c r="H139" s="55"/>
      <c r="I139" s="55"/>
      <c r="J139" s="55"/>
      <c r="K139" s="55"/>
      <c r="L139" s="55"/>
      <c r="M139" s="55"/>
      <c r="N139" s="55"/>
      <c r="O139" s="55"/>
      <c r="P139" s="55"/>
      <c r="Q139" s="55"/>
      <c r="R139" s="55"/>
      <c r="S139" s="55"/>
      <c r="T139" s="56"/>
      <c r="U139" s="52"/>
      <c r="V139" s="54"/>
      <c r="W139" s="54"/>
      <c r="X139" s="52"/>
      <c r="Y139" s="55"/>
      <c r="Z139" s="55"/>
      <c r="AA139" s="55"/>
      <c r="AB139" s="55"/>
      <c r="AC139" s="55"/>
      <c r="AD139" s="55"/>
      <c r="AE139" s="55"/>
      <c r="AF139" s="55"/>
      <c r="AG139" s="55"/>
      <c r="AH139" s="55"/>
      <c r="AI139" s="55"/>
      <c r="AJ139" s="55"/>
      <c r="AK139" s="55"/>
      <c r="AL139" s="55"/>
      <c r="AM139" s="55"/>
      <c r="AN139" s="55"/>
      <c r="AO139" s="55"/>
      <c r="AP139" s="55"/>
    </row>
    <row r="140" spans="1:66" ht="14.25" customHeight="1" x14ac:dyDescent="0.3">
      <c r="A140" s="49"/>
      <c r="B140" s="49"/>
      <c r="C140" s="49"/>
      <c r="D140" s="49"/>
      <c r="E140" s="49"/>
      <c r="F140" s="49"/>
      <c r="G140" s="49"/>
      <c r="H140" s="49"/>
      <c r="I140" s="49"/>
      <c r="J140" s="49"/>
      <c r="K140" s="49"/>
      <c r="L140" s="49"/>
      <c r="M140" s="49"/>
      <c r="N140" s="49"/>
      <c r="O140" s="49"/>
      <c r="P140" s="49"/>
      <c r="Q140" s="49"/>
      <c r="R140" s="49"/>
      <c r="S140" s="49"/>
      <c r="T140" s="49"/>
      <c r="U140" s="49"/>
      <c r="V140" s="54"/>
      <c r="W140" s="49"/>
      <c r="X140" s="49"/>
      <c r="Y140" s="49"/>
      <c r="Z140" s="49"/>
      <c r="AA140" s="49"/>
      <c r="AB140" s="49"/>
      <c r="AC140" s="49"/>
      <c r="AD140" s="49"/>
      <c r="AE140" s="49"/>
      <c r="AF140" s="49"/>
      <c r="AG140" s="49"/>
      <c r="AH140" s="50"/>
      <c r="AI140" s="50"/>
      <c r="AJ140" s="62"/>
      <c r="AK140" s="62"/>
      <c r="AL140" s="62"/>
      <c r="AM140" s="62"/>
      <c r="AN140" s="62"/>
      <c r="AO140" s="62"/>
      <c r="AP140" s="62"/>
    </row>
    <row r="141" spans="1:66" ht="14.25" customHeight="1" x14ac:dyDescent="0.25">
      <c r="A141" s="82"/>
      <c r="B141" s="64"/>
      <c r="C141" s="64"/>
      <c r="D141" s="82"/>
      <c r="E141" s="82"/>
      <c r="F141" s="82"/>
      <c r="G141" s="82"/>
      <c r="H141" s="82"/>
      <c r="I141" s="82"/>
      <c r="J141" s="82"/>
      <c r="K141" s="82"/>
      <c r="L141" s="82"/>
      <c r="M141" s="82"/>
      <c r="N141" s="82"/>
      <c r="O141" s="82"/>
      <c r="P141" s="82"/>
      <c r="Q141" s="82"/>
      <c r="R141" s="82"/>
      <c r="S141" s="82"/>
      <c r="T141" s="82"/>
      <c r="U141" s="82"/>
      <c r="V141" s="54"/>
      <c r="W141" s="54"/>
      <c r="X141" s="52"/>
      <c r="Y141" s="50"/>
      <c r="Z141" s="50"/>
      <c r="AA141" s="50"/>
      <c r="AB141" s="77"/>
      <c r="AC141" s="77"/>
      <c r="AD141" s="77"/>
      <c r="AE141" s="77"/>
      <c r="AF141" s="77"/>
      <c r="AG141" s="77"/>
      <c r="AH141" s="77"/>
      <c r="AI141" s="77"/>
      <c r="AJ141" s="50"/>
      <c r="AK141" s="77"/>
      <c r="AL141" s="77"/>
      <c r="AM141" s="77"/>
      <c r="AN141" s="77"/>
      <c r="AO141" s="77"/>
      <c r="AP141" s="77"/>
    </row>
    <row r="142" spans="1:66" ht="14.25" customHeight="1" x14ac:dyDescent="0.3">
      <c r="A142" s="49"/>
      <c r="B142" s="49"/>
      <c r="C142" s="49"/>
      <c r="D142" s="49"/>
      <c r="E142" s="49"/>
      <c r="F142" s="49"/>
      <c r="G142" s="49"/>
      <c r="H142" s="49"/>
      <c r="I142" s="49"/>
      <c r="J142" s="49"/>
      <c r="K142" s="49"/>
      <c r="L142" s="49"/>
      <c r="M142" s="49"/>
      <c r="N142" s="49"/>
      <c r="O142" s="49"/>
      <c r="P142" s="49"/>
      <c r="Q142" s="49"/>
      <c r="R142" s="49"/>
      <c r="S142" s="49"/>
      <c r="T142" s="49"/>
      <c r="U142" s="49"/>
      <c r="V142" s="54"/>
      <c r="W142" s="49"/>
      <c r="X142" s="49"/>
      <c r="Y142" s="49"/>
      <c r="Z142" s="49"/>
      <c r="AA142" s="49"/>
      <c r="AB142" s="49"/>
      <c r="AC142" s="49"/>
      <c r="AD142" s="49"/>
      <c r="AE142" s="49"/>
      <c r="AF142" s="49"/>
      <c r="AG142" s="49"/>
      <c r="AH142" s="50"/>
      <c r="AI142" s="50"/>
      <c r="AJ142" s="62"/>
      <c r="AK142" s="62"/>
      <c r="AL142" s="62"/>
      <c r="AM142" s="62"/>
      <c r="AN142" s="62"/>
      <c r="AO142" s="62"/>
      <c r="AP142" s="62"/>
    </row>
    <row r="143" spans="1:66" ht="14.25" customHeight="1" x14ac:dyDescent="0.25"/>
    <row r="144" spans="1:66"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sheetData>
  <mergeCells count="721">
    <mergeCell ref="AZ19:BR22"/>
    <mergeCell ref="A23:Q26"/>
    <mergeCell ref="R23:AY26"/>
    <mergeCell ref="AZ23:BR26"/>
    <mergeCell ref="B92:BQ92"/>
    <mergeCell ref="B93:BQ93"/>
    <mergeCell ref="B94:BQ94"/>
    <mergeCell ref="B95:BQ95"/>
    <mergeCell ref="B96:BQ96"/>
    <mergeCell ref="Y63:AA63"/>
    <mergeCell ref="AN66:AP66"/>
    <mergeCell ref="AQ66:AS66"/>
    <mergeCell ref="AT66:AV66"/>
    <mergeCell ref="AW66:AY66"/>
    <mergeCell ref="AZ66:BB66"/>
    <mergeCell ref="BC66:BE66"/>
    <mergeCell ref="AW65:AY65"/>
    <mergeCell ref="AZ65:BB65"/>
    <mergeCell ref="AH63:AJ63"/>
    <mergeCell ref="V65:X65"/>
    <mergeCell ref="Y65:AA65"/>
    <mergeCell ref="AB65:AD65"/>
    <mergeCell ref="V66:X66"/>
    <mergeCell ref="Y66:AA66"/>
    <mergeCell ref="BI66:BK66"/>
    <mergeCell ref="AK66:AM66"/>
    <mergeCell ref="BC65:BE65"/>
    <mergeCell ref="BM37:BN37"/>
    <mergeCell ref="BG35:BH35"/>
    <mergeCell ref="BI35:BJ35"/>
    <mergeCell ref="BG36:BH36"/>
    <mergeCell ref="BI36:BJ36"/>
    <mergeCell ref="BG37:BH37"/>
    <mergeCell ref="BI37:BJ37"/>
    <mergeCell ref="BL66:BN66"/>
    <mergeCell ref="BF56:BH56"/>
    <mergeCell ref="BI56:BK56"/>
    <mergeCell ref="BL56:BN56"/>
    <mergeCell ref="BI54:BK55"/>
    <mergeCell ref="BF63:BH63"/>
    <mergeCell ref="BF50:BH51"/>
    <mergeCell ref="BI50:BK51"/>
    <mergeCell ref="BL54:BN55"/>
    <mergeCell ref="BF66:BH66"/>
    <mergeCell ref="BF65:BH65"/>
    <mergeCell ref="BI65:BK65"/>
    <mergeCell ref="BF62:BH62"/>
    <mergeCell ref="BI62:BK62"/>
    <mergeCell ref="AE50:AG55"/>
    <mergeCell ref="AR39:AU41"/>
    <mergeCell ref="AK61:AM61"/>
    <mergeCell ref="BC60:BE60"/>
    <mergeCell ref="AW50:AY51"/>
    <mergeCell ref="AZ50:BB51"/>
    <mergeCell ref="BC50:BE51"/>
    <mergeCell ref="BC64:BE64"/>
    <mergeCell ref="BF64:BH64"/>
    <mergeCell ref="AN56:AP56"/>
    <mergeCell ref="AQ56:AS56"/>
    <mergeCell ref="AT56:AV56"/>
    <mergeCell ref="AQ60:AS60"/>
    <mergeCell ref="BF54:BH55"/>
    <mergeCell ref="AZ60:BB60"/>
    <mergeCell ref="AT60:AV60"/>
    <mergeCell ref="BF58:BH58"/>
    <mergeCell ref="AW39:AY41"/>
    <mergeCell ref="AZ39:BC41"/>
    <mergeCell ref="BD39:BG41"/>
    <mergeCell ref="BH39:BN41"/>
    <mergeCell ref="A44:BR45"/>
    <mergeCell ref="BI57:BK57"/>
    <mergeCell ref="BL57:BN57"/>
    <mergeCell ref="CD31:CE34"/>
    <mergeCell ref="CF31:CG34"/>
    <mergeCell ref="BE32:BF34"/>
    <mergeCell ref="BK32:BL34"/>
    <mergeCell ref="BT32:BV34"/>
    <mergeCell ref="BW32:BX34"/>
    <mergeCell ref="BY32:CA34"/>
    <mergeCell ref="BQ31:BR34"/>
    <mergeCell ref="BT31:CA31"/>
    <mergeCell ref="CB31:CC34"/>
    <mergeCell ref="BM31:BN34"/>
    <mergeCell ref="BO31:BP34"/>
    <mergeCell ref="BG32:BH34"/>
    <mergeCell ref="BI32:BJ34"/>
    <mergeCell ref="BQ35:BR35"/>
    <mergeCell ref="BE36:BF36"/>
    <mergeCell ref="BK36:BL36"/>
    <mergeCell ref="BQ36:BR36"/>
    <mergeCell ref="BE37:BF37"/>
    <mergeCell ref="BK37:BL37"/>
    <mergeCell ref="AE64:AG64"/>
    <mergeCell ref="AH64:AJ64"/>
    <mergeCell ref="AK64:AM64"/>
    <mergeCell ref="AK63:AM63"/>
    <mergeCell ref="AN63:AP63"/>
    <mergeCell ref="AN62:AP62"/>
    <mergeCell ref="AQ62:AS62"/>
    <mergeCell ref="AT62:AV62"/>
    <mergeCell ref="BL61:BN61"/>
    <mergeCell ref="AK60:AM60"/>
    <mergeCell ref="AN60:AP60"/>
    <mergeCell ref="AW64:AY64"/>
    <mergeCell ref="BO56:BR56"/>
    <mergeCell ref="BO60:BR60"/>
    <mergeCell ref="BI59:BK59"/>
    <mergeCell ref="BL63:BN63"/>
    <mergeCell ref="BO61:BR61"/>
    <mergeCell ref="AE56:AG56"/>
    <mergeCell ref="BQ37:BR37"/>
    <mergeCell ref="BC37:BD37"/>
    <mergeCell ref="B63:C63"/>
    <mergeCell ref="D63:O63"/>
    <mergeCell ref="P63:R63"/>
    <mergeCell ref="D64:O64"/>
    <mergeCell ref="P64:R64"/>
    <mergeCell ref="S64:U64"/>
    <mergeCell ref="V64:X64"/>
    <mergeCell ref="Y64:AA64"/>
    <mergeCell ref="AB64:AD64"/>
    <mergeCell ref="AB63:AD63"/>
    <mergeCell ref="BL59:BN59"/>
    <mergeCell ref="BO59:BR59"/>
    <mergeCell ref="AZ64:BB64"/>
    <mergeCell ref="BO46:BR55"/>
    <mergeCell ref="BL64:BN64"/>
    <mergeCell ref="AK62:AM62"/>
    <mergeCell ref="S63:U63"/>
    <mergeCell ref="V63:X63"/>
    <mergeCell ref="AH56:AJ56"/>
    <mergeCell ref="AK56:AM56"/>
    <mergeCell ref="BC57:BE57"/>
    <mergeCell ref="BF57:BH57"/>
    <mergeCell ref="B59:C59"/>
    <mergeCell ref="D59:O59"/>
    <mergeCell ref="P59:R59"/>
    <mergeCell ref="B65:C65"/>
    <mergeCell ref="D65:O65"/>
    <mergeCell ref="P65:R65"/>
    <mergeCell ref="S65:U65"/>
    <mergeCell ref="AH67:AJ67"/>
    <mergeCell ref="AK67:AM67"/>
    <mergeCell ref="AE67:AG67"/>
    <mergeCell ref="AE63:AG63"/>
    <mergeCell ref="AB66:AD66"/>
    <mergeCell ref="AE66:AG66"/>
    <mergeCell ref="AH66:AJ66"/>
    <mergeCell ref="B60:C60"/>
    <mergeCell ref="D60:O60"/>
    <mergeCell ref="S60:U60"/>
    <mergeCell ref="Y60:AA60"/>
    <mergeCell ref="AB60:AD60"/>
    <mergeCell ref="P60:R60"/>
    <mergeCell ref="V60:X60"/>
    <mergeCell ref="Y61:AA61"/>
    <mergeCell ref="AB61:AD61"/>
    <mergeCell ref="AE65:AG65"/>
    <mergeCell ref="Y78:AA78"/>
    <mergeCell ref="AB78:AD78"/>
    <mergeCell ref="AE78:AG78"/>
    <mergeCell ref="A1:BR2"/>
    <mergeCell ref="A29:BR30"/>
    <mergeCell ref="AZ67:BB67"/>
    <mergeCell ref="BC67:BE67"/>
    <mergeCell ref="BF67:BH67"/>
    <mergeCell ref="BI67:BK67"/>
    <mergeCell ref="BL67:BN67"/>
    <mergeCell ref="BI64:BK64"/>
    <mergeCell ref="B67:C67"/>
    <mergeCell ref="D67:O67"/>
    <mergeCell ref="P67:R67"/>
    <mergeCell ref="S67:U67"/>
    <mergeCell ref="S58:U58"/>
    <mergeCell ref="V58:X58"/>
    <mergeCell ref="Y58:AA58"/>
    <mergeCell ref="AB58:AD58"/>
    <mergeCell ref="AE58:AG58"/>
    <mergeCell ref="V67:X67"/>
    <mergeCell ref="Y67:AA67"/>
    <mergeCell ref="AB67:AD67"/>
    <mergeCell ref="AN67:AP67"/>
    <mergeCell ref="B81:C81"/>
    <mergeCell ref="D81:O81"/>
    <mergeCell ref="P81:R81"/>
    <mergeCell ref="S74:U74"/>
    <mergeCell ref="V74:X74"/>
    <mergeCell ref="AW77:AY77"/>
    <mergeCell ref="AZ77:BB77"/>
    <mergeCell ref="AK75:AM75"/>
    <mergeCell ref="AB75:AD75"/>
    <mergeCell ref="AE75:AG75"/>
    <mergeCell ref="AH75:AJ75"/>
    <mergeCell ref="V76:X76"/>
    <mergeCell ref="V78:X78"/>
    <mergeCell ref="S79:U79"/>
    <mergeCell ref="V79:X79"/>
    <mergeCell ref="Y79:AA79"/>
    <mergeCell ref="AB79:AD79"/>
    <mergeCell ref="AE79:AG79"/>
    <mergeCell ref="B79:C79"/>
    <mergeCell ref="D79:O79"/>
    <mergeCell ref="P79:R79"/>
    <mergeCell ref="AK77:AM77"/>
    <mergeCell ref="AN77:AP77"/>
    <mergeCell ref="AQ77:AS77"/>
    <mergeCell ref="B70:C70"/>
    <mergeCell ref="D70:O70"/>
    <mergeCell ref="S70:U70"/>
    <mergeCell ref="B62:C62"/>
    <mergeCell ref="AK70:AM70"/>
    <mergeCell ref="AT68:AV68"/>
    <mergeCell ref="AE69:AG69"/>
    <mergeCell ref="AH69:AJ69"/>
    <mergeCell ref="BF59:BH59"/>
    <mergeCell ref="S59:U59"/>
    <mergeCell ref="V59:X59"/>
    <mergeCell ref="Y59:AA59"/>
    <mergeCell ref="AB59:AD59"/>
    <mergeCell ref="AE59:AG59"/>
    <mergeCell ref="AH59:AJ59"/>
    <mergeCell ref="AZ70:BB70"/>
    <mergeCell ref="BC70:BE70"/>
    <mergeCell ref="BF70:BH70"/>
    <mergeCell ref="Y68:AA68"/>
    <mergeCell ref="AE60:AG60"/>
    <mergeCell ref="AH60:AJ60"/>
    <mergeCell ref="AQ61:AS61"/>
    <mergeCell ref="AT61:AV61"/>
    <mergeCell ref="AW61:AY61"/>
    <mergeCell ref="P77:R77"/>
    <mergeCell ref="S77:U77"/>
    <mergeCell ref="V77:X77"/>
    <mergeCell ref="Y77:AA77"/>
    <mergeCell ref="AB77:AD77"/>
    <mergeCell ref="B76:C76"/>
    <mergeCell ref="D76:O76"/>
    <mergeCell ref="P76:R76"/>
    <mergeCell ref="S76:U76"/>
    <mergeCell ref="AW70:AY70"/>
    <mergeCell ref="AZ63:BB63"/>
    <mergeCell ref="BC63:BE63"/>
    <mergeCell ref="BI63:BK63"/>
    <mergeCell ref="BL62:BN62"/>
    <mergeCell ref="AN70:AP70"/>
    <mergeCell ref="AQ70:AS70"/>
    <mergeCell ref="BI58:BK58"/>
    <mergeCell ref="BL58:BN58"/>
    <mergeCell ref="BL68:BN68"/>
    <mergeCell ref="AZ61:BB61"/>
    <mergeCell ref="AN61:AP61"/>
    <mergeCell ref="BC68:BE68"/>
    <mergeCell ref="BF68:BH68"/>
    <mergeCell ref="AQ67:AS67"/>
    <mergeCell ref="AT67:AV67"/>
    <mergeCell ref="AW67:AY67"/>
    <mergeCell ref="AQ63:AS63"/>
    <mergeCell ref="AT63:AV63"/>
    <mergeCell ref="AW63:AY63"/>
    <mergeCell ref="AN64:AP64"/>
    <mergeCell ref="AQ64:AS64"/>
    <mergeCell ref="AT64:AV64"/>
    <mergeCell ref="BC59:BE59"/>
    <mergeCell ref="B57:C57"/>
    <mergeCell ref="D57:O57"/>
    <mergeCell ref="P57:R57"/>
    <mergeCell ref="S57:U57"/>
    <mergeCell ref="V57:X57"/>
    <mergeCell ref="Y57:AA57"/>
    <mergeCell ref="AB57:AD57"/>
    <mergeCell ref="AE57:AG57"/>
    <mergeCell ref="AH57:AJ57"/>
    <mergeCell ref="BO74:BR74"/>
    <mergeCell ref="BO73:BR73"/>
    <mergeCell ref="BO66:BR66"/>
    <mergeCell ref="BO82:BR82"/>
    <mergeCell ref="B58:C58"/>
    <mergeCell ref="D58:O58"/>
    <mergeCell ref="P58:R58"/>
    <mergeCell ref="BO79:BR79"/>
    <mergeCell ref="BO77:BR77"/>
    <mergeCell ref="BO80:BR80"/>
    <mergeCell ref="BO81:BR81"/>
    <mergeCell ref="BO65:BR65"/>
    <mergeCell ref="AW62:AY62"/>
    <mergeCell ref="AZ62:BB62"/>
    <mergeCell ref="AK58:AM58"/>
    <mergeCell ref="AN58:AP58"/>
    <mergeCell ref="AQ58:AS58"/>
    <mergeCell ref="AT58:AV58"/>
    <mergeCell ref="AW58:AY58"/>
    <mergeCell ref="AZ58:BB58"/>
    <mergeCell ref="BC58:BE58"/>
    <mergeCell ref="AE70:AG70"/>
    <mergeCell ref="AH70:AJ70"/>
    <mergeCell ref="B77:C77"/>
    <mergeCell ref="BO68:BR68"/>
    <mergeCell ref="BO62:BR62"/>
    <mergeCell ref="BO63:BR63"/>
    <mergeCell ref="BO64:BR64"/>
    <mergeCell ref="BO67:BR67"/>
    <mergeCell ref="BO57:BR57"/>
    <mergeCell ref="BO58:BR58"/>
    <mergeCell ref="Y116:AE119"/>
    <mergeCell ref="BF60:BH60"/>
    <mergeCell ref="AW60:AY60"/>
    <mergeCell ref="BI60:BK60"/>
    <mergeCell ref="BL60:BN60"/>
    <mergeCell ref="BC61:BE61"/>
    <mergeCell ref="BF79:BH79"/>
    <mergeCell ref="BL65:BN65"/>
    <mergeCell ref="BL77:BN77"/>
    <mergeCell ref="BL69:BN69"/>
    <mergeCell ref="BL70:BN70"/>
    <mergeCell ref="BF69:BH69"/>
    <mergeCell ref="BI69:BK69"/>
    <mergeCell ref="BI68:BK68"/>
    <mergeCell ref="BO69:BR69"/>
    <mergeCell ref="BO70:BR70"/>
    <mergeCell ref="BO72:BR72"/>
    <mergeCell ref="AJ116:AX119"/>
    <mergeCell ref="AY116:BG119"/>
    <mergeCell ref="B97:BP97"/>
    <mergeCell ref="B98:BP98"/>
    <mergeCell ref="A101:O101"/>
    <mergeCell ref="A110:O113"/>
    <mergeCell ref="P116:X119"/>
    <mergeCell ref="BC56:BE56"/>
    <mergeCell ref="BC79:BE79"/>
    <mergeCell ref="AK65:AM65"/>
    <mergeCell ref="AN65:AP65"/>
    <mergeCell ref="AQ65:AS65"/>
    <mergeCell ref="AT65:AV65"/>
    <mergeCell ref="AK69:AM69"/>
    <mergeCell ref="AN69:AP69"/>
    <mergeCell ref="AQ69:AS69"/>
    <mergeCell ref="AT69:AV69"/>
    <mergeCell ref="AW69:AY69"/>
    <mergeCell ref="AZ69:BB69"/>
    <mergeCell ref="BC69:BE69"/>
    <mergeCell ref="AT70:AV70"/>
    <mergeCell ref="AW68:AY68"/>
    <mergeCell ref="AZ68:BB68"/>
    <mergeCell ref="A116:O119"/>
    <mergeCell ref="Y80:AA80"/>
    <mergeCell ref="AZ80:BB80"/>
    <mergeCell ref="BC80:BE80"/>
    <mergeCell ref="BF80:BH80"/>
    <mergeCell ref="BI80:BK80"/>
    <mergeCell ref="B80:C80"/>
    <mergeCell ref="D80:O80"/>
    <mergeCell ref="P80:R80"/>
    <mergeCell ref="S80:U80"/>
    <mergeCell ref="V80:X80"/>
    <mergeCell ref="AT80:AV80"/>
    <mergeCell ref="AW80:AY80"/>
    <mergeCell ref="AK80:AM80"/>
    <mergeCell ref="AN80:AP80"/>
    <mergeCell ref="AQ80:AS80"/>
    <mergeCell ref="AB80:AD80"/>
    <mergeCell ref="AE80:AG80"/>
    <mergeCell ref="AH80:AJ80"/>
    <mergeCell ref="BO83:BR83"/>
    <mergeCell ref="Y76:AA76"/>
    <mergeCell ref="AB76:AD76"/>
    <mergeCell ref="AE76:AG76"/>
    <mergeCell ref="AH76:AJ76"/>
    <mergeCell ref="D77:O77"/>
    <mergeCell ref="BO75:BR75"/>
    <mergeCell ref="BI79:BK79"/>
    <mergeCell ref="BI77:BK77"/>
    <mergeCell ref="AH79:AJ79"/>
    <mergeCell ref="AK79:AM79"/>
    <mergeCell ref="AN79:AP79"/>
    <mergeCell ref="BC77:BE77"/>
    <mergeCell ref="BF77:BH77"/>
    <mergeCell ref="AE77:AG77"/>
    <mergeCell ref="AH77:AJ77"/>
    <mergeCell ref="BC82:BE82"/>
    <mergeCell ref="BF82:BH82"/>
    <mergeCell ref="S81:U81"/>
    <mergeCell ref="V81:X81"/>
    <mergeCell ref="Y81:AA81"/>
    <mergeCell ref="AB81:AD81"/>
    <mergeCell ref="AE81:AG81"/>
    <mergeCell ref="AH81:AJ81"/>
    <mergeCell ref="B69:C69"/>
    <mergeCell ref="D62:O62"/>
    <mergeCell ref="S62:U62"/>
    <mergeCell ref="Y62:AA62"/>
    <mergeCell ref="AB62:AD62"/>
    <mergeCell ref="AE62:AG62"/>
    <mergeCell ref="AH62:AJ62"/>
    <mergeCell ref="S68:U68"/>
    <mergeCell ref="AB68:AD68"/>
    <mergeCell ref="AE68:AG68"/>
    <mergeCell ref="AH68:AJ68"/>
    <mergeCell ref="P62:R62"/>
    <mergeCell ref="V62:X62"/>
    <mergeCell ref="D69:O69"/>
    <mergeCell ref="P69:R69"/>
    <mergeCell ref="S69:U69"/>
    <mergeCell ref="V69:X69"/>
    <mergeCell ref="Y69:AA69"/>
    <mergeCell ref="AH65:AJ65"/>
    <mergeCell ref="B66:C66"/>
    <mergeCell ref="D66:O66"/>
    <mergeCell ref="P66:R66"/>
    <mergeCell ref="S66:U66"/>
    <mergeCell ref="P75:R75"/>
    <mergeCell ref="S75:U75"/>
    <mergeCell ref="V75:X75"/>
    <mergeCell ref="Y75:AA75"/>
    <mergeCell ref="B73:C73"/>
    <mergeCell ref="D73:O73"/>
    <mergeCell ref="P73:R73"/>
    <mergeCell ref="S73:U73"/>
    <mergeCell ref="V73:X73"/>
    <mergeCell ref="Y73:AA73"/>
    <mergeCell ref="B74:C74"/>
    <mergeCell ref="B75:C75"/>
    <mergeCell ref="D74:O74"/>
    <mergeCell ref="P74:R74"/>
    <mergeCell ref="D75:O75"/>
    <mergeCell ref="Y70:AA70"/>
    <mergeCell ref="B64:C64"/>
    <mergeCell ref="BF61:BH61"/>
    <mergeCell ref="BI61:BK61"/>
    <mergeCell ref="AE61:AG61"/>
    <mergeCell ref="AH61:AJ61"/>
    <mergeCell ref="AB69:AD69"/>
    <mergeCell ref="AB70:AD70"/>
    <mergeCell ref="BI70:BK70"/>
    <mergeCell ref="BC62:BE62"/>
    <mergeCell ref="AK68:AM68"/>
    <mergeCell ref="AN68:AP68"/>
    <mergeCell ref="AQ68:AS68"/>
    <mergeCell ref="B68:C68"/>
    <mergeCell ref="D68:O68"/>
    <mergeCell ref="P68:R68"/>
    <mergeCell ref="V68:X68"/>
    <mergeCell ref="P70:R70"/>
    <mergeCell ref="V70:X70"/>
    <mergeCell ref="P61:R61"/>
    <mergeCell ref="V61:X61"/>
    <mergeCell ref="B61:C61"/>
    <mergeCell ref="D61:O61"/>
    <mergeCell ref="S61:U61"/>
    <mergeCell ref="AW71:AY71"/>
    <mergeCell ref="AZ71:BB71"/>
    <mergeCell ref="BC71:BE71"/>
    <mergeCell ref="BF71:BH71"/>
    <mergeCell ref="BI71:BK71"/>
    <mergeCell ref="B71:C71"/>
    <mergeCell ref="D71:O71"/>
    <mergeCell ref="P71:R71"/>
    <mergeCell ref="S71:U71"/>
    <mergeCell ref="V71:X71"/>
    <mergeCell ref="Y71:AA71"/>
    <mergeCell ref="AB71:AD71"/>
    <mergeCell ref="AE71:AG71"/>
    <mergeCell ref="AH50:AJ55"/>
    <mergeCell ref="AK50:AM55"/>
    <mergeCell ref="AT50:AV51"/>
    <mergeCell ref="AQ50:AS51"/>
    <mergeCell ref="AW56:AY56"/>
    <mergeCell ref="AZ56:BB56"/>
    <mergeCell ref="AK59:AM59"/>
    <mergeCell ref="AN59:AP59"/>
    <mergeCell ref="AQ59:AS59"/>
    <mergeCell ref="AT59:AV59"/>
    <mergeCell ref="AW59:AY59"/>
    <mergeCell ref="AZ59:BB59"/>
    <mergeCell ref="AK57:AM57"/>
    <mergeCell ref="AN57:AP57"/>
    <mergeCell ref="AQ57:AS57"/>
    <mergeCell ref="AT57:AV57"/>
    <mergeCell ref="AW57:AY57"/>
    <mergeCell ref="AZ57:BB57"/>
    <mergeCell ref="AH58:AJ58"/>
    <mergeCell ref="B56:C56"/>
    <mergeCell ref="D56:O56"/>
    <mergeCell ref="P56:R56"/>
    <mergeCell ref="S56:U56"/>
    <mergeCell ref="V56:X56"/>
    <mergeCell ref="Y56:AA56"/>
    <mergeCell ref="AB56:AD56"/>
    <mergeCell ref="Y50:AA55"/>
    <mergeCell ref="AB50:AD55"/>
    <mergeCell ref="A46:A55"/>
    <mergeCell ref="B46:C55"/>
    <mergeCell ref="D46:O55"/>
    <mergeCell ref="P46:AP47"/>
    <mergeCell ref="AQ46:BB47"/>
    <mergeCell ref="BC46:BN47"/>
    <mergeCell ref="P48:U54"/>
    <mergeCell ref="V48:AM49"/>
    <mergeCell ref="AN48:AP55"/>
    <mergeCell ref="AQ48:AV49"/>
    <mergeCell ref="AW48:BB49"/>
    <mergeCell ref="BC48:BH49"/>
    <mergeCell ref="BI48:BN49"/>
    <mergeCell ref="V50:X55"/>
    <mergeCell ref="BL50:BN51"/>
    <mergeCell ref="AQ52:BB53"/>
    <mergeCell ref="BC52:BN53"/>
    <mergeCell ref="AQ54:AS55"/>
    <mergeCell ref="AT54:AV55"/>
    <mergeCell ref="AW54:AY55"/>
    <mergeCell ref="AZ54:BB55"/>
    <mergeCell ref="BC54:BE55"/>
    <mergeCell ref="P55:R55"/>
    <mergeCell ref="S55:U55"/>
    <mergeCell ref="BO37:BP37"/>
    <mergeCell ref="A36:B36"/>
    <mergeCell ref="BC36:BD36"/>
    <mergeCell ref="AY33:BB33"/>
    <mergeCell ref="A31:B34"/>
    <mergeCell ref="C31:BB32"/>
    <mergeCell ref="BC31:BD34"/>
    <mergeCell ref="BE31:BL31"/>
    <mergeCell ref="A35:B35"/>
    <mergeCell ref="BC35:BD35"/>
    <mergeCell ref="BE35:BF35"/>
    <mergeCell ref="BK35:BL35"/>
    <mergeCell ref="BM35:BN35"/>
    <mergeCell ref="G33:J33"/>
    <mergeCell ref="K33:O33"/>
    <mergeCell ref="BO35:BP35"/>
    <mergeCell ref="T33:X33"/>
    <mergeCell ref="A37:BB37"/>
    <mergeCell ref="BM36:BN36"/>
    <mergeCell ref="BO36:BP36"/>
    <mergeCell ref="AT33:AX33"/>
    <mergeCell ref="Y33:AB33"/>
    <mergeCell ref="BL81:BN81"/>
    <mergeCell ref="AQ81:AS81"/>
    <mergeCell ref="AT81:AV81"/>
    <mergeCell ref="AZ81:BB81"/>
    <mergeCell ref="BI81:BK81"/>
    <mergeCell ref="BL75:BN75"/>
    <mergeCell ref="AN75:AP75"/>
    <mergeCell ref="BI75:BK75"/>
    <mergeCell ref="BF75:BH75"/>
    <mergeCell ref="BC75:BE75"/>
    <mergeCell ref="AZ75:BB75"/>
    <mergeCell ref="AW75:AY75"/>
    <mergeCell ref="AT75:AV75"/>
    <mergeCell ref="AQ75:AS75"/>
    <mergeCell ref="BL76:BN76"/>
    <mergeCell ref="BL79:BN79"/>
    <mergeCell ref="BL80:BN80"/>
    <mergeCell ref="AQ79:AS79"/>
    <mergeCell ref="AT79:AV79"/>
    <mergeCell ref="AW79:AY79"/>
    <mergeCell ref="AZ79:BB79"/>
    <mergeCell ref="AT77:AV77"/>
    <mergeCell ref="B82:C82"/>
    <mergeCell ref="D82:O82"/>
    <mergeCell ref="P82:R82"/>
    <mergeCell ref="S82:U82"/>
    <mergeCell ref="V82:X82"/>
    <mergeCell ref="Y82:AA82"/>
    <mergeCell ref="AB82:AD82"/>
    <mergeCell ref="AE82:AG82"/>
    <mergeCell ref="AH82:AJ82"/>
    <mergeCell ref="B83:C83"/>
    <mergeCell ref="D83:O83"/>
    <mergeCell ref="P83:R83"/>
    <mergeCell ref="S83:U83"/>
    <mergeCell ref="V83:X83"/>
    <mergeCell ref="Y83:AA83"/>
    <mergeCell ref="AB83:AD83"/>
    <mergeCell ref="AE83:AG83"/>
    <mergeCell ref="AH83:AJ83"/>
    <mergeCell ref="BO76:BR76"/>
    <mergeCell ref="AK76:AM76"/>
    <mergeCell ref="AN76:AP76"/>
    <mergeCell ref="AQ76:AS76"/>
    <mergeCell ref="AT76:AV76"/>
    <mergeCell ref="AW76:AY76"/>
    <mergeCell ref="AZ76:BB76"/>
    <mergeCell ref="BC76:BE76"/>
    <mergeCell ref="BF76:BH76"/>
    <mergeCell ref="BI76:BK76"/>
    <mergeCell ref="BO78:BR78"/>
    <mergeCell ref="BL83:BN83"/>
    <mergeCell ref="AK83:AM83"/>
    <mergeCell ref="AN83:AP83"/>
    <mergeCell ref="AQ83:AS83"/>
    <mergeCell ref="AT83:AV83"/>
    <mergeCell ref="AW83:AY83"/>
    <mergeCell ref="AZ83:BB83"/>
    <mergeCell ref="BC83:BE83"/>
    <mergeCell ref="BF83:BH83"/>
    <mergeCell ref="BI83:BK83"/>
    <mergeCell ref="AW81:AY81"/>
    <mergeCell ref="BI82:BK82"/>
    <mergeCell ref="BL82:BN82"/>
    <mergeCell ref="AK81:AM81"/>
    <mergeCell ref="AN81:AP81"/>
    <mergeCell ref="BC81:BE81"/>
    <mergeCell ref="BF81:BH81"/>
    <mergeCell ref="AK82:AM82"/>
    <mergeCell ref="AN82:AP82"/>
    <mergeCell ref="AQ82:AS82"/>
    <mergeCell ref="AT82:AV82"/>
    <mergeCell ref="AW82:AY82"/>
    <mergeCell ref="AZ82:BB82"/>
    <mergeCell ref="B39:C41"/>
    <mergeCell ref="D39:J41"/>
    <mergeCell ref="K39:N41"/>
    <mergeCell ref="O39:R41"/>
    <mergeCell ref="S39:U41"/>
    <mergeCell ref="V39:AA41"/>
    <mergeCell ref="AB39:AD41"/>
    <mergeCell ref="AF39:AM41"/>
    <mergeCell ref="AN39:AP41"/>
    <mergeCell ref="B72:C72"/>
    <mergeCell ref="D72:O72"/>
    <mergeCell ref="P72:R72"/>
    <mergeCell ref="S72:U72"/>
    <mergeCell ref="V72:X72"/>
    <mergeCell ref="Y72:AA72"/>
    <mergeCell ref="AB72:AD72"/>
    <mergeCell ref="AE72:AG72"/>
    <mergeCell ref="AH72:AJ72"/>
    <mergeCell ref="AZ73:BB73"/>
    <mergeCell ref="BC73:BE73"/>
    <mergeCell ref="BF73:BH73"/>
    <mergeCell ref="BI73:BK73"/>
    <mergeCell ref="AK73:AM73"/>
    <mergeCell ref="AN73:AP73"/>
    <mergeCell ref="AH71:AJ71"/>
    <mergeCell ref="BL71:BN71"/>
    <mergeCell ref="BO71:BR71"/>
    <mergeCell ref="AK72:AM72"/>
    <mergeCell ref="AN72:AP72"/>
    <mergeCell ref="AQ72:AS72"/>
    <mergeCell ref="AT72:AV72"/>
    <mergeCell ref="AW72:AY72"/>
    <mergeCell ref="AZ72:BB72"/>
    <mergeCell ref="BC72:BE72"/>
    <mergeCell ref="BF72:BH72"/>
    <mergeCell ref="BI72:BK72"/>
    <mergeCell ref="BL72:BN72"/>
    <mergeCell ref="AK71:AM71"/>
    <mergeCell ref="AN71:AP71"/>
    <mergeCell ref="BL73:BN73"/>
    <mergeCell ref="AQ71:AS71"/>
    <mergeCell ref="AT71:AV71"/>
    <mergeCell ref="BH116:BR119"/>
    <mergeCell ref="AZ74:BB74"/>
    <mergeCell ref="BC74:BE74"/>
    <mergeCell ref="BF74:BH74"/>
    <mergeCell ref="BI74:BK74"/>
    <mergeCell ref="BL74:BN74"/>
    <mergeCell ref="B78:C78"/>
    <mergeCell ref="D78:O78"/>
    <mergeCell ref="P78:R78"/>
    <mergeCell ref="S78:U78"/>
    <mergeCell ref="AH78:AJ78"/>
    <mergeCell ref="BL78:BN78"/>
    <mergeCell ref="AK78:AM78"/>
    <mergeCell ref="AN78:AP78"/>
    <mergeCell ref="AQ78:AS78"/>
    <mergeCell ref="AT78:AV78"/>
    <mergeCell ref="AW78:AY78"/>
    <mergeCell ref="AZ78:BB78"/>
    <mergeCell ref="BC78:BE78"/>
    <mergeCell ref="BF78:BH78"/>
    <mergeCell ref="BI78:BK78"/>
    <mergeCell ref="Y74:AA74"/>
    <mergeCell ref="AB74:AD74"/>
    <mergeCell ref="AE74:AG74"/>
    <mergeCell ref="V86:AZ87"/>
    <mergeCell ref="V88:AZ89"/>
    <mergeCell ref="P101:S101"/>
    <mergeCell ref="T101:X101"/>
    <mergeCell ref="AJ101:BR107"/>
    <mergeCell ref="P110:X113"/>
    <mergeCell ref="Y110:AE113"/>
    <mergeCell ref="AJ110:AX113"/>
    <mergeCell ref="AY110:BG113"/>
    <mergeCell ref="BH110:BR113"/>
    <mergeCell ref="AH74:AJ74"/>
    <mergeCell ref="AK74:AM74"/>
    <mergeCell ref="AN74:AP74"/>
    <mergeCell ref="AQ74:AS74"/>
    <mergeCell ref="AT74:AV74"/>
    <mergeCell ref="AW74:AY74"/>
    <mergeCell ref="AB73:AD73"/>
    <mergeCell ref="AE73:AG73"/>
    <mergeCell ref="AH73:AJ73"/>
    <mergeCell ref="AQ73:AS73"/>
    <mergeCell ref="AT73:AV73"/>
    <mergeCell ref="AW73:AY73"/>
    <mergeCell ref="AY125:BG125"/>
    <mergeCell ref="AJ128:AX129"/>
    <mergeCell ref="AY128:BG128"/>
    <mergeCell ref="BH128:BP128"/>
    <mergeCell ref="BH120:BR123"/>
    <mergeCell ref="BH124:BR127"/>
    <mergeCell ref="A3:BR4"/>
    <mergeCell ref="C33:F33"/>
    <mergeCell ref="P33:S33"/>
    <mergeCell ref="A7:Q10"/>
    <mergeCell ref="R7:AY10"/>
    <mergeCell ref="AZ7:BR10"/>
    <mergeCell ref="A11:Q14"/>
    <mergeCell ref="R11:AY14"/>
    <mergeCell ref="AZ11:BR14"/>
    <mergeCell ref="A15:Q18"/>
    <mergeCell ref="R15:AY18"/>
    <mergeCell ref="AZ15:BR18"/>
    <mergeCell ref="A19:Q22"/>
    <mergeCell ref="R19:AY22"/>
    <mergeCell ref="AC33:AF33"/>
    <mergeCell ref="AG33:AJ33"/>
    <mergeCell ref="AK33:AO33"/>
    <mergeCell ref="AP33:AS33"/>
  </mergeCells>
  <conditionalFormatting sqref="BW58:BW83">
    <cfRule type="expression" dxfId="7" priority="2">
      <formula>BV58=0</formula>
    </cfRule>
  </conditionalFormatting>
  <conditionalFormatting sqref="BZ58:BZ83">
    <cfRule type="expression" dxfId="6" priority="1">
      <formula>BY58=0</formula>
    </cfRule>
  </conditionalFormatting>
  <pageMargins left="0.19685039370078741" right="0.19685039370078741" top="0.19685039370078741" bottom="0.19685039370078741" header="0.31496062992125984" footer="0.31496062992125984"/>
  <pageSetup paperSize="9" scale="50" orientation="landscape" r:id="rId1"/>
  <rowBreaks count="1" manualBreakCount="1">
    <brk id="64" max="6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144"/>
  <sheetViews>
    <sheetView view="pageBreakPreview" topLeftCell="A33" zoomScale="64" zoomScaleNormal="55" zoomScaleSheetLayoutView="64" zoomScalePageLayoutView="55" workbookViewId="0">
      <selection activeCell="D65" sqref="D65:O65"/>
    </sheetView>
  </sheetViews>
  <sheetFormatPr defaultColWidth="9.140625" defaultRowHeight="15.75" x14ac:dyDescent="0.25"/>
  <cols>
    <col min="1" max="1" width="12.28515625" style="2" customWidth="1"/>
    <col min="2" max="2" width="12.28515625" style="65" customWidth="1"/>
    <col min="3" max="3" width="3.85546875" style="65" customWidth="1"/>
    <col min="4" max="70" width="3.85546875" style="2" customWidth="1"/>
    <col min="71" max="74" width="6.5703125" style="1" customWidth="1"/>
    <col min="75" max="75" width="15.42578125" style="1" customWidth="1"/>
    <col min="76" max="77" width="6.5703125" style="1" customWidth="1"/>
    <col min="78" max="78" width="15.42578125" style="1" customWidth="1"/>
    <col min="79" max="16384" width="9.140625" style="2"/>
  </cols>
  <sheetData>
    <row r="1" spans="1:70" ht="14.25" customHeight="1" x14ac:dyDescent="0.25">
      <c r="A1" s="140" t="s">
        <v>252</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c r="BD1" s="140"/>
      <c r="BE1" s="140"/>
      <c r="BF1" s="140"/>
      <c r="BG1" s="140"/>
      <c r="BH1" s="140"/>
      <c r="BI1" s="140"/>
      <c r="BJ1" s="140"/>
      <c r="BK1" s="140"/>
      <c r="BL1" s="140"/>
      <c r="BM1" s="140"/>
      <c r="BN1" s="140"/>
      <c r="BO1" s="140"/>
      <c r="BP1" s="140"/>
      <c r="BQ1" s="140"/>
      <c r="BR1" s="140"/>
    </row>
    <row r="2" spans="1:70" ht="14.25" customHeight="1" x14ac:dyDescent="0.25">
      <c r="A2" s="140"/>
      <c r="B2" s="140"/>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c r="AH2" s="140"/>
      <c r="AI2" s="140"/>
      <c r="AJ2" s="140"/>
      <c r="AK2" s="140"/>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row>
    <row r="3" spans="1:70" ht="14.25" customHeight="1" x14ac:dyDescent="0.25">
      <c r="A3" s="140" t="s">
        <v>56</v>
      </c>
      <c r="B3" s="140"/>
      <c r="C3" s="140"/>
      <c r="D3" s="140"/>
      <c r="E3" s="140"/>
      <c r="F3" s="140"/>
      <c r="G3" s="140"/>
      <c r="H3" s="140"/>
      <c r="I3" s="140"/>
      <c r="J3" s="140"/>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row>
    <row r="4" spans="1:70" ht="14.25" customHeight="1" x14ac:dyDescent="0.25">
      <c r="A4" s="140"/>
      <c r="B4" s="140"/>
      <c r="C4" s="140"/>
      <c r="D4" s="140"/>
      <c r="E4" s="140"/>
      <c r="F4" s="140"/>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row>
    <row r="5" spans="1:70" ht="14.25" customHeight="1" x14ac:dyDescent="0.25">
      <c r="A5" s="67"/>
      <c r="B5" s="67"/>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row>
    <row r="6" spans="1:70" ht="14.25" customHeight="1" x14ac:dyDescent="0.25">
      <c r="A6" s="67"/>
      <c r="B6" s="67"/>
      <c r="C6" s="67"/>
      <c r="D6" s="67"/>
      <c r="E6" s="67"/>
      <c r="F6" s="67"/>
      <c r="G6" s="67"/>
      <c r="H6" s="67"/>
      <c r="I6" s="67"/>
      <c r="J6" s="67"/>
      <c r="K6" s="67"/>
      <c r="L6" s="67"/>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row>
    <row r="7" spans="1:70" ht="14.25" customHeight="1" x14ac:dyDescent="0.25">
      <c r="A7" s="170" t="s">
        <v>57</v>
      </c>
      <c r="B7" s="170"/>
      <c r="C7" s="170"/>
      <c r="D7" s="170"/>
      <c r="E7" s="170"/>
      <c r="F7" s="170"/>
      <c r="G7" s="170"/>
      <c r="H7" s="170"/>
      <c r="I7" s="170"/>
      <c r="J7" s="170"/>
      <c r="K7" s="170"/>
      <c r="L7" s="170"/>
      <c r="M7" s="170"/>
      <c r="N7" s="170"/>
      <c r="O7" s="170"/>
      <c r="P7" s="170"/>
      <c r="Q7" s="170"/>
      <c r="R7" s="170" t="s">
        <v>239</v>
      </c>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t="s">
        <v>64</v>
      </c>
      <c r="BA7" s="170"/>
      <c r="BB7" s="170"/>
      <c r="BC7" s="170"/>
      <c r="BD7" s="170"/>
      <c r="BE7" s="170"/>
      <c r="BF7" s="170"/>
      <c r="BG7" s="170"/>
      <c r="BH7" s="170"/>
      <c r="BI7" s="170"/>
      <c r="BJ7" s="170"/>
      <c r="BK7" s="170"/>
      <c r="BL7" s="170"/>
      <c r="BM7" s="170"/>
      <c r="BN7" s="170"/>
      <c r="BO7" s="170"/>
      <c r="BP7" s="170"/>
      <c r="BQ7" s="170"/>
      <c r="BR7" s="170"/>
    </row>
    <row r="8" spans="1:70" ht="14.25" customHeight="1" x14ac:dyDescent="0.25">
      <c r="A8" s="170"/>
      <c r="B8" s="170"/>
      <c r="C8" s="170"/>
      <c r="D8" s="170"/>
      <c r="E8" s="170"/>
      <c r="F8" s="170"/>
      <c r="G8" s="170"/>
      <c r="H8" s="170"/>
      <c r="I8" s="170"/>
      <c r="J8" s="170"/>
      <c r="K8" s="170"/>
      <c r="L8" s="170"/>
      <c r="M8" s="170"/>
      <c r="N8" s="170"/>
      <c r="O8" s="170"/>
      <c r="P8" s="170"/>
      <c r="Q8" s="170"/>
      <c r="R8" s="170"/>
      <c r="S8" s="170"/>
      <c r="T8" s="170"/>
      <c r="U8" s="170"/>
      <c r="V8" s="170"/>
      <c r="W8" s="170"/>
      <c r="X8" s="170"/>
      <c r="Y8" s="170"/>
      <c r="Z8" s="170"/>
      <c r="AA8" s="170"/>
      <c r="AB8" s="170"/>
      <c r="AC8" s="170"/>
      <c r="AD8" s="170"/>
      <c r="AE8" s="170"/>
      <c r="AF8" s="170"/>
      <c r="AG8" s="170"/>
      <c r="AH8" s="170"/>
      <c r="AI8" s="170"/>
      <c r="AJ8" s="170"/>
      <c r="AK8" s="170"/>
      <c r="AL8" s="170"/>
      <c r="AM8" s="170"/>
      <c r="AN8" s="170"/>
      <c r="AO8" s="170"/>
      <c r="AP8" s="170"/>
      <c r="AQ8" s="170"/>
      <c r="AR8" s="170"/>
      <c r="AS8" s="170"/>
      <c r="AT8" s="170"/>
      <c r="AU8" s="170"/>
      <c r="AV8" s="170"/>
      <c r="AW8" s="170"/>
      <c r="AX8" s="170"/>
      <c r="AY8" s="170"/>
      <c r="AZ8" s="170"/>
      <c r="BA8" s="170"/>
      <c r="BB8" s="170"/>
      <c r="BC8" s="170"/>
      <c r="BD8" s="170"/>
      <c r="BE8" s="170"/>
      <c r="BF8" s="170"/>
      <c r="BG8" s="170"/>
      <c r="BH8" s="170"/>
      <c r="BI8" s="170"/>
      <c r="BJ8" s="170"/>
      <c r="BK8" s="170"/>
      <c r="BL8" s="170"/>
      <c r="BM8" s="170"/>
      <c r="BN8" s="170"/>
      <c r="BO8" s="170"/>
      <c r="BP8" s="170"/>
      <c r="BQ8" s="170"/>
      <c r="BR8" s="170"/>
    </row>
    <row r="9" spans="1:70" ht="14.25" customHeight="1" x14ac:dyDescent="0.25">
      <c r="A9" s="170"/>
      <c r="B9" s="170"/>
      <c r="C9" s="170"/>
      <c r="D9" s="170"/>
      <c r="E9" s="170"/>
      <c r="F9" s="170"/>
      <c r="G9" s="170"/>
      <c r="H9" s="170"/>
      <c r="I9" s="170"/>
      <c r="J9" s="170"/>
      <c r="K9" s="170"/>
      <c r="L9" s="170"/>
      <c r="M9" s="170"/>
      <c r="N9" s="170"/>
      <c r="O9" s="170"/>
      <c r="P9" s="170"/>
      <c r="Q9" s="170"/>
      <c r="R9" s="170"/>
      <c r="S9" s="170"/>
      <c r="T9" s="170"/>
      <c r="U9" s="170"/>
      <c r="V9" s="170"/>
      <c r="W9" s="170"/>
      <c r="X9" s="170"/>
      <c r="Y9" s="170"/>
      <c r="Z9" s="170"/>
      <c r="AA9" s="170"/>
      <c r="AB9" s="170"/>
      <c r="AC9" s="170"/>
      <c r="AD9" s="170"/>
      <c r="AE9" s="170"/>
      <c r="AF9" s="170"/>
      <c r="AG9" s="170"/>
      <c r="AH9" s="170"/>
      <c r="AI9" s="170"/>
      <c r="AJ9" s="170"/>
      <c r="AK9" s="170"/>
      <c r="AL9" s="170"/>
      <c r="AM9" s="170"/>
      <c r="AN9" s="170"/>
      <c r="AO9" s="170"/>
      <c r="AP9" s="170"/>
      <c r="AQ9" s="170"/>
      <c r="AR9" s="170"/>
      <c r="AS9" s="170"/>
      <c r="AT9" s="170"/>
      <c r="AU9" s="170"/>
      <c r="AV9" s="170"/>
      <c r="AW9" s="170"/>
      <c r="AX9" s="170"/>
      <c r="AY9" s="170"/>
      <c r="AZ9" s="170"/>
      <c r="BA9" s="170"/>
      <c r="BB9" s="170"/>
      <c r="BC9" s="170"/>
      <c r="BD9" s="170"/>
      <c r="BE9" s="170"/>
      <c r="BF9" s="170"/>
      <c r="BG9" s="170"/>
      <c r="BH9" s="170"/>
      <c r="BI9" s="170"/>
      <c r="BJ9" s="170"/>
      <c r="BK9" s="170"/>
      <c r="BL9" s="170"/>
      <c r="BM9" s="170"/>
      <c r="BN9" s="170"/>
      <c r="BO9" s="170"/>
      <c r="BP9" s="170"/>
      <c r="BQ9" s="170"/>
      <c r="BR9" s="170"/>
    </row>
    <row r="10" spans="1:70" ht="14.25" customHeight="1" x14ac:dyDescent="0.25">
      <c r="A10" s="170"/>
      <c r="B10" s="170"/>
      <c r="C10" s="170"/>
      <c r="D10" s="170"/>
      <c r="E10" s="170"/>
      <c r="F10" s="170"/>
      <c r="G10" s="170"/>
      <c r="H10" s="170"/>
      <c r="I10" s="170"/>
      <c r="J10" s="170"/>
      <c r="K10" s="170"/>
      <c r="L10" s="170"/>
      <c r="M10" s="170"/>
      <c r="N10" s="170"/>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0"/>
      <c r="AM10" s="170"/>
      <c r="AN10" s="170"/>
      <c r="AO10" s="170"/>
      <c r="AP10" s="170"/>
      <c r="AQ10" s="170"/>
      <c r="AR10" s="170"/>
      <c r="AS10" s="170"/>
      <c r="AT10" s="170"/>
      <c r="AU10" s="170"/>
      <c r="AV10" s="170"/>
      <c r="AW10" s="170"/>
      <c r="AX10" s="170"/>
      <c r="AY10" s="170"/>
      <c r="AZ10" s="170"/>
      <c r="BA10" s="170"/>
      <c r="BB10" s="170"/>
      <c r="BC10" s="170"/>
      <c r="BD10" s="170"/>
      <c r="BE10" s="170"/>
      <c r="BF10" s="170"/>
      <c r="BG10" s="170"/>
      <c r="BH10" s="170"/>
      <c r="BI10" s="170"/>
      <c r="BJ10" s="170"/>
      <c r="BK10" s="170"/>
      <c r="BL10" s="170"/>
      <c r="BM10" s="170"/>
      <c r="BN10" s="170"/>
      <c r="BO10" s="170"/>
      <c r="BP10" s="170"/>
      <c r="BQ10" s="170"/>
      <c r="BR10" s="170"/>
    </row>
    <row r="11" spans="1:70" ht="14.25" customHeight="1" x14ac:dyDescent="0.25">
      <c r="A11" s="171" t="s">
        <v>58</v>
      </c>
      <c r="B11" s="171"/>
      <c r="C11" s="171"/>
      <c r="D11" s="171"/>
      <c r="E11" s="171"/>
      <c r="F11" s="171"/>
      <c r="G11" s="171"/>
      <c r="H11" s="171"/>
      <c r="I11" s="171"/>
      <c r="J11" s="171"/>
      <c r="K11" s="171"/>
      <c r="L11" s="171"/>
      <c r="M11" s="171"/>
      <c r="N11" s="171"/>
      <c r="O11" s="171"/>
      <c r="P11" s="171"/>
      <c r="Q11" s="171"/>
      <c r="R11" s="174" t="s">
        <v>72</v>
      </c>
      <c r="S11" s="174"/>
      <c r="T11" s="174"/>
      <c r="U11" s="174"/>
      <c r="V11" s="174"/>
      <c r="W11" s="174"/>
      <c r="X11" s="174"/>
      <c r="Y11" s="174"/>
      <c r="Z11" s="174"/>
      <c r="AA11" s="174"/>
      <c r="AB11" s="174"/>
      <c r="AC11" s="174"/>
      <c r="AD11" s="174"/>
      <c r="AE11" s="174"/>
      <c r="AF11" s="174"/>
      <c r="AG11" s="174"/>
      <c r="AH11" s="174"/>
      <c r="AI11" s="174"/>
      <c r="AJ11" s="174"/>
      <c r="AK11" s="174"/>
      <c r="AL11" s="174"/>
      <c r="AM11" s="174"/>
      <c r="AN11" s="174"/>
      <c r="AO11" s="174"/>
      <c r="AP11" s="174"/>
      <c r="AQ11" s="174"/>
      <c r="AR11" s="174"/>
      <c r="AS11" s="174"/>
      <c r="AT11" s="174"/>
      <c r="AU11" s="174"/>
      <c r="AV11" s="174"/>
      <c r="AW11" s="174"/>
      <c r="AX11" s="174"/>
      <c r="AY11" s="174"/>
      <c r="AZ11" s="171" t="s">
        <v>63</v>
      </c>
      <c r="BA11" s="170"/>
      <c r="BB11" s="170"/>
      <c r="BC11" s="170"/>
      <c r="BD11" s="170"/>
      <c r="BE11" s="170"/>
      <c r="BF11" s="170"/>
      <c r="BG11" s="170"/>
      <c r="BH11" s="170"/>
      <c r="BI11" s="170"/>
      <c r="BJ11" s="170"/>
      <c r="BK11" s="170"/>
      <c r="BL11" s="170"/>
      <c r="BM11" s="170"/>
      <c r="BN11" s="170"/>
      <c r="BO11" s="170"/>
      <c r="BP11" s="170"/>
      <c r="BQ11" s="170"/>
      <c r="BR11" s="170"/>
    </row>
    <row r="12" spans="1:70" ht="14.25" customHeight="1" x14ac:dyDescent="0.25">
      <c r="A12" s="171"/>
      <c r="B12" s="171"/>
      <c r="C12" s="171"/>
      <c r="D12" s="171"/>
      <c r="E12" s="171"/>
      <c r="F12" s="171"/>
      <c r="G12" s="171"/>
      <c r="H12" s="171"/>
      <c r="I12" s="171"/>
      <c r="J12" s="171"/>
      <c r="K12" s="171"/>
      <c r="L12" s="171"/>
      <c r="M12" s="171"/>
      <c r="N12" s="171"/>
      <c r="O12" s="171"/>
      <c r="P12" s="171"/>
      <c r="Q12" s="171"/>
      <c r="R12" s="174"/>
      <c r="S12" s="174"/>
      <c r="T12" s="174"/>
      <c r="U12" s="174"/>
      <c r="V12" s="174"/>
      <c r="W12" s="174"/>
      <c r="X12" s="174"/>
      <c r="Y12" s="174"/>
      <c r="Z12" s="174"/>
      <c r="AA12" s="174"/>
      <c r="AB12" s="174"/>
      <c r="AC12" s="174"/>
      <c r="AD12" s="174"/>
      <c r="AE12" s="174"/>
      <c r="AF12" s="174"/>
      <c r="AG12" s="174"/>
      <c r="AH12" s="174"/>
      <c r="AI12" s="174"/>
      <c r="AJ12" s="174"/>
      <c r="AK12" s="174"/>
      <c r="AL12" s="174"/>
      <c r="AM12" s="174"/>
      <c r="AN12" s="174"/>
      <c r="AO12" s="174"/>
      <c r="AP12" s="174"/>
      <c r="AQ12" s="174"/>
      <c r="AR12" s="174"/>
      <c r="AS12" s="174"/>
      <c r="AT12" s="174"/>
      <c r="AU12" s="174"/>
      <c r="AV12" s="174"/>
      <c r="AW12" s="174"/>
      <c r="AX12" s="174"/>
      <c r="AY12" s="174"/>
      <c r="AZ12" s="171"/>
      <c r="BA12" s="170"/>
      <c r="BB12" s="170"/>
      <c r="BC12" s="170"/>
      <c r="BD12" s="170"/>
      <c r="BE12" s="170"/>
      <c r="BF12" s="170"/>
      <c r="BG12" s="170"/>
      <c r="BH12" s="170"/>
      <c r="BI12" s="170"/>
      <c r="BJ12" s="170"/>
      <c r="BK12" s="170"/>
      <c r="BL12" s="170"/>
      <c r="BM12" s="170"/>
      <c r="BN12" s="170"/>
      <c r="BO12" s="170"/>
      <c r="BP12" s="170"/>
      <c r="BQ12" s="170"/>
      <c r="BR12" s="170"/>
    </row>
    <row r="13" spans="1:70" ht="14.25" customHeight="1" x14ac:dyDescent="0.25">
      <c r="A13" s="171"/>
      <c r="B13" s="171"/>
      <c r="C13" s="171"/>
      <c r="D13" s="171"/>
      <c r="E13" s="171"/>
      <c r="F13" s="171"/>
      <c r="G13" s="171"/>
      <c r="H13" s="171"/>
      <c r="I13" s="171"/>
      <c r="J13" s="171"/>
      <c r="K13" s="171"/>
      <c r="L13" s="171"/>
      <c r="M13" s="171"/>
      <c r="N13" s="171"/>
      <c r="O13" s="171"/>
      <c r="P13" s="171"/>
      <c r="Q13" s="171"/>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1"/>
      <c r="BA13" s="170"/>
      <c r="BB13" s="170"/>
      <c r="BC13" s="170"/>
      <c r="BD13" s="170"/>
      <c r="BE13" s="170"/>
      <c r="BF13" s="170"/>
      <c r="BG13" s="170"/>
      <c r="BH13" s="170"/>
      <c r="BI13" s="170"/>
      <c r="BJ13" s="170"/>
      <c r="BK13" s="170"/>
      <c r="BL13" s="170"/>
      <c r="BM13" s="170"/>
      <c r="BN13" s="170"/>
      <c r="BO13" s="170"/>
      <c r="BP13" s="170"/>
      <c r="BQ13" s="170"/>
      <c r="BR13" s="170"/>
    </row>
    <row r="14" spans="1:70" ht="14.25" customHeight="1" x14ac:dyDescent="0.25">
      <c r="A14" s="171"/>
      <c r="B14" s="171"/>
      <c r="C14" s="171"/>
      <c r="D14" s="171"/>
      <c r="E14" s="171"/>
      <c r="F14" s="171"/>
      <c r="G14" s="171"/>
      <c r="H14" s="171"/>
      <c r="I14" s="171"/>
      <c r="J14" s="171"/>
      <c r="K14" s="171"/>
      <c r="L14" s="171"/>
      <c r="M14" s="171"/>
      <c r="N14" s="171"/>
      <c r="O14" s="171"/>
      <c r="P14" s="171"/>
      <c r="Q14" s="171"/>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0"/>
      <c r="BA14" s="170"/>
      <c r="BB14" s="170"/>
      <c r="BC14" s="170"/>
      <c r="BD14" s="170"/>
      <c r="BE14" s="170"/>
      <c r="BF14" s="170"/>
      <c r="BG14" s="170"/>
      <c r="BH14" s="170"/>
      <c r="BI14" s="170"/>
      <c r="BJ14" s="170"/>
      <c r="BK14" s="170"/>
      <c r="BL14" s="170"/>
      <c r="BM14" s="170"/>
      <c r="BN14" s="170"/>
      <c r="BO14" s="170"/>
      <c r="BP14" s="170"/>
      <c r="BQ14" s="170"/>
      <c r="BR14" s="170"/>
    </row>
    <row r="15" spans="1:70" ht="14.25" customHeight="1" x14ac:dyDescent="0.25">
      <c r="A15" s="170" t="s">
        <v>59</v>
      </c>
      <c r="B15" s="170"/>
      <c r="C15" s="170"/>
      <c r="D15" s="170"/>
      <c r="E15" s="170"/>
      <c r="F15" s="170"/>
      <c r="G15" s="170"/>
      <c r="H15" s="170"/>
      <c r="I15" s="170"/>
      <c r="J15" s="170"/>
      <c r="K15" s="170"/>
      <c r="L15" s="170"/>
      <c r="M15" s="170"/>
      <c r="N15" s="170"/>
      <c r="O15" s="170"/>
      <c r="P15" s="170"/>
      <c r="Q15" s="170"/>
      <c r="R15" s="175" t="s">
        <v>231</v>
      </c>
      <c r="S15" s="175"/>
      <c r="T15" s="175"/>
      <c r="U15" s="175"/>
      <c r="V15" s="175"/>
      <c r="W15" s="175"/>
      <c r="X15" s="175"/>
      <c r="Y15" s="175"/>
      <c r="Z15" s="175"/>
      <c r="AA15" s="175"/>
      <c r="AB15" s="175"/>
      <c r="AC15" s="175"/>
      <c r="AD15" s="175"/>
      <c r="AE15" s="175"/>
      <c r="AF15" s="175"/>
      <c r="AG15" s="175"/>
      <c r="AH15" s="175"/>
      <c r="AI15" s="175"/>
      <c r="AJ15" s="175"/>
      <c r="AK15" s="175"/>
      <c r="AL15" s="175"/>
      <c r="AM15" s="175"/>
      <c r="AN15" s="175"/>
      <c r="AO15" s="175"/>
      <c r="AP15" s="175"/>
      <c r="AQ15" s="175"/>
      <c r="AR15" s="175"/>
      <c r="AS15" s="175"/>
      <c r="AT15" s="175"/>
      <c r="AU15" s="175"/>
      <c r="AV15" s="175"/>
      <c r="AW15" s="175"/>
      <c r="AX15" s="175"/>
      <c r="AY15" s="175"/>
      <c r="AZ15" s="170" t="s">
        <v>62</v>
      </c>
      <c r="BA15" s="170"/>
      <c r="BB15" s="170"/>
      <c r="BC15" s="170"/>
      <c r="BD15" s="170"/>
      <c r="BE15" s="170"/>
      <c r="BF15" s="170"/>
      <c r="BG15" s="170"/>
      <c r="BH15" s="170"/>
      <c r="BI15" s="170"/>
      <c r="BJ15" s="170"/>
      <c r="BK15" s="170"/>
      <c r="BL15" s="170"/>
      <c r="BM15" s="170"/>
      <c r="BN15" s="170"/>
      <c r="BO15" s="170"/>
      <c r="BP15" s="170"/>
      <c r="BQ15" s="170"/>
      <c r="BR15" s="170"/>
    </row>
    <row r="16" spans="1:70" ht="14.25" customHeight="1" x14ac:dyDescent="0.25">
      <c r="A16" s="170"/>
      <c r="B16" s="170"/>
      <c r="C16" s="170"/>
      <c r="D16" s="170"/>
      <c r="E16" s="170"/>
      <c r="F16" s="170"/>
      <c r="G16" s="170"/>
      <c r="H16" s="170"/>
      <c r="I16" s="170"/>
      <c r="J16" s="170"/>
      <c r="K16" s="170"/>
      <c r="L16" s="170"/>
      <c r="M16" s="170"/>
      <c r="N16" s="170"/>
      <c r="O16" s="170"/>
      <c r="P16" s="170"/>
      <c r="Q16" s="170"/>
      <c r="R16" s="175"/>
      <c r="S16" s="175"/>
      <c r="T16" s="175"/>
      <c r="U16" s="175"/>
      <c r="V16" s="175"/>
      <c r="W16" s="175"/>
      <c r="X16" s="175"/>
      <c r="Y16" s="175"/>
      <c r="Z16" s="175"/>
      <c r="AA16" s="175"/>
      <c r="AB16" s="175"/>
      <c r="AC16" s="175"/>
      <c r="AD16" s="175"/>
      <c r="AE16" s="175"/>
      <c r="AF16" s="175"/>
      <c r="AG16" s="175"/>
      <c r="AH16" s="175"/>
      <c r="AI16" s="175"/>
      <c r="AJ16" s="175"/>
      <c r="AK16" s="175"/>
      <c r="AL16" s="175"/>
      <c r="AM16" s="175"/>
      <c r="AN16" s="175"/>
      <c r="AO16" s="175"/>
      <c r="AP16" s="175"/>
      <c r="AQ16" s="175"/>
      <c r="AR16" s="175"/>
      <c r="AS16" s="175"/>
      <c r="AT16" s="175"/>
      <c r="AU16" s="175"/>
      <c r="AV16" s="175"/>
      <c r="AW16" s="175"/>
      <c r="AX16" s="175"/>
      <c r="AY16" s="175"/>
      <c r="AZ16" s="170"/>
      <c r="BA16" s="170"/>
      <c r="BB16" s="170"/>
      <c r="BC16" s="170"/>
      <c r="BD16" s="170"/>
      <c r="BE16" s="170"/>
      <c r="BF16" s="170"/>
      <c r="BG16" s="170"/>
      <c r="BH16" s="170"/>
      <c r="BI16" s="170"/>
      <c r="BJ16" s="170"/>
      <c r="BK16" s="170"/>
      <c r="BL16" s="170"/>
      <c r="BM16" s="170"/>
      <c r="BN16" s="170"/>
      <c r="BO16" s="170"/>
      <c r="BP16" s="170"/>
      <c r="BQ16" s="170"/>
      <c r="BR16" s="170"/>
    </row>
    <row r="17" spans="1:85" ht="14.25" customHeight="1" x14ac:dyDescent="0.25">
      <c r="A17" s="170"/>
      <c r="B17" s="170"/>
      <c r="C17" s="170"/>
      <c r="D17" s="170"/>
      <c r="E17" s="170"/>
      <c r="F17" s="170"/>
      <c r="G17" s="170"/>
      <c r="H17" s="170"/>
      <c r="I17" s="170"/>
      <c r="J17" s="170"/>
      <c r="K17" s="170"/>
      <c r="L17" s="170"/>
      <c r="M17" s="170"/>
      <c r="N17" s="170"/>
      <c r="O17" s="170"/>
      <c r="P17" s="170"/>
      <c r="Q17" s="170"/>
      <c r="R17" s="175"/>
      <c r="S17" s="175"/>
      <c r="T17" s="175"/>
      <c r="U17" s="175"/>
      <c r="V17" s="175"/>
      <c r="W17" s="175"/>
      <c r="X17" s="175"/>
      <c r="Y17" s="175"/>
      <c r="Z17" s="175"/>
      <c r="AA17" s="175"/>
      <c r="AB17" s="175"/>
      <c r="AC17" s="175"/>
      <c r="AD17" s="175"/>
      <c r="AE17" s="175"/>
      <c r="AF17" s="175"/>
      <c r="AG17" s="175"/>
      <c r="AH17" s="175"/>
      <c r="AI17" s="175"/>
      <c r="AJ17" s="175"/>
      <c r="AK17" s="175"/>
      <c r="AL17" s="175"/>
      <c r="AM17" s="175"/>
      <c r="AN17" s="175"/>
      <c r="AO17" s="175"/>
      <c r="AP17" s="175"/>
      <c r="AQ17" s="175"/>
      <c r="AR17" s="175"/>
      <c r="AS17" s="175"/>
      <c r="AT17" s="175"/>
      <c r="AU17" s="175"/>
      <c r="AV17" s="175"/>
      <c r="AW17" s="175"/>
      <c r="AX17" s="175"/>
      <c r="AY17" s="175"/>
      <c r="AZ17" s="170"/>
      <c r="BA17" s="170"/>
      <c r="BB17" s="170"/>
      <c r="BC17" s="170"/>
      <c r="BD17" s="170"/>
      <c r="BE17" s="170"/>
      <c r="BF17" s="170"/>
      <c r="BG17" s="170"/>
      <c r="BH17" s="170"/>
      <c r="BI17" s="170"/>
      <c r="BJ17" s="170"/>
      <c r="BK17" s="170"/>
      <c r="BL17" s="170"/>
      <c r="BM17" s="170"/>
      <c r="BN17" s="170"/>
      <c r="BO17" s="170"/>
      <c r="BP17" s="170"/>
      <c r="BQ17" s="170"/>
      <c r="BR17" s="170"/>
    </row>
    <row r="18" spans="1:85" ht="14.25" customHeight="1" x14ac:dyDescent="0.25">
      <c r="A18" s="170"/>
      <c r="B18" s="170"/>
      <c r="C18" s="170"/>
      <c r="D18" s="170"/>
      <c r="E18" s="170"/>
      <c r="F18" s="170"/>
      <c r="G18" s="170"/>
      <c r="H18" s="170"/>
      <c r="I18" s="170"/>
      <c r="J18" s="170"/>
      <c r="K18" s="170"/>
      <c r="L18" s="170"/>
      <c r="M18" s="170"/>
      <c r="N18" s="170"/>
      <c r="O18" s="170"/>
      <c r="P18" s="170"/>
      <c r="Q18" s="170"/>
      <c r="R18" s="175"/>
      <c r="S18" s="175"/>
      <c r="T18" s="175"/>
      <c r="U18" s="175"/>
      <c r="V18" s="175"/>
      <c r="W18" s="175"/>
      <c r="X18" s="175"/>
      <c r="Y18" s="175"/>
      <c r="Z18" s="175"/>
      <c r="AA18" s="175"/>
      <c r="AB18" s="175"/>
      <c r="AC18" s="175"/>
      <c r="AD18" s="175"/>
      <c r="AE18" s="175"/>
      <c r="AF18" s="175"/>
      <c r="AG18" s="175"/>
      <c r="AH18" s="175"/>
      <c r="AI18" s="175"/>
      <c r="AJ18" s="175"/>
      <c r="AK18" s="175"/>
      <c r="AL18" s="175"/>
      <c r="AM18" s="175"/>
      <c r="AN18" s="175"/>
      <c r="AO18" s="175"/>
      <c r="AP18" s="175"/>
      <c r="AQ18" s="175"/>
      <c r="AR18" s="175"/>
      <c r="AS18" s="175"/>
      <c r="AT18" s="175"/>
      <c r="AU18" s="175"/>
      <c r="AV18" s="175"/>
      <c r="AW18" s="175"/>
      <c r="AX18" s="175"/>
      <c r="AY18" s="175"/>
      <c r="AZ18" s="170"/>
      <c r="BA18" s="170"/>
      <c r="BB18" s="170"/>
      <c r="BC18" s="170"/>
      <c r="BD18" s="170"/>
      <c r="BE18" s="170"/>
      <c r="BF18" s="170"/>
      <c r="BG18" s="170"/>
      <c r="BH18" s="170"/>
      <c r="BI18" s="170"/>
      <c r="BJ18" s="170"/>
      <c r="BK18" s="170"/>
      <c r="BL18" s="170"/>
      <c r="BM18" s="170"/>
      <c r="BN18" s="170"/>
      <c r="BO18" s="170"/>
      <c r="BP18" s="170"/>
      <c r="BQ18" s="170"/>
      <c r="BR18" s="170"/>
    </row>
    <row r="19" spans="1:85" ht="14.25" customHeight="1" x14ac:dyDescent="0.25">
      <c r="A19" s="170" t="s">
        <v>60</v>
      </c>
      <c r="B19" s="170"/>
      <c r="C19" s="170"/>
      <c r="D19" s="170"/>
      <c r="E19" s="170"/>
      <c r="F19" s="170"/>
      <c r="G19" s="170"/>
      <c r="H19" s="170"/>
      <c r="I19" s="170"/>
      <c r="J19" s="170"/>
      <c r="K19" s="170"/>
      <c r="L19" s="170"/>
      <c r="M19" s="170"/>
      <c r="N19" s="170"/>
      <c r="O19" s="170"/>
      <c r="P19" s="170"/>
      <c r="Q19" s="170"/>
      <c r="R19" s="170" t="s">
        <v>253</v>
      </c>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t="s">
        <v>235</v>
      </c>
      <c r="BA19" s="170"/>
      <c r="BB19" s="170"/>
      <c r="BC19" s="170"/>
      <c r="BD19" s="170"/>
      <c r="BE19" s="170"/>
      <c r="BF19" s="170"/>
      <c r="BG19" s="170"/>
      <c r="BH19" s="170"/>
      <c r="BI19" s="170"/>
      <c r="BJ19" s="170"/>
      <c r="BK19" s="170"/>
      <c r="BL19" s="170"/>
      <c r="BM19" s="170"/>
      <c r="BN19" s="170"/>
      <c r="BO19" s="170"/>
      <c r="BP19" s="170"/>
      <c r="BQ19" s="170"/>
      <c r="BR19" s="170"/>
    </row>
    <row r="20" spans="1:85" ht="14.25" customHeight="1" x14ac:dyDescent="0.25">
      <c r="A20" s="170"/>
      <c r="B20" s="170"/>
      <c r="C20" s="170"/>
      <c r="D20" s="170"/>
      <c r="E20" s="170"/>
      <c r="F20" s="170"/>
      <c r="G20" s="170"/>
      <c r="H20" s="170"/>
      <c r="I20" s="170"/>
      <c r="J20" s="170"/>
      <c r="K20" s="170"/>
      <c r="L20" s="170"/>
      <c r="M20" s="170"/>
      <c r="N20" s="170"/>
      <c r="O20" s="170"/>
      <c r="P20" s="170"/>
      <c r="Q20" s="170"/>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0"/>
      <c r="BD20" s="170"/>
      <c r="BE20" s="170"/>
      <c r="BF20" s="170"/>
      <c r="BG20" s="170"/>
      <c r="BH20" s="170"/>
      <c r="BI20" s="170"/>
      <c r="BJ20" s="170"/>
      <c r="BK20" s="170"/>
      <c r="BL20" s="170"/>
      <c r="BM20" s="170"/>
      <c r="BN20" s="170"/>
      <c r="BO20" s="170"/>
      <c r="BP20" s="170"/>
      <c r="BQ20" s="170"/>
      <c r="BR20" s="170"/>
    </row>
    <row r="21" spans="1:85" ht="14.25" customHeight="1" x14ac:dyDescent="0.25">
      <c r="A21" s="170"/>
      <c r="B21" s="170"/>
      <c r="C21" s="170"/>
      <c r="D21" s="170"/>
      <c r="E21" s="170"/>
      <c r="F21" s="170"/>
      <c r="G21" s="170"/>
      <c r="H21" s="170"/>
      <c r="I21" s="170"/>
      <c r="J21" s="170"/>
      <c r="K21" s="170"/>
      <c r="L21" s="170"/>
      <c r="M21" s="170"/>
      <c r="N21" s="170"/>
      <c r="O21" s="170"/>
      <c r="P21" s="170"/>
      <c r="Q21" s="170"/>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0"/>
      <c r="BD21" s="170"/>
      <c r="BE21" s="170"/>
      <c r="BF21" s="170"/>
      <c r="BG21" s="170"/>
      <c r="BH21" s="170"/>
      <c r="BI21" s="170"/>
      <c r="BJ21" s="170"/>
      <c r="BK21" s="170"/>
      <c r="BL21" s="170"/>
      <c r="BM21" s="170"/>
      <c r="BN21" s="170"/>
      <c r="BO21" s="170"/>
      <c r="BP21" s="170"/>
      <c r="BQ21" s="170"/>
      <c r="BR21" s="170"/>
    </row>
    <row r="22" spans="1:85" ht="14.25" customHeight="1" x14ac:dyDescent="0.25">
      <c r="A22" s="170"/>
      <c r="B22" s="170"/>
      <c r="C22" s="170"/>
      <c r="D22" s="170"/>
      <c r="E22" s="170"/>
      <c r="F22" s="170"/>
      <c r="G22" s="170"/>
      <c r="H22" s="170"/>
      <c r="I22" s="170"/>
      <c r="J22" s="170"/>
      <c r="K22" s="170"/>
      <c r="L22" s="170"/>
      <c r="M22" s="170"/>
      <c r="N22" s="170"/>
      <c r="O22" s="170"/>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0"/>
      <c r="BD22" s="170"/>
      <c r="BE22" s="170"/>
      <c r="BF22" s="170"/>
      <c r="BG22" s="170"/>
      <c r="BH22" s="170"/>
      <c r="BI22" s="170"/>
      <c r="BJ22" s="170"/>
      <c r="BK22" s="170"/>
      <c r="BL22" s="170"/>
      <c r="BM22" s="170"/>
      <c r="BN22" s="170"/>
      <c r="BO22" s="170"/>
      <c r="BP22" s="170"/>
      <c r="BQ22" s="170"/>
      <c r="BR22" s="170"/>
    </row>
    <row r="23" spans="1:85" ht="14.25" customHeight="1" x14ac:dyDescent="0.25">
      <c r="A23" s="173" t="s">
        <v>61</v>
      </c>
      <c r="B23" s="173"/>
      <c r="C23" s="173"/>
      <c r="D23" s="173"/>
      <c r="E23" s="173"/>
      <c r="F23" s="173"/>
      <c r="G23" s="173"/>
      <c r="H23" s="173"/>
      <c r="I23" s="173"/>
      <c r="J23" s="173"/>
      <c r="K23" s="173"/>
      <c r="L23" s="173"/>
      <c r="M23" s="173"/>
      <c r="N23" s="173"/>
      <c r="O23" s="173"/>
      <c r="P23" s="173"/>
      <c r="Q23" s="173"/>
      <c r="R23" s="170" t="s">
        <v>124</v>
      </c>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2"/>
      <c r="BA23" s="172"/>
      <c r="BB23" s="172"/>
      <c r="BC23" s="172"/>
      <c r="BD23" s="172"/>
      <c r="BE23" s="172"/>
      <c r="BF23" s="172"/>
      <c r="BG23" s="172"/>
      <c r="BH23" s="172"/>
      <c r="BI23" s="172"/>
      <c r="BJ23" s="172"/>
      <c r="BK23" s="172"/>
      <c r="BL23" s="172"/>
      <c r="BM23" s="172"/>
      <c r="BN23" s="172"/>
      <c r="BO23" s="172"/>
      <c r="BP23" s="172"/>
      <c r="BQ23" s="172"/>
      <c r="BR23" s="172"/>
    </row>
    <row r="24" spans="1:85" ht="14.25" customHeight="1" x14ac:dyDescent="0.25">
      <c r="A24" s="173"/>
      <c r="B24" s="173"/>
      <c r="C24" s="173"/>
      <c r="D24" s="173"/>
      <c r="E24" s="173"/>
      <c r="F24" s="173"/>
      <c r="G24" s="173"/>
      <c r="H24" s="173"/>
      <c r="I24" s="173"/>
      <c r="J24" s="173"/>
      <c r="K24" s="173"/>
      <c r="L24" s="173"/>
      <c r="M24" s="173"/>
      <c r="N24" s="173"/>
      <c r="O24" s="173"/>
      <c r="P24" s="173"/>
      <c r="Q24" s="173"/>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2"/>
      <c r="BA24" s="172"/>
      <c r="BB24" s="172"/>
      <c r="BC24" s="172"/>
      <c r="BD24" s="172"/>
      <c r="BE24" s="172"/>
      <c r="BF24" s="172"/>
      <c r="BG24" s="172"/>
      <c r="BH24" s="172"/>
      <c r="BI24" s="172"/>
      <c r="BJ24" s="172"/>
      <c r="BK24" s="172"/>
      <c r="BL24" s="172"/>
      <c r="BM24" s="172"/>
      <c r="BN24" s="172"/>
      <c r="BO24" s="172"/>
      <c r="BP24" s="172"/>
      <c r="BQ24" s="172"/>
      <c r="BR24" s="172"/>
    </row>
    <row r="25" spans="1:85" ht="14.25" customHeight="1" x14ac:dyDescent="0.25">
      <c r="A25" s="173"/>
      <c r="B25" s="173"/>
      <c r="C25" s="173"/>
      <c r="D25" s="173"/>
      <c r="E25" s="173"/>
      <c r="F25" s="173"/>
      <c r="G25" s="173"/>
      <c r="H25" s="173"/>
      <c r="I25" s="173"/>
      <c r="J25" s="173"/>
      <c r="K25" s="173"/>
      <c r="L25" s="173"/>
      <c r="M25" s="173"/>
      <c r="N25" s="173"/>
      <c r="O25" s="173"/>
      <c r="P25" s="173"/>
      <c r="Q25" s="173"/>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2"/>
      <c r="BA25" s="172"/>
      <c r="BB25" s="172"/>
      <c r="BC25" s="172"/>
      <c r="BD25" s="172"/>
      <c r="BE25" s="172"/>
      <c r="BF25" s="172"/>
      <c r="BG25" s="172"/>
      <c r="BH25" s="172"/>
      <c r="BI25" s="172"/>
      <c r="BJ25" s="172"/>
      <c r="BK25" s="172"/>
      <c r="BL25" s="172"/>
      <c r="BM25" s="172"/>
      <c r="BN25" s="172"/>
      <c r="BO25" s="172"/>
      <c r="BP25" s="172"/>
      <c r="BQ25" s="172"/>
      <c r="BR25" s="172"/>
    </row>
    <row r="26" spans="1:85" ht="14.25" customHeight="1" x14ac:dyDescent="0.25">
      <c r="A26" s="173"/>
      <c r="B26" s="173"/>
      <c r="C26" s="173"/>
      <c r="D26" s="173"/>
      <c r="E26" s="173"/>
      <c r="F26" s="173"/>
      <c r="G26" s="173"/>
      <c r="H26" s="173"/>
      <c r="I26" s="173"/>
      <c r="J26" s="173"/>
      <c r="K26" s="173"/>
      <c r="L26" s="173"/>
      <c r="M26" s="173"/>
      <c r="N26" s="173"/>
      <c r="O26" s="173"/>
      <c r="P26" s="173"/>
      <c r="Q26" s="173"/>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2"/>
      <c r="BA26" s="172"/>
      <c r="BB26" s="172"/>
      <c r="BC26" s="172"/>
      <c r="BD26" s="172"/>
      <c r="BE26" s="172"/>
      <c r="BF26" s="172"/>
      <c r="BG26" s="172"/>
      <c r="BH26" s="172"/>
      <c r="BI26" s="172"/>
      <c r="BJ26" s="172"/>
      <c r="BK26" s="172"/>
      <c r="BL26" s="172"/>
      <c r="BM26" s="172"/>
      <c r="BN26" s="172"/>
      <c r="BO26" s="172"/>
      <c r="BP26" s="172"/>
      <c r="BQ26" s="172"/>
      <c r="BR26" s="172"/>
    </row>
    <row r="27" spans="1:85" ht="14.25" customHeight="1" x14ac:dyDescent="0.25">
      <c r="A27" s="76"/>
      <c r="B27" s="76"/>
      <c r="C27" s="76"/>
      <c r="D27" s="76"/>
      <c r="E27" s="76"/>
      <c r="F27" s="76"/>
      <c r="G27" s="76"/>
      <c r="H27" s="76"/>
      <c r="I27" s="76"/>
      <c r="J27" s="76"/>
      <c r="K27" s="76"/>
      <c r="L27" s="76"/>
      <c r="M27" s="76"/>
      <c r="N27" s="76"/>
      <c r="O27" s="76"/>
      <c r="P27" s="76"/>
      <c r="Q27" s="76"/>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5"/>
      <c r="BA27" s="75"/>
      <c r="BB27" s="75"/>
      <c r="BC27" s="75"/>
      <c r="BD27" s="75"/>
      <c r="BE27" s="75"/>
      <c r="BF27" s="75"/>
      <c r="BG27" s="75"/>
      <c r="BH27" s="75"/>
      <c r="BI27" s="75"/>
      <c r="BJ27" s="75"/>
      <c r="BK27" s="75"/>
      <c r="BL27" s="75"/>
      <c r="BM27" s="75"/>
      <c r="BN27" s="75"/>
      <c r="BO27" s="75"/>
      <c r="BP27" s="75"/>
      <c r="BQ27" s="75"/>
      <c r="BR27" s="75"/>
    </row>
    <row r="28" spans="1:85" ht="14.25" customHeight="1" x14ac:dyDescent="0.25">
      <c r="A28" s="75"/>
      <c r="B28" s="3"/>
      <c r="C28" s="3"/>
      <c r="D28" s="75"/>
      <c r="E28" s="75"/>
      <c r="F28" s="75"/>
      <c r="G28" s="75"/>
      <c r="H28" s="75"/>
      <c r="I28" s="75"/>
      <c r="J28" s="75"/>
      <c r="K28" s="75"/>
      <c r="L28" s="75"/>
      <c r="M28" s="75"/>
      <c r="N28" s="75"/>
      <c r="O28" s="75"/>
      <c r="P28" s="75"/>
      <c r="Q28" s="75"/>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5"/>
      <c r="BA28" s="75"/>
      <c r="BB28" s="75"/>
      <c r="BC28" s="75"/>
      <c r="BD28" s="75"/>
      <c r="BE28" s="75"/>
      <c r="BF28" s="75"/>
      <c r="BG28" s="75"/>
      <c r="BH28" s="75"/>
      <c r="BI28" s="75"/>
      <c r="BJ28" s="75"/>
      <c r="BK28" s="75"/>
      <c r="BL28" s="75"/>
      <c r="BM28" s="75"/>
      <c r="BN28" s="75"/>
      <c r="BO28" s="75"/>
      <c r="BP28" s="75"/>
      <c r="BQ28" s="75"/>
      <c r="BR28" s="75"/>
    </row>
    <row r="29" spans="1:85" ht="14.25" customHeight="1" x14ac:dyDescent="0.25">
      <c r="A29" s="153" t="s">
        <v>65</v>
      </c>
      <c r="B29" s="153"/>
      <c r="C29" s="153"/>
      <c r="D29" s="153"/>
      <c r="E29" s="153"/>
      <c r="F29" s="153"/>
      <c r="G29" s="153"/>
      <c r="H29" s="153"/>
      <c r="I29" s="153"/>
      <c r="J29" s="153"/>
      <c r="K29" s="153"/>
      <c r="L29" s="153"/>
      <c r="M29" s="153"/>
      <c r="N29" s="153"/>
      <c r="O29" s="153"/>
      <c r="P29" s="153"/>
      <c r="Q29" s="153"/>
      <c r="R29" s="153"/>
      <c r="S29" s="153"/>
      <c r="T29" s="153"/>
      <c r="U29" s="153"/>
      <c r="V29" s="153"/>
      <c r="W29" s="153"/>
      <c r="X29" s="153"/>
      <c r="Y29" s="153"/>
      <c r="Z29" s="153"/>
      <c r="AA29" s="153"/>
      <c r="AB29" s="153"/>
      <c r="AC29" s="153"/>
      <c r="AD29" s="153"/>
      <c r="AE29" s="153"/>
      <c r="AF29" s="153"/>
      <c r="AG29" s="153"/>
      <c r="AH29" s="153"/>
      <c r="AI29" s="153"/>
      <c r="AJ29" s="153"/>
      <c r="AK29" s="153"/>
      <c r="AL29" s="153"/>
      <c r="AM29" s="153"/>
      <c r="AN29" s="153"/>
      <c r="AO29" s="153"/>
      <c r="AP29" s="153"/>
      <c r="AQ29" s="153"/>
      <c r="AR29" s="153"/>
      <c r="AS29" s="153"/>
      <c r="AT29" s="153"/>
      <c r="AU29" s="153"/>
      <c r="AV29" s="153"/>
      <c r="AW29" s="153"/>
      <c r="AX29" s="153"/>
      <c r="AY29" s="153"/>
      <c r="AZ29" s="153"/>
      <c r="BA29" s="153"/>
      <c r="BB29" s="153"/>
      <c r="BC29" s="153"/>
      <c r="BD29" s="153"/>
      <c r="BE29" s="153"/>
      <c r="BF29" s="153"/>
      <c r="BG29" s="153"/>
      <c r="BH29" s="153"/>
      <c r="BI29" s="153"/>
      <c r="BJ29" s="153"/>
      <c r="BK29" s="153"/>
      <c r="BL29" s="153"/>
      <c r="BM29" s="153"/>
      <c r="BN29" s="153"/>
      <c r="BO29" s="153"/>
      <c r="BP29" s="153"/>
      <c r="BQ29" s="153"/>
      <c r="BR29" s="153"/>
    </row>
    <row r="30" spans="1:85" ht="14.25" customHeight="1" x14ac:dyDescent="0.25">
      <c r="A30" s="154"/>
      <c r="B30" s="154"/>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c r="AA30" s="154"/>
      <c r="AB30" s="154"/>
      <c r="AC30" s="154"/>
      <c r="AD30" s="154"/>
      <c r="AE30" s="154"/>
      <c r="AF30" s="154"/>
      <c r="AG30" s="154"/>
      <c r="AH30" s="154"/>
      <c r="AI30" s="154"/>
      <c r="AJ30" s="154"/>
      <c r="AK30" s="154"/>
      <c r="AL30" s="154"/>
      <c r="AM30" s="154"/>
      <c r="AN30" s="154"/>
      <c r="AO30" s="154"/>
      <c r="AP30" s="154"/>
      <c r="AQ30" s="154"/>
      <c r="AR30" s="154"/>
      <c r="AS30" s="154"/>
      <c r="AT30" s="154"/>
      <c r="AU30" s="154"/>
      <c r="AV30" s="154"/>
      <c r="AW30" s="154"/>
      <c r="AX30" s="154"/>
      <c r="AY30" s="154"/>
      <c r="AZ30" s="154"/>
      <c r="BA30" s="154"/>
      <c r="BB30" s="154"/>
      <c r="BC30" s="154"/>
      <c r="BD30" s="154"/>
      <c r="BE30" s="154"/>
      <c r="BF30" s="154"/>
      <c r="BG30" s="154"/>
      <c r="BH30" s="154"/>
      <c r="BI30" s="154"/>
      <c r="BJ30" s="154"/>
      <c r="BK30" s="154"/>
      <c r="BL30" s="154"/>
      <c r="BM30" s="154"/>
      <c r="BN30" s="154"/>
      <c r="BO30" s="154"/>
      <c r="BP30" s="154"/>
      <c r="BQ30" s="154"/>
      <c r="BR30" s="154"/>
    </row>
    <row r="31" spans="1:85" ht="14.25" customHeight="1" x14ac:dyDescent="0.25">
      <c r="A31" s="134" t="s">
        <v>86</v>
      </c>
      <c r="B31" s="134"/>
      <c r="C31" s="106" t="s">
        <v>85</v>
      </c>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6"/>
      <c r="BA31" s="106"/>
      <c r="BB31" s="106"/>
      <c r="BC31" s="236" t="s">
        <v>87</v>
      </c>
      <c r="BD31" s="210"/>
      <c r="BE31" s="233" t="s">
        <v>95</v>
      </c>
      <c r="BF31" s="234"/>
      <c r="BG31" s="234"/>
      <c r="BH31" s="234"/>
      <c r="BI31" s="234"/>
      <c r="BJ31" s="234"/>
      <c r="BK31" s="234"/>
      <c r="BL31" s="235"/>
      <c r="BM31" s="236" t="s">
        <v>92</v>
      </c>
      <c r="BN31" s="210"/>
      <c r="BO31" s="133" t="s">
        <v>93</v>
      </c>
      <c r="BP31" s="133"/>
      <c r="BQ31" s="209" t="s">
        <v>94</v>
      </c>
      <c r="BR31" s="210"/>
      <c r="BT31" s="233"/>
      <c r="BU31" s="234"/>
      <c r="BV31" s="234"/>
      <c r="BW31" s="234"/>
      <c r="BX31" s="234"/>
      <c r="BY31" s="234"/>
      <c r="BZ31" s="234"/>
      <c r="CA31" s="235"/>
      <c r="CB31" s="236"/>
      <c r="CC31" s="210"/>
      <c r="CD31" s="133"/>
      <c r="CE31" s="133"/>
      <c r="CF31" s="209"/>
      <c r="CG31" s="210"/>
    </row>
    <row r="32" spans="1:85" ht="177.75" customHeight="1" x14ac:dyDescent="0.25">
      <c r="A32" s="134"/>
      <c r="B32" s="134"/>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c r="AZ32" s="106"/>
      <c r="BA32" s="106"/>
      <c r="BB32" s="106"/>
      <c r="BC32" s="237"/>
      <c r="BD32" s="212"/>
      <c r="BE32" s="135" t="s">
        <v>88</v>
      </c>
      <c r="BF32" s="135"/>
      <c r="BG32" s="215" t="s">
        <v>89</v>
      </c>
      <c r="BH32" s="217"/>
      <c r="BI32" s="215" t="s">
        <v>90</v>
      </c>
      <c r="BJ32" s="217"/>
      <c r="BK32" s="134" t="s">
        <v>91</v>
      </c>
      <c r="BL32" s="134"/>
      <c r="BM32" s="237"/>
      <c r="BN32" s="212"/>
      <c r="BO32" s="133"/>
      <c r="BP32" s="133"/>
      <c r="BQ32" s="211"/>
      <c r="BR32" s="212"/>
      <c r="BT32" s="215"/>
      <c r="BU32" s="216"/>
      <c r="BV32" s="217"/>
      <c r="BW32" s="215"/>
      <c r="BX32" s="217"/>
      <c r="BY32" s="224"/>
      <c r="BZ32" s="225"/>
      <c r="CA32" s="226"/>
      <c r="CB32" s="237"/>
      <c r="CC32" s="212"/>
      <c r="CD32" s="133"/>
      <c r="CE32" s="133"/>
      <c r="CF32" s="211"/>
      <c r="CG32" s="212"/>
    </row>
    <row r="33" spans="1:85" ht="14.25" customHeight="1" x14ac:dyDescent="0.25">
      <c r="A33" s="134"/>
      <c r="B33" s="134"/>
      <c r="C33" s="167" t="s">
        <v>73</v>
      </c>
      <c r="D33" s="168"/>
      <c r="E33" s="168"/>
      <c r="F33" s="152"/>
      <c r="G33" s="106" t="s">
        <v>74</v>
      </c>
      <c r="H33" s="106"/>
      <c r="I33" s="106"/>
      <c r="J33" s="106"/>
      <c r="K33" s="106" t="s">
        <v>75</v>
      </c>
      <c r="L33" s="106"/>
      <c r="M33" s="106"/>
      <c r="N33" s="106"/>
      <c r="O33" s="106"/>
      <c r="P33" s="167" t="s">
        <v>76</v>
      </c>
      <c r="Q33" s="168"/>
      <c r="R33" s="168"/>
      <c r="S33" s="152"/>
      <c r="T33" s="167" t="s">
        <v>77</v>
      </c>
      <c r="U33" s="168"/>
      <c r="V33" s="168"/>
      <c r="W33" s="168"/>
      <c r="X33" s="152"/>
      <c r="Y33" s="167" t="s">
        <v>78</v>
      </c>
      <c r="Z33" s="168"/>
      <c r="AA33" s="168"/>
      <c r="AB33" s="152"/>
      <c r="AC33" s="167" t="s">
        <v>79</v>
      </c>
      <c r="AD33" s="168"/>
      <c r="AE33" s="168"/>
      <c r="AF33" s="152"/>
      <c r="AG33" s="167" t="s">
        <v>80</v>
      </c>
      <c r="AH33" s="168"/>
      <c r="AI33" s="168"/>
      <c r="AJ33" s="152"/>
      <c r="AK33" s="167" t="s">
        <v>81</v>
      </c>
      <c r="AL33" s="168"/>
      <c r="AM33" s="168"/>
      <c r="AN33" s="168"/>
      <c r="AO33" s="152"/>
      <c r="AP33" s="167" t="s">
        <v>82</v>
      </c>
      <c r="AQ33" s="168"/>
      <c r="AR33" s="168"/>
      <c r="AS33" s="152"/>
      <c r="AT33" s="167" t="s">
        <v>83</v>
      </c>
      <c r="AU33" s="168"/>
      <c r="AV33" s="168"/>
      <c r="AW33" s="168"/>
      <c r="AX33" s="152"/>
      <c r="AY33" s="167" t="s">
        <v>84</v>
      </c>
      <c r="AZ33" s="168"/>
      <c r="BA33" s="168"/>
      <c r="BB33" s="152"/>
      <c r="BC33" s="237"/>
      <c r="BD33" s="212"/>
      <c r="BE33" s="135"/>
      <c r="BF33" s="135"/>
      <c r="BG33" s="218"/>
      <c r="BH33" s="220"/>
      <c r="BI33" s="218"/>
      <c r="BJ33" s="220"/>
      <c r="BK33" s="134"/>
      <c r="BL33" s="134"/>
      <c r="BM33" s="237"/>
      <c r="BN33" s="212"/>
      <c r="BO33" s="133"/>
      <c r="BP33" s="133"/>
      <c r="BQ33" s="211"/>
      <c r="BR33" s="212"/>
      <c r="BT33" s="218"/>
      <c r="BU33" s="219"/>
      <c r="BV33" s="220"/>
      <c r="BW33" s="218"/>
      <c r="BX33" s="220"/>
      <c r="BY33" s="227"/>
      <c r="BZ33" s="228"/>
      <c r="CA33" s="229"/>
      <c r="CB33" s="237"/>
      <c r="CC33" s="212"/>
      <c r="CD33" s="133"/>
      <c r="CE33" s="133"/>
      <c r="CF33" s="211"/>
      <c r="CG33" s="212"/>
    </row>
    <row r="34" spans="1:85" ht="14.25" customHeight="1" x14ac:dyDescent="0.25">
      <c r="A34" s="134"/>
      <c r="B34" s="134"/>
      <c r="C34" s="72">
        <v>1</v>
      </c>
      <c r="D34" s="72">
        <v>2</v>
      </c>
      <c r="E34" s="72">
        <v>3</v>
      </c>
      <c r="F34" s="72">
        <v>4</v>
      </c>
      <c r="G34" s="72">
        <v>5</v>
      </c>
      <c r="H34" s="72">
        <v>6</v>
      </c>
      <c r="I34" s="72">
        <v>7</v>
      </c>
      <c r="J34" s="72">
        <v>8</v>
      </c>
      <c r="K34" s="72">
        <v>9</v>
      </c>
      <c r="L34" s="72">
        <v>10</v>
      </c>
      <c r="M34" s="72">
        <v>11</v>
      </c>
      <c r="N34" s="72">
        <v>12</v>
      </c>
      <c r="O34" s="72">
        <v>13</v>
      </c>
      <c r="P34" s="72">
        <v>14</v>
      </c>
      <c r="Q34" s="72">
        <v>15</v>
      </c>
      <c r="R34" s="72">
        <v>16</v>
      </c>
      <c r="S34" s="72">
        <v>17</v>
      </c>
      <c r="T34" s="72">
        <v>18</v>
      </c>
      <c r="U34" s="72">
        <v>19</v>
      </c>
      <c r="V34" s="72">
        <v>20</v>
      </c>
      <c r="W34" s="72">
        <v>21</v>
      </c>
      <c r="X34" s="72">
        <v>22</v>
      </c>
      <c r="Y34" s="72">
        <v>23</v>
      </c>
      <c r="Z34" s="72">
        <v>24</v>
      </c>
      <c r="AA34" s="72">
        <v>25</v>
      </c>
      <c r="AB34" s="72">
        <v>26</v>
      </c>
      <c r="AC34" s="72">
        <v>27</v>
      </c>
      <c r="AD34" s="72">
        <v>28</v>
      </c>
      <c r="AE34" s="72">
        <v>29</v>
      </c>
      <c r="AF34" s="72">
        <v>30</v>
      </c>
      <c r="AG34" s="72">
        <v>31</v>
      </c>
      <c r="AH34" s="72">
        <v>32</v>
      </c>
      <c r="AI34" s="72">
        <v>33</v>
      </c>
      <c r="AJ34" s="72">
        <v>34</v>
      </c>
      <c r="AK34" s="72">
        <v>35</v>
      </c>
      <c r="AL34" s="72">
        <v>36</v>
      </c>
      <c r="AM34" s="72">
        <v>37</v>
      </c>
      <c r="AN34" s="72">
        <v>38</v>
      </c>
      <c r="AO34" s="72">
        <v>39</v>
      </c>
      <c r="AP34" s="72">
        <v>40</v>
      </c>
      <c r="AQ34" s="72">
        <v>41</v>
      </c>
      <c r="AR34" s="72">
        <v>42</v>
      </c>
      <c r="AS34" s="72">
        <v>43</v>
      </c>
      <c r="AT34" s="72">
        <v>44</v>
      </c>
      <c r="AU34" s="72">
        <v>45</v>
      </c>
      <c r="AV34" s="72">
        <v>46</v>
      </c>
      <c r="AW34" s="72">
        <v>47</v>
      </c>
      <c r="AX34" s="72">
        <v>48</v>
      </c>
      <c r="AY34" s="72">
        <v>49</v>
      </c>
      <c r="AZ34" s="72">
        <v>50</v>
      </c>
      <c r="BA34" s="72">
        <v>51</v>
      </c>
      <c r="BB34" s="72">
        <v>52</v>
      </c>
      <c r="BC34" s="238"/>
      <c r="BD34" s="214"/>
      <c r="BE34" s="135"/>
      <c r="BF34" s="135"/>
      <c r="BG34" s="221"/>
      <c r="BH34" s="223"/>
      <c r="BI34" s="221"/>
      <c r="BJ34" s="223"/>
      <c r="BK34" s="134"/>
      <c r="BL34" s="134"/>
      <c r="BM34" s="238"/>
      <c r="BN34" s="214"/>
      <c r="BO34" s="133"/>
      <c r="BP34" s="133"/>
      <c r="BQ34" s="213"/>
      <c r="BR34" s="214"/>
      <c r="BT34" s="221"/>
      <c r="BU34" s="222"/>
      <c r="BV34" s="223"/>
      <c r="BW34" s="221"/>
      <c r="BX34" s="223"/>
      <c r="BY34" s="230"/>
      <c r="BZ34" s="231"/>
      <c r="CA34" s="232"/>
      <c r="CB34" s="238"/>
      <c r="CC34" s="214"/>
      <c r="CD34" s="133"/>
      <c r="CE34" s="133"/>
      <c r="CF34" s="213"/>
      <c r="CG34" s="214"/>
    </row>
    <row r="35" spans="1:85" ht="14.25" customHeight="1" x14ac:dyDescent="0.25">
      <c r="A35" s="106" t="s">
        <v>0</v>
      </c>
      <c r="B35" s="106"/>
      <c r="C35" s="72" t="s">
        <v>106</v>
      </c>
      <c r="D35" s="72"/>
      <c r="E35" s="72"/>
      <c r="F35" s="72"/>
      <c r="G35" s="72"/>
      <c r="H35" s="72"/>
      <c r="I35" s="72"/>
      <c r="J35" s="72"/>
      <c r="K35" s="72"/>
      <c r="L35" s="72"/>
      <c r="M35" s="72"/>
      <c r="N35" s="72"/>
      <c r="O35" s="72"/>
      <c r="P35" s="72"/>
      <c r="Q35" s="72"/>
      <c r="R35" s="72"/>
      <c r="S35" s="72" t="s">
        <v>2</v>
      </c>
      <c r="T35" s="72" t="s">
        <v>2</v>
      </c>
      <c r="U35" s="72" t="s">
        <v>1</v>
      </c>
      <c r="V35" s="72" t="s">
        <v>1</v>
      </c>
      <c r="W35" s="72" t="s">
        <v>106</v>
      </c>
      <c r="X35" s="72" t="s">
        <v>0</v>
      </c>
      <c r="Y35" s="72" t="s">
        <v>0</v>
      </c>
      <c r="Z35" s="72" t="s">
        <v>0</v>
      </c>
      <c r="AA35" s="72" t="s">
        <v>0</v>
      </c>
      <c r="AB35" s="72" t="s">
        <v>0</v>
      </c>
      <c r="AC35" s="72"/>
      <c r="AD35" s="72"/>
      <c r="AE35" s="72"/>
      <c r="AF35" s="72"/>
      <c r="AG35" s="72"/>
      <c r="AH35" s="72"/>
      <c r="AI35" s="72"/>
      <c r="AJ35" s="72"/>
      <c r="AK35" s="72"/>
      <c r="AL35" s="72"/>
      <c r="AM35" s="72"/>
      <c r="AN35" s="72"/>
      <c r="AO35" s="72"/>
      <c r="AP35" s="72"/>
      <c r="AQ35" s="72"/>
      <c r="AR35" s="72" t="s">
        <v>1</v>
      </c>
      <c r="AS35" s="72" t="s">
        <v>1</v>
      </c>
      <c r="AT35" s="72" t="s">
        <v>2</v>
      </c>
      <c r="AU35" s="72" t="s">
        <v>2</v>
      </c>
      <c r="AV35" s="72" t="s">
        <v>2</v>
      </c>
      <c r="AW35" s="72" t="s">
        <v>2</v>
      </c>
      <c r="AX35" s="72" t="s">
        <v>2</v>
      </c>
      <c r="AY35" s="72" t="s">
        <v>2</v>
      </c>
      <c r="AZ35" s="72" t="s">
        <v>2</v>
      </c>
      <c r="BA35" s="72" t="s">
        <v>2</v>
      </c>
      <c r="BB35" s="72" t="s">
        <v>2</v>
      </c>
      <c r="BC35" s="167">
        <f>SUM(BE35:BN35)</f>
        <v>41</v>
      </c>
      <c r="BD35" s="152"/>
      <c r="BE35" s="106">
        <v>30</v>
      </c>
      <c r="BF35" s="106"/>
      <c r="BG35" s="167">
        <v>5</v>
      </c>
      <c r="BH35" s="152"/>
      <c r="BI35" s="167"/>
      <c r="BJ35" s="152"/>
      <c r="BK35" s="168">
        <v>4</v>
      </c>
      <c r="BL35" s="152"/>
      <c r="BM35" s="167">
        <v>2</v>
      </c>
      <c r="BN35" s="152"/>
      <c r="BO35" s="167">
        <v>11</v>
      </c>
      <c r="BP35" s="152"/>
      <c r="BQ35" s="106">
        <f>BO35+BC35</f>
        <v>52</v>
      </c>
      <c r="BR35" s="106"/>
    </row>
    <row r="36" spans="1:85" ht="14.25" customHeight="1" x14ac:dyDescent="0.25">
      <c r="A36" s="106" t="s">
        <v>3</v>
      </c>
      <c r="B36" s="106"/>
      <c r="C36" s="72" t="s">
        <v>106</v>
      </c>
      <c r="D36" s="72"/>
      <c r="E36" s="72"/>
      <c r="F36" s="72"/>
      <c r="G36" s="72"/>
      <c r="H36" s="72"/>
      <c r="I36" s="72"/>
      <c r="J36" s="72"/>
      <c r="K36" s="72"/>
      <c r="L36" s="72"/>
      <c r="M36" s="72"/>
      <c r="N36" s="72"/>
      <c r="O36" s="72"/>
      <c r="P36" s="72"/>
      <c r="Q36" s="72"/>
      <c r="R36" s="72"/>
      <c r="S36" s="72" t="s">
        <v>2</v>
      </c>
      <c r="T36" s="72" t="s">
        <v>2</v>
      </c>
      <c r="U36" s="72" t="s">
        <v>1</v>
      </c>
      <c r="V36" s="72" t="s">
        <v>1</v>
      </c>
      <c r="W36" s="72" t="s">
        <v>106</v>
      </c>
      <c r="X36" s="72" t="s">
        <v>22</v>
      </c>
      <c r="Y36" s="72" t="s">
        <v>22</v>
      </c>
      <c r="Z36" s="72" t="s">
        <v>22</v>
      </c>
      <c r="AA36" s="72" t="s">
        <v>22</v>
      </c>
      <c r="AB36" s="72" t="s">
        <v>22</v>
      </c>
      <c r="AC36" s="72"/>
      <c r="AD36" s="72"/>
      <c r="AE36" s="72"/>
      <c r="AF36" s="72"/>
      <c r="AG36" s="72"/>
      <c r="AH36" s="72"/>
      <c r="AI36" s="72"/>
      <c r="AJ36" s="72"/>
      <c r="AK36" s="72"/>
      <c r="AL36" s="72"/>
      <c r="AM36" s="72"/>
      <c r="AN36" s="72"/>
      <c r="AO36" s="72"/>
      <c r="AP36" s="72"/>
      <c r="AQ36" s="72"/>
      <c r="AR36" s="72" t="s">
        <v>1</v>
      </c>
      <c r="AS36" s="72" t="s">
        <v>102</v>
      </c>
      <c r="AT36" s="72" t="s">
        <v>2</v>
      </c>
      <c r="AU36" s="72" t="s">
        <v>2</v>
      </c>
      <c r="AV36" s="72" t="s">
        <v>2</v>
      </c>
      <c r="AW36" s="72" t="s">
        <v>2</v>
      </c>
      <c r="AX36" s="72" t="s">
        <v>2</v>
      </c>
      <c r="AY36" s="72"/>
      <c r="AZ36" s="72"/>
      <c r="BA36" s="72"/>
      <c r="BB36" s="72"/>
      <c r="BC36" s="167">
        <f>SUM(BE36:BN36)</f>
        <v>41</v>
      </c>
      <c r="BD36" s="152"/>
      <c r="BE36" s="106">
        <v>30</v>
      </c>
      <c r="BF36" s="106"/>
      <c r="BG36" s="167"/>
      <c r="BH36" s="152"/>
      <c r="BI36" s="167">
        <v>5</v>
      </c>
      <c r="BJ36" s="152"/>
      <c r="BK36" s="168">
        <v>4</v>
      </c>
      <c r="BL36" s="152"/>
      <c r="BM36" s="167">
        <v>2</v>
      </c>
      <c r="BN36" s="152"/>
      <c r="BO36" s="167">
        <v>7</v>
      </c>
      <c r="BP36" s="152"/>
      <c r="BQ36" s="106">
        <f>BO36+BC36</f>
        <v>48</v>
      </c>
      <c r="BR36" s="106"/>
    </row>
    <row r="37" spans="1:85" ht="14.25" customHeight="1" x14ac:dyDescent="0.25">
      <c r="A37" s="169" t="s">
        <v>4</v>
      </c>
      <c r="B37" s="169"/>
      <c r="C37" s="169"/>
      <c r="D37" s="169"/>
      <c r="E37" s="169"/>
      <c r="F37" s="169"/>
      <c r="G37" s="169"/>
      <c r="H37" s="169"/>
      <c r="I37" s="169"/>
      <c r="J37" s="169"/>
      <c r="K37" s="169"/>
      <c r="L37" s="169"/>
      <c r="M37" s="169"/>
      <c r="N37" s="169"/>
      <c r="O37" s="169"/>
      <c r="P37" s="169"/>
      <c r="Q37" s="169"/>
      <c r="R37" s="169"/>
      <c r="S37" s="169"/>
      <c r="T37" s="169"/>
      <c r="U37" s="169"/>
      <c r="V37" s="169"/>
      <c r="W37" s="169"/>
      <c r="X37" s="169"/>
      <c r="Y37" s="169"/>
      <c r="Z37" s="169"/>
      <c r="AA37" s="169"/>
      <c r="AB37" s="169"/>
      <c r="AC37" s="169"/>
      <c r="AD37" s="169"/>
      <c r="AE37" s="169"/>
      <c r="AF37" s="169"/>
      <c r="AG37" s="169"/>
      <c r="AH37" s="169"/>
      <c r="AI37" s="169"/>
      <c r="AJ37" s="169"/>
      <c r="AK37" s="169"/>
      <c r="AL37" s="169"/>
      <c r="AM37" s="169"/>
      <c r="AN37" s="169"/>
      <c r="AO37" s="169"/>
      <c r="AP37" s="169"/>
      <c r="AQ37" s="169"/>
      <c r="AR37" s="169"/>
      <c r="AS37" s="169"/>
      <c r="AT37" s="169"/>
      <c r="AU37" s="169"/>
      <c r="AV37" s="169"/>
      <c r="AW37" s="169"/>
      <c r="AX37" s="169"/>
      <c r="AY37" s="169"/>
      <c r="AZ37" s="169"/>
      <c r="BA37" s="169"/>
      <c r="BB37" s="169"/>
      <c r="BC37" s="167">
        <f>SUM(BC35:BD36)</f>
        <v>82</v>
      </c>
      <c r="BD37" s="152"/>
      <c r="BE37" s="106">
        <f>SUM(BE35:BF36)</f>
        <v>60</v>
      </c>
      <c r="BF37" s="106"/>
      <c r="BG37" s="106">
        <f t="shared" ref="BG37" si="0">SUM(BG35:BH36)</f>
        <v>5</v>
      </c>
      <c r="BH37" s="106"/>
      <c r="BI37" s="106">
        <f t="shared" ref="BI37" si="1">SUM(BI35:BJ36)</f>
        <v>5</v>
      </c>
      <c r="BJ37" s="106"/>
      <c r="BK37" s="106">
        <f t="shared" ref="BK37" si="2">SUM(BK35:BL36)</f>
        <v>8</v>
      </c>
      <c r="BL37" s="106"/>
      <c r="BM37" s="106">
        <f t="shared" ref="BM37" si="3">SUM(BM35:BN36)</f>
        <v>4</v>
      </c>
      <c r="BN37" s="106"/>
      <c r="BO37" s="106">
        <f t="shared" ref="BO37" si="4">SUM(BO35:BP36)</f>
        <v>18</v>
      </c>
      <c r="BP37" s="106"/>
      <c r="BQ37" s="106">
        <f>SUM(BQ35:BR36)</f>
        <v>100</v>
      </c>
      <c r="BR37" s="106"/>
    </row>
    <row r="38" spans="1:85" ht="14.25" customHeight="1" x14ac:dyDescent="0.25">
      <c r="A38" s="4"/>
      <c r="B38" s="5"/>
      <c r="C38" s="5"/>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7"/>
      <c r="AF38" s="6"/>
      <c r="AG38" s="6"/>
      <c r="AH38" s="6"/>
      <c r="AI38" s="6"/>
      <c r="AJ38" s="6"/>
      <c r="AK38" s="6"/>
      <c r="AL38" s="6"/>
      <c r="AM38" s="6"/>
      <c r="AN38" s="6"/>
      <c r="AO38" s="6"/>
      <c r="AP38" s="6"/>
      <c r="AQ38" s="8"/>
      <c r="AR38" s="6"/>
      <c r="AS38" s="6"/>
      <c r="AT38" s="6"/>
      <c r="AU38" s="6"/>
      <c r="AV38" s="8"/>
      <c r="AW38" s="6"/>
      <c r="AX38" s="6"/>
      <c r="AY38" s="6"/>
      <c r="AZ38" s="6"/>
      <c r="BA38" s="6"/>
      <c r="BB38" s="6"/>
      <c r="BC38" s="77"/>
      <c r="BD38" s="77"/>
      <c r="BE38" s="77"/>
      <c r="BF38" s="77"/>
      <c r="BG38" s="77"/>
      <c r="BH38" s="77"/>
      <c r="BI38" s="77"/>
      <c r="BJ38" s="77"/>
      <c r="BK38" s="77"/>
      <c r="BL38" s="77"/>
      <c r="BM38" s="77"/>
      <c r="BN38" s="77"/>
      <c r="BO38" s="9"/>
      <c r="BP38" s="9"/>
      <c r="BQ38" s="9"/>
      <c r="BR38" s="8"/>
    </row>
    <row r="39" spans="1:85" ht="14.25" customHeight="1" x14ac:dyDescent="0.25">
      <c r="A39" s="4"/>
      <c r="B39" s="160"/>
      <c r="C39" s="160"/>
      <c r="D39" s="161" t="s">
        <v>96</v>
      </c>
      <c r="E39" s="143"/>
      <c r="F39" s="143"/>
      <c r="G39" s="143"/>
      <c r="H39" s="143"/>
      <c r="I39" s="143"/>
      <c r="J39" s="143"/>
      <c r="K39" s="162" t="s">
        <v>102</v>
      </c>
      <c r="L39" s="162"/>
      <c r="M39" s="162"/>
      <c r="N39" s="162"/>
      <c r="O39" s="163" t="s">
        <v>97</v>
      </c>
      <c r="P39" s="163"/>
      <c r="Q39" s="163"/>
      <c r="R39" s="164"/>
      <c r="S39" s="162" t="s">
        <v>0</v>
      </c>
      <c r="T39" s="162"/>
      <c r="U39" s="162"/>
      <c r="V39" s="165" t="s">
        <v>98</v>
      </c>
      <c r="W39" s="165"/>
      <c r="X39" s="165"/>
      <c r="Y39" s="165"/>
      <c r="Z39" s="165"/>
      <c r="AA39" s="166"/>
      <c r="AB39" s="162" t="s">
        <v>103</v>
      </c>
      <c r="AC39" s="162"/>
      <c r="AD39" s="162"/>
      <c r="AE39" s="7"/>
      <c r="AF39" s="163" t="s">
        <v>99</v>
      </c>
      <c r="AG39" s="163"/>
      <c r="AH39" s="163"/>
      <c r="AI39" s="163"/>
      <c r="AJ39" s="163"/>
      <c r="AK39" s="163"/>
      <c r="AL39" s="163"/>
      <c r="AM39" s="164"/>
      <c r="AN39" s="162" t="s">
        <v>104</v>
      </c>
      <c r="AO39" s="162"/>
      <c r="AP39" s="162"/>
      <c r="AQ39" s="8"/>
      <c r="AR39" s="177" t="s">
        <v>100</v>
      </c>
      <c r="AS39" s="177"/>
      <c r="AT39" s="177"/>
      <c r="AU39" s="177"/>
      <c r="AV39" s="8"/>
      <c r="AW39" s="162" t="s">
        <v>105</v>
      </c>
      <c r="AX39" s="162"/>
      <c r="AY39" s="162"/>
      <c r="AZ39" s="177" t="s">
        <v>101</v>
      </c>
      <c r="BA39" s="177"/>
      <c r="BB39" s="177"/>
      <c r="BC39" s="177"/>
      <c r="BD39" s="138" t="s">
        <v>106</v>
      </c>
      <c r="BE39" s="138"/>
      <c r="BF39" s="138"/>
      <c r="BG39" s="138"/>
      <c r="BH39" s="139" t="s">
        <v>92</v>
      </c>
      <c r="BI39" s="139"/>
      <c r="BJ39" s="139"/>
      <c r="BK39" s="139"/>
      <c r="BL39" s="139"/>
      <c r="BM39" s="139"/>
      <c r="BN39" s="139"/>
      <c r="BO39" s="9"/>
      <c r="BP39" s="9"/>
      <c r="BQ39" s="9"/>
      <c r="BR39" s="8"/>
    </row>
    <row r="40" spans="1:85" ht="14.25" customHeight="1" x14ac:dyDescent="0.25">
      <c r="A40" s="4"/>
      <c r="B40" s="160"/>
      <c r="C40" s="160"/>
      <c r="D40" s="161"/>
      <c r="E40" s="143"/>
      <c r="F40" s="143"/>
      <c r="G40" s="143"/>
      <c r="H40" s="143"/>
      <c r="I40" s="143"/>
      <c r="J40" s="143"/>
      <c r="K40" s="162"/>
      <c r="L40" s="162"/>
      <c r="M40" s="162"/>
      <c r="N40" s="162"/>
      <c r="O40" s="163"/>
      <c r="P40" s="163"/>
      <c r="Q40" s="163"/>
      <c r="R40" s="164"/>
      <c r="S40" s="162"/>
      <c r="T40" s="162"/>
      <c r="U40" s="162"/>
      <c r="V40" s="165"/>
      <c r="W40" s="165"/>
      <c r="X40" s="165"/>
      <c r="Y40" s="165"/>
      <c r="Z40" s="165"/>
      <c r="AA40" s="166"/>
      <c r="AB40" s="162"/>
      <c r="AC40" s="162"/>
      <c r="AD40" s="162"/>
      <c r="AE40" s="7"/>
      <c r="AF40" s="163"/>
      <c r="AG40" s="163"/>
      <c r="AH40" s="163"/>
      <c r="AI40" s="163"/>
      <c r="AJ40" s="163"/>
      <c r="AK40" s="163"/>
      <c r="AL40" s="163"/>
      <c r="AM40" s="164"/>
      <c r="AN40" s="162"/>
      <c r="AO40" s="162"/>
      <c r="AP40" s="162"/>
      <c r="AQ40" s="8"/>
      <c r="AR40" s="177"/>
      <c r="AS40" s="177"/>
      <c r="AT40" s="177"/>
      <c r="AU40" s="177"/>
      <c r="AV40" s="8"/>
      <c r="AW40" s="162"/>
      <c r="AX40" s="162"/>
      <c r="AY40" s="162"/>
      <c r="AZ40" s="177"/>
      <c r="BA40" s="177"/>
      <c r="BB40" s="177"/>
      <c r="BC40" s="177"/>
      <c r="BD40" s="138"/>
      <c r="BE40" s="138"/>
      <c r="BF40" s="138"/>
      <c r="BG40" s="138"/>
      <c r="BH40" s="139"/>
      <c r="BI40" s="139"/>
      <c r="BJ40" s="139"/>
      <c r="BK40" s="139"/>
      <c r="BL40" s="139"/>
      <c r="BM40" s="139"/>
      <c r="BN40" s="139"/>
      <c r="BO40" s="9"/>
      <c r="BP40" s="9"/>
      <c r="BQ40" s="9"/>
      <c r="BR40" s="8"/>
    </row>
    <row r="41" spans="1:85" ht="14.25" customHeight="1" x14ac:dyDescent="0.25">
      <c r="A41" s="4"/>
      <c r="B41" s="160"/>
      <c r="C41" s="160"/>
      <c r="D41" s="161"/>
      <c r="E41" s="143"/>
      <c r="F41" s="143"/>
      <c r="G41" s="143"/>
      <c r="H41" s="143"/>
      <c r="I41" s="143"/>
      <c r="J41" s="143"/>
      <c r="K41" s="162"/>
      <c r="L41" s="162"/>
      <c r="M41" s="162"/>
      <c r="N41" s="162"/>
      <c r="O41" s="163"/>
      <c r="P41" s="163"/>
      <c r="Q41" s="163"/>
      <c r="R41" s="164"/>
      <c r="S41" s="162"/>
      <c r="T41" s="162"/>
      <c r="U41" s="162"/>
      <c r="V41" s="165"/>
      <c r="W41" s="165"/>
      <c r="X41" s="165"/>
      <c r="Y41" s="165"/>
      <c r="Z41" s="165"/>
      <c r="AA41" s="166"/>
      <c r="AB41" s="162"/>
      <c r="AC41" s="162"/>
      <c r="AD41" s="162"/>
      <c r="AE41" s="7"/>
      <c r="AF41" s="163"/>
      <c r="AG41" s="163"/>
      <c r="AH41" s="163"/>
      <c r="AI41" s="163"/>
      <c r="AJ41" s="163"/>
      <c r="AK41" s="163"/>
      <c r="AL41" s="163"/>
      <c r="AM41" s="164"/>
      <c r="AN41" s="162"/>
      <c r="AO41" s="162"/>
      <c r="AP41" s="162"/>
      <c r="AQ41" s="8"/>
      <c r="AR41" s="177"/>
      <c r="AS41" s="177"/>
      <c r="AT41" s="177"/>
      <c r="AU41" s="177"/>
      <c r="AV41" s="8"/>
      <c r="AW41" s="162"/>
      <c r="AX41" s="162"/>
      <c r="AY41" s="162"/>
      <c r="AZ41" s="177"/>
      <c r="BA41" s="177"/>
      <c r="BB41" s="177"/>
      <c r="BC41" s="177"/>
      <c r="BD41" s="138"/>
      <c r="BE41" s="138"/>
      <c r="BF41" s="138"/>
      <c r="BG41" s="138"/>
      <c r="BH41" s="139"/>
      <c r="BI41" s="139"/>
      <c r="BJ41" s="139"/>
      <c r="BK41" s="139"/>
      <c r="BL41" s="139"/>
      <c r="BM41" s="139"/>
      <c r="BN41" s="139"/>
      <c r="BO41" s="9"/>
      <c r="BP41" s="9"/>
      <c r="BQ41" s="9"/>
      <c r="BR41" s="8"/>
    </row>
    <row r="42" spans="1:85" ht="14.25" customHeight="1" x14ac:dyDescent="0.25">
      <c r="A42" s="4"/>
      <c r="B42" s="10"/>
      <c r="C42" s="11"/>
      <c r="D42" s="12"/>
      <c r="E42" s="4"/>
      <c r="F42" s="4"/>
      <c r="G42" s="4"/>
      <c r="H42" s="4"/>
      <c r="I42" s="66"/>
      <c r="J42" s="66"/>
      <c r="K42" s="66"/>
      <c r="L42" s="66"/>
      <c r="M42" s="66"/>
      <c r="N42" s="66"/>
      <c r="O42" s="13"/>
      <c r="P42" s="13"/>
      <c r="Q42" s="13"/>
      <c r="R42" s="13"/>
      <c r="S42" s="66"/>
      <c r="T42" s="66"/>
      <c r="U42" s="66"/>
      <c r="V42" s="66"/>
      <c r="W42" s="66"/>
      <c r="X42" s="66"/>
      <c r="Y42" s="13"/>
      <c r="Z42" s="13"/>
      <c r="AA42" s="13"/>
      <c r="AB42" s="13"/>
      <c r="AC42" s="66"/>
      <c r="AD42" s="66"/>
      <c r="AE42" s="66"/>
      <c r="AF42" s="66"/>
      <c r="AG42" s="66"/>
      <c r="AH42" s="66"/>
      <c r="AI42" s="13"/>
      <c r="AJ42" s="13"/>
      <c r="AK42" s="13"/>
      <c r="AL42" s="13"/>
      <c r="AM42" s="66"/>
      <c r="AN42" s="66"/>
      <c r="AO42" s="66"/>
      <c r="AP42" s="66"/>
      <c r="AQ42" s="66"/>
      <c r="AR42" s="66"/>
      <c r="AS42" s="13"/>
      <c r="AT42" s="13"/>
      <c r="AU42" s="13"/>
      <c r="AV42" s="13"/>
      <c r="AW42" s="66"/>
      <c r="AX42" s="66"/>
      <c r="AY42" s="66"/>
      <c r="AZ42" s="66"/>
      <c r="BA42" s="66"/>
      <c r="BB42" s="66"/>
      <c r="BC42" s="13"/>
      <c r="BD42" s="13"/>
      <c r="BE42" s="13"/>
      <c r="BF42" s="13"/>
      <c r="BG42" s="66"/>
      <c r="BH42" s="66"/>
      <c r="BI42" s="66"/>
      <c r="BJ42" s="66"/>
      <c r="BK42" s="66"/>
      <c r="BL42" s="66"/>
      <c r="BM42" s="73"/>
      <c r="BN42" s="4"/>
      <c r="BO42" s="4"/>
      <c r="BP42" s="4"/>
      <c r="BQ42" s="4"/>
      <c r="BR42" s="4"/>
    </row>
    <row r="43" spans="1:85" ht="14.25" customHeight="1" x14ac:dyDescent="0.25">
      <c r="A43" s="4"/>
      <c r="B43" s="10"/>
      <c r="C43" s="11"/>
      <c r="D43" s="12"/>
      <c r="E43" s="4"/>
      <c r="F43" s="4"/>
      <c r="G43" s="4"/>
      <c r="H43" s="4"/>
      <c r="I43" s="66"/>
      <c r="J43" s="66"/>
      <c r="K43" s="66"/>
      <c r="L43" s="66"/>
      <c r="M43" s="66"/>
      <c r="N43" s="66"/>
      <c r="O43" s="13"/>
      <c r="P43" s="13"/>
      <c r="Q43" s="13"/>
      <c r="R43" s="13"/>
      <c r="S43" s="66"/>
      <c r="T43" s="66"/>
      <c r="U43" s="66"/>
      <c r="V43" s="66"/>
      <c r="W43" s="66"/>
      <c r="X43" s="66"/>
      <c r="Y43" s="13"/>
      <c r="Z43" s="13"/>
      <c r="AA43" s="13"/>
      <c r="AB43" s="13"/>
      <c r="AC43" s="66"/>
      <c r="AD43" s="66"/>
      <c r="AE43" s="66"/>
      <c r="AF43" s="66"/>
      <c r="AG43" s="66"/>
      <c r="AH43" s="66"/>
      <c r="AI43" s="13"/>
      <c r="AJ43" s="13"/>
      <c r="AK43" s="13"/>
      <c r="AL43" s="13"/>
      <c r="AM43" s="66"/>
      <c r="AN43" s="66"/>
      <c r="AO43" s="66"/>
      <c r="AP43" s="66"/>
      <c r="AQ43" s="66"/>
      <c r="AR43" s="66"/>
      <c r="AS43" s="13"/>
      <c r="AT43" s="13"/>
      <c r="AU43" s="13"/>
      <c r="AV43" s="13"/>
      <c r="AW43" s="66"/>
      <c r="AX43" s="66"/>
      <c r="AY43" s="66"/>
      <c r="AZ43" s="66"/>
      <c r="BA43" s="66"/>
      <c r="BB43" s="66"/>
      <c r="BC43" s="13"/>
      <c r="BD43" s="13"/>
      <c r="BE43" s="13"/>
      <c r="BF43" s="13"/>
      <c r="BG43" s="66"/>
      <c r="BH43" s="66"/>
      <c r="BI43" s="66"/>
      <c r="BJ43" s="66"/>
      <c r="BK43" s="66"/>
      <c r="BL43" s="66"/>
      <c r="BM43" s="73"/>
      <c r="BN43" s="4"/>
      <c r="BO43" s="4"/>
      <c r="BP43" s="4"/>
      <c r="BQ43" s="4"/>
      <c r="BR43" s="4"/>
    </row>
    <row r="44" spans="1:85" ht="14.25" customHeight="1" x14ac:dyDescent="0.25">
      <c r="A44" s="153" t="s">
        <v>66</v>
      </c>
      <c r="B44" s="153"/>
      <c r="C44" s="153"/>
      <c r="D44" s="153"/>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3"/>
      <c r="BK44" s="153"/>
      <c r="BL44" s="153"/>
      <c r="BM44" s="153"/>
      <c r="BN44" s="153"/>
      <c r="BO44" s="153"/>
      <c r="BP44" s="153"/>
      <c r="BQ44" s="153"/>
      <c r="BR44" s="153"/>
    </row>
    <row r="45" spans="1:85" ht="14.25" customHeight="1" x14ac:dyDescent="0.25">
      <c r="A45" s="154"/>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4"/>
      <c r="AX45" s="154"/>
      <c r="AY45" s="154"/>
      <c r="AZ45" s="154"/>
      <c r="BA45" s="154"/>
      <c r="BB45" s="154"/>
      <c r="BC45" s="154"/>
      <c r="BD45" s="154"/>
      <c r="BE45" s="154"/>
      <c r="BF45" s="154"/>
      <c r="BG45" s="154"/>
      <c r="BH45" s="154"/>
      <c r="BI45" s="154"/>
      <c r="BJ45" s="154"/>
      <c r="BK45" s="154"/>
      <c r="BL45" s="154"/>
      <c r="BM45" s="154"/>
      <c r="BN45" s="154"/>
      <c r="BO45" s="154"/>
      <c r="BP45" s="154"/>
      <c r="BQ45" s="154"/>
      <c r="BR45" s="154"/>
    </row>
    <row r="46" spans="1:85" ht="14.25" customHeight="1" x14ac:dyDescent="0.25">
      <c r="A46" s="106" t="s">
        <v>108</v>
      </c>
      <c r="B46" s="133" t="s">
        <v>107</v>
      </c>
      <c r="C46" s="134"/>
      <c r="D46" s="132" t="s">
        <v>126</v>
      </c>
      <c r="E46" s="132"/>
      <c r="F46" s="132"/>
      <c r="G46" s="132"/>
      <c r="H46" s="132"/>
      <c r="I46" s="132"/>
      <c r="J46" s="132"/>
      <c r="K46" s="132"/>
      <c r="L46" s="132"/>
      <c r="M46" s="132"/>
      <c r="N46" s="132"/>
      <c r="O46" s="155"/>
      <c r="P46" s="156" t="s">
        <v>113</v>
      </c>
      <c r="Q46" s="132"/>
      <c r="R46" s="132"/>
      <c r="S46" s="132"/>
      <c r="T46" s="132"/>
      <c r="U46" s="132"/>
      <c r="V46" s="132"/>
      <c r="W46" s="132"/>
      <c r="X46" s="132"/>
      <c r="Y46" s="132"/>
      <c r="Z46" s="132"/>
      <c r="AA46" s="132"/>
      <c r="AB46" s="132"/>
      <c r="AC46" s="132"/>
      <c r="AD46" s="132"/>
      <c r="AE46" s="132"/>
      <c r="AF46" s="132"/>
      <c r="AG46" s="132"/>
      <c r="AH46" s="132"/>
      <c r="AI46" s="132"/>
      <c r="AJ46" s="132"/>
      <c r="AK46" s="132"/>
      <c r="AL46" s="132"/>
      <c r="AM46" s="132"/>
      <c r="AN46" s="132"/>
      <c r="AO46" s="132"/>
      <c r="AP46" s="155"/>
      <c r="AQ46" s="157" t="s">
        <v>179</v>
      </c>
      <c r="AR46" s="132"/>
      <c r="AS46" s="132"/>
      <c r="AT46" s="132"/>
      <c r="AU46" s="132"/>
      <c r="AV46" s="132"/>
      <c r="AW46" s="132"/>
      <c r="AX46" s="132"/>
      <c r="AY46" s="132"/>
      <c r="AZ46" s="132"/>
      <c r="BA46" s="132"/>
      <c r="BB46" s="155"/>
      <c r="BC46" s="157" t="s">
        <v>180</v>
      </c>
      <c r="BD46" s="132"/>
      <c r="BE46" s="132"/>
      <c r="BF46" s="132"/>
      <c r="BG46" s="132"/>
      <c r="BH46" s="132"/>
      <c r="BI46" s="132"/>
      <c r="BJ46" s="132"/>
      <c r="BK46" s="132"/>
      <c r="BL46" s="132"/>
      <c r="BM46" s="132"/>
      <c r="BN46" s="155"/>
      <c r="BO46" s="158" t="s">
        <v>123</v>
      </c>
      <c r="BP46" s="134"/>
      <c r="BQ46" s="134"/>
      <c r="BR46" s="134"/>
    </row>
    <row r="47" spans="1:85" ht="14.25" customHeight="1" x14ac:dyDescent="0.25">
      <c r="A47" s="106"/>
      <c r="B47" s="134"/>
      <c r="C47" s="134"/>
      <c r="D47" s="132"/>
      <c r="E47" s="132"/>
      <c r="F47" s="132"/>
      <c r="G47" s="132"/>
      <c r="H47" s="132"/>
      <c r="I47" s="132"/>
      <c r="J47" s="132"/>
      <c r="K47" s="132"/>
      <c r="L47" s="132"/>
      <c r="M47" s="132"/>
      <c r="N47" s="132"/>
      <c r="O47" s="155"/>
      <c r="P47" s="156"/>
      <c r="Q47" s="132"/>
      <c r="R47" s="132"/>
      <c r="S47" s="132"/>
      <c r="T47" s="132"/>
      <c r="U47" s="132"/>
      <c r="V47" s="132"/>
      <c r="W47" s="132"/>
      <c r="X47" s="132"/>
      <c r="Y47" s="132"/>
      <c r="Z47" s="132"/>
      <c r="AA47" s="132"/>
      <c r="AB47" s="132"/>
      <c r="AC47" s="132"/>
      <c r="AD47" s="132"/>
      <c r="AE47" s="132"/>
      <c r="AF47" s="132"/>
      <c r="AG47" s="132"/>
      <c r="AH47" s="132"/>
      <c r="AI47" s="132"/>
      <c r="AJ47" s="132"/>
      <c r="AK47" s="132"/>
      <c r="AL47" s="132"/>
      <c r="AM47" s="132"/>
      <c r="AN47" s="132"/>
      <c r="AO47" s="132"/>
      <c r="AP47" s="155"/>
      <c r="AQ47" s="157"/>
      <c r="AR47" s="132"/>
      <c r="AS47" s="132"/>
      <c r="AT47" s="132"/>
      <c r="AU47" s="132"/>
      <c r="AV47" s="132"/>
      <c r="AW47" s="132"/>
      <c r="AX47" s="132"/>
      <c r="AY47" s="132"/>
      <c r="AZ47" s="132"/>
      <c r="BA47" s="132"/>
      <c r="BB47" s="155"/>
      <c r="BC47" s="157"/>
      <c r="BD47" s="132"/>
      <c r="BE47" s="132"/>
      <c r="BF47" s="132"/>
      <c r="BG47" s="132"/>
      <c r="BH47" s="132"/>
      <c r="BI47" s="132"/>
      <c r="BJ47" s="132"/>
      <c r="BK47" s="132"/>
      <c r="BL47" s="132"/>
      <c r="BM47" s="132"/>
      <c r="BN47" s="155"/>
      <c r="BO47" s="158"/>
      <c r="BP47" s="134"/>
      <c r="BQ47" s="134"/>
      <c r="BR47" s="134"/>
      <c r="BS47" s="71"/>
      <c r="BT47" s="71"/>
      <c r="BU47" s="71"/>
      <c r="BV47" s="71"/>
      <c r="BW47" s="71"/>
      <c r="BX47" s="71"/>
      <c r="BY47" s="71"/>
      <c r="BZ47" s="71"/>
    </row>
    <row r="48" spans="1:85" ht="14.25" customHeight="1" x14ac:dyDescent="0.25">
      <c r="A48" s="106"/>
      <c r="B48" s="134"/>
      <c r="C48" s="134"/>
      <c r="D48" s="132"/>
      <c r="E48" s="132"/>
      <c r="F48" s="132"/>
      <c r="G48" s="132"/>
      <c r="H48" s="132"/>
      <c r="I48" s="132"/>
      <c r="J48" s="132"/>
      <c r="K48" s="132"/>
      <c r="L48" s="132"/>
      <c r="M48" s="132"/>
      <c r="N48" s="132"/>
      <c r="O48" s="155"/>
      <c r="P48" s="157" t="s">
        <v>109</v>
      </c>
      <c r="Q48" s="132"/>
      <c r="R48" s="132"/>
      <c r="S48" s="132"/>
      <c r="T48" s="132"/>
      <c r="U48" s="155"/>
      <c r="V48" s="156" t="s">
        <v>114</v>
      </c>
      <c r="W48" s="132"/>
      <c r="X48" s="132"/>
      <c r="Y48" s="132"/>
      <c r="Z48" s="132"/>
      <c r="AA48" s="132"/>
      <c r="AB48" s="132"/>
      <c r="AC48" s="132"/>
      <c r="AD48" s="132"/>
      <c r="AE48" s="132"/>
      <c r="AF48" s="132"/>
      <c r="AG48" s="132"/>
      <c r="AH48" s="132"/>
      <c r="AI48" s="132"/>
      <c r="AJ48" s="132"/>
      <c r="AK48" s="132"/>
      <c r="AL48" s="132"/>
      <c r="AM48" s="132"/>
      <c r="AN48" s="135" t="s">
        <v>120</v>
      </c>
      <c r="AO48" s="135"/>
      <c r="AP48" s="159"/>
      <c r="AQ48" s="144" t="s">
        <v>124</v>
      </c>
      <c r="AR48" s="106"/>
      <c r="AS48" s="106"/>
      <c r="AT48" s="106"/>
      <c r="AU48" s="106"/>
      <c r="AV48" s="106"/>
      <c r="AW48" s="106" t="s">
        <v>125</v>
      </c>
      <c r="AX48" s="106"/>
      <c r="AY48" s="106"/>
      <c r="AZ48" s="106"/>
      <c r="BA48" s="106"/>
      <c r="BB48" s="147"/>
      <c r="BC48" s="144" t="s">
        <v>124</v>
      </c>
      <c r="BD48" s="106"/>
      <c r="BE48" s="106"/>
      <c r="BF48" s="106"/>
      <c r="BG48" s="106"/>
      <c r="BH48" s="106"/>
      <c r="BI48" s="106" t="s">
        <v>125</v>
      </c>
      <c r="BJ48" s="106"/>
      <c r="BK48" s="106"/>
      <c r="BL48" s="106"/>
      <c r="BM48" s="106"/>
      <c r="BN48" s="147"/>
      <c r="BO48" s="158"/>
      <c r="BP48" s="134"/>
      <c r="BQ48" s="134"/>
      <c r="BR48" s="134"/>
      <c r="BS48" s="71"/>
      <c r="BT48" s="71"/>
      <c r="BU48" s="71"/>
      <c r="BV48" s="71"/>
      <c r="BW48" s="71"/>
      <c r="BX48" s="71"/>
      <c r="BY48" s="71"/>
      <c r="BZ48" s="71"/>
    </row>
    <row r="49" spans="1:78" ht="14.25" customHeight="1" x14ac:dyDescent="0.25">
      <c r="A49" s="106"/>
      <c r="B49" s="134"/>
      <c r="C49" s="134"/>
      <c r="D49" s="132"/>
      <c r="E49" s="132"/>
      <c r="F49" s="132"/>
      <c r="G49" s="132"/>
      <c r="H49" s="132"/>
      <c r="I49" s="132"/>
      <c r="J49" s="132"/>
      <c r="K49" s="132"/>
      <c r="L49" s="132"/>
      <c r="M49" s="132"/>
      <c r="N49" s="132"/>
      <c r="O49" s="155"/>
      <c r="P49" s="157"/>
      <c r="Q49" s="132"/>
      <c r="R49" s="132"/>
      <c r="S49" s="132"/>
      <c r="T49" s="132"/>
      <c r="U49" s="155"/>
      <c r="V49" s="156"/>
      <c r="W49" s="132"/>
      <c r="X49" s="132"/>
      <c r="Y49" s="132"/>
      <c r="Z49" s="132"/>
      <c r="AA49" s="132"/>
      <c r="AB49" s="132"/>
      <c r="AC49" s="132"/>
      <c r="AD49" s="132"/>
      <c r="AE49" s="132"/>
      <c r="AF49" s="132"/>
      <c r="AG49" s="132"/>
      <c r="AH49" s="132"/>
      <c r="AI49" s="132"/>
      <c r="AJ49" s="132"/>
      <c r="AK49" s="132"/>
      <c r="AL49" s="132"/>
      <c r="AM49" s="132"/>
      <c r="AN49" s="135"/>
      <c r="AO49" s="135"/>
      <c r="AP49" s="159"/>
      <c r="AQ49" s="144"/>
      <c r="AR49" s="106"/>
      <c r="AS49" s="106"/>
      <c r="AT49" s="106"/>
      <c r="AU49" s="106"/>
      <c r="AV49" s="106"/>
      <c r="AW49" s="106"/>
      <c r="AX49" s="106"/>
      <c r="AY49" s="106"/>
      <c r="AZ49" s="106"/>
      <c r="BA49" s="106"/>
      <c r="BB49" s="147"/>
      <c r="BC49" s="144"/>
      <c r="BD49" s="106"/>
      <c r="BE49" s="106"/>
      <c r="BF49" s="106"/>
      <c r="BG49" s="106"/>
      <c r="BH49" s="106"/>
      <c r="BI49" s="106"/>
      <c r="BJ49" s="106"/>
      <c r="BK49" s="106"/>
      <c r="BL49" s="106"/>
      <c r="BM49" s="106"/>
      <c r="BN49" s="147"/>
      <c r="BO49" s="158"/>
      <c r="BP49" s="134"/>
      <c r="BQ49" s="134"/>
      <c r="BR49" s="134"/>
      <c r="BS49" s="71"/>
      <c r="BT49" s="71"/>
      <c r="BU49" s="71"/>
      <c r="BV49" s="71"/>
      <c r="BW49" s="71"/>
      <c r="BX49" s="71"/>
      <c r="BY49" s="71"/>
      <c r="BZ49" s="71"/>
    </row>
    <row r="50" spans="1:78" ht="14.25" customHeight="1" x14ac:dyDescent="0.25">
      <c r="A50" s="106"/>
      <c r="B50" s="134"/>
      <c r="C50" s="134"/>
      <c r="D50" s="132"/>
      <c r="E50" s="132"/>
      <c r="F50" s="132"/>
      <c r="G50" s="132"/>
      <c r="H50" s="132"/>
      <c r="I50" s="132"/>
      <c r="J50" s="132"/>
      <c r="K50" s="132"/>
      <c r="L50" s="132"/>
      <c r="M50" s="132"/>
      <c r="N50" s="132"/>
      <c r="O50" s="155"/>
      <c r="P50" s="157"/>
      <c r="Q50" s="132"/>
      <c r="R50" s="132"/>
      <c r="S50" s="132"/>
      <c r="T50" s="132"/>
      <c r="U50" s="155"/>
      <c r="V50" s="176" t="s">
        <v>87</v>
      </c>
      <c r="W50" s="135"/>
      <c r="X50" s="135"/>
      <c r="Y50" s="135" t="s">
        <v>115</v>
      </c>
      <c r="Z50" s="135"/>
      <c r="AA50" s="135"/>
      <c r="AB50" s="135" t="s">
        <v>116</v>
      </c>
      <c r="AC50" s="135"/>
      <c r="AD50" s="135"/>
      <c r="AE50" s="135" t="s">
        <v>117</v>
      </c>
      <c r="AF50" s="135"/>
      <c r="AG50" s="135"/>
      <c r="AH50" s="135" t="s">
        <v>118</v>
      </c>
      <c r="AI50" s="135"/>
      <c r="AJ50" s="135"/>
      <c r="AK50" s="135" t="s">
        <v>119</v>
      </c>
      <c r="AL50" s="135"/>
      <c r="AM50" s="135"/>
      <c r="AN50" s="135"/>
      <c r="AO50" s="135"/>
      <c r="AP50" s="159"/>
      <c r="AQ50" s="144">
        <v>1</v>
      </c>
      <c r="AR50" s="106"/>
      <c r="AS50" s="106"/>
      <c r="AT50" s="106">
        <v>2</v>
      </c>
      <c r="AU50" s="106"/>
      <c r="AV50" s="106"/>
      <c r="AW50" s="106">
        <v>3</v>
      </c>
      <c r="AX50" s="106"/>
      <c r="AY50" s="106"/>
      <c r="AZ50" s="106">
        <v>4</v>
      </c>
      <c r="BA50" s="106"/>
      <c r="BB50" s="147"/>
      <c r="BC50" s="144">
        <v>1</v>
      </c>
      <c r="BD50" s="106"/>
      <c r="BE50" s="106"/>
      <c r="BF50" s="106">
        <v>2</v>
      </c>
      <c r="BG50" s="106"/>
      <c r="BH50" s="106"/>
      <c r="BI50" s="106">
        <v>3</v>
      </c>
      <c r="BJ50" s="106"/>
      <c r="BK50" s="106"/>
      <c r="BL50" s="106">
        <v>4</v>
      </c>
      <c r="BM50" s="106"/>
      <c r="BN50" s="147"/>
      <c r="BO50" s="158"/>
      <c r="BP50" s="134"/>
      <c r="BQ50" s="134"/>
      <c r="BR50" s="134"/>
      <c r="BS50" s="71"/>
      <c r="BT50" s="71"/>
      <c r="BU50" s="71"/>
      <c r="BV50" s="71"/>
      <c r="BW50" s="71"/>
      <c r="BX50" s="71"/>
      <c r="BY50" s="71"/>
      <c r="BZ50" s="71"/>
    </row>
    <row r="51" spans="1:78" ht="14.25" customHeight="1" x14ac:dyDescent="0.25">
      <c r="A51" s="106"/>
      <c r="B51" s="134"/>
      <c r="C51" s="134"/>
      <c r="D51" s="132"/>
      <c r="E51" s="132"/>
      <c r="F51" s="132"/>
      <c r="G51" s="132"/>
      <c r="H51" s="132"/>
      <c r="I51" s="132"/>
      <c r="J51" s="132"/>
      <c r="K51" s="132"/>
      <c r="L51" s="132"/>
      <c r="M51" s="132"/>
      <c r="N51" s="132"/>
      <c r="O51" s="155"/>
      <c r="P51" s="157"/>
      <c r="Q51" s="132"/>
      <c r="R51" s="132"/>
      <c r="S51" s="132"/>
      <c r="T51" s="132"/>
      <c r="U51" s="155"/>
      <c r="V51" s="176"/>
      <c r="W51" s="135"/>
      <c r="X51" s="135"/>
      <c r="Y51" s="135"/>
      <c r="Z51" s="135"/>
      <c r="AA51" s="135"/>
      <c r="AB51" s="135"/>
      <c r="AC51" s="135"/>
      <c r="AD51" s="135"/>
      <c r="AE51" s="135"/>
      <c r="AF51" s="135"/>
      <c r="AG51" s="135"/>
      <c r="AH51" s="135"/>
      <c r="AI51" s="135"/>
      <c r="AJ51" s="135"/>
      <c r="AK51" s="135"/>
      <c r="AL51" s="135"/>
      <c r="AM51" s="135"/>
      <c r="AN51" s="135"/>
      <c r="AO51" s="135"/>
      <c r="AP51" s="159"/>
      <c r="AQ51" s="144"/>
      <c r="AR51" s="106"/>
      <c r="AS51" s="106"/>
      <c r="AT51" s="106"/>
      <c r="AU51" s="106"/>
      <c r="AV51" s="106"/>
      <c r="AW51" s="106"/>
      <c r="AX51" s="106"/>
      <c r="AY51" s="106"/>
      <c r="AZ51" s="106"/>
      <c r="BA51" s="106"/>
      <c r="BB51" s="147"/>
      <c r="BC51" s="144"/>
      <c r="BD51" s="106"/>
      <c r="BE51" s="106"/>
      <c r="BF51" s="106"/>
      <c r="BG51" s="106"/>
      <c r="BH51" s="106"/>
      <c r="BI51" s="106"/>
      <c r="BJ51" s="106"/>
      <c r="BK51" s="106"/>
      <c r="BL51" s="106"/>
      <c r="BM51" s="106"/>
      <c r="BN51" s="147"/>
      <c r="BO51" s="158"/>
      <c r="BP51" s="134"/>
      <c r="BQ51" s="134"/>
      <c r="BR51" s="134"/>
      <c r="BS51" s="71"/>
      <c r="BT51" s="71"/>
      <c r="BU51" s="71"/>
      <c r="BV51" s="71"/>
      <c r="BW51" s="71"/>
      <c r="BX51" s="71"/>
      <c r="BY51" s="71"/>
      <c r="BZ51" s="71"/>
    </row>
    <row r="52" spans="1:78" ht="14.25" customHeight="1" x14ac:dyDescent="0.25">
      <c r="A52" s="106"/>
      <c r="B52" s="134"/>
      <c r="C52" s="134"/>
      <c r="D52" s="132"/>
      <c r="E52" s="132"/>
      <c r="F52" s="132"/>
      <c r="G52" s="132"/>
      <c r="H52" s="132"/>
      <c r="I52" s="132"/>
      <c r="J52" s="132"/>
      <c r="K52" s="132"/>
      <c r="L52" s="132"/>
      <c r="M52" s="132"/>
      <c r="N52" s="132"/>
      <c r="O52" s="155"/>
      <c r="P52" s="157"/>
      <c r="Q52" s="132"/>
      <c r="R52" s="132"/>
      <c r="S52" s="132"/>
      <c r="T52" s="132"/>
      <c r="U52" s="155"/>
      <c r="V52" s="176"/>
      <c r="W52" s="135"/>
      <c r="X52" s="135"/>
      <c r="Y52" s="135"/>
      <c r="Z52" s="135"/>
      <c r="AA52" s="135"/>
      <c r="AB52" s="135"/>
      <c r="AC52" s="135"/>
      <c r="AD52" s="135"/>
      <c r="AE52" s="135"/>
      <c r="AF52" s="135"/>
      <c r="AG52" s="135"/>
      <c r="AH52" s="135"/>
      <c r="AI52" s="135"/>
      <c r="AJ52" s="135"/>
      <c r="AK52" s="135"/>
      <c r="AL52" s="135"/>
      <c r="AM52" s="135"/>
      <c r="AN52" s="135"/>
      <c r="AO52" s="135"/>
      <c r="AP52" s="159"/>
      <c r="AQ52" s="157" t="s">
        <v>121</v>
      </c>
      <c r="AR52" s="132"/>
      <c r="AS52" s="132"/>
      <c r="AT52" s="132"/>
      <c r="AU52" s="132"/>
      <c r="AV52" s="132"/>
      <c r="AW52" s="132"/>
      <c r="AX52" s="132"/>
      <c r="AY52" s="132"/>
      <c r="AZ52" s="132"/>
      <c r="BA52" s="132"/>
      <c r="BB52" s="155"/>
      <c r="BC52" s="157" t="s">
        <v>122</v>
      </c>
      <c r="BD52" s="132"/>
      <c r="BE52" s="132"/>
      <c r="BF52" s="132"/>
      <c r="BG52" s="132"/>
      <c r="BH52" s="132"/>
      <c r="BI52" s="132"/>
      <c r="BJ52" s="132"/>
      <c r="BK52" s="132"/>
      <c r="BL52" s="132"/>
      <c r="BM52" s="132"/>
      <c r="BN52" s="155"/>
      <c r="BO52" s="158"/>
      <c r="BP52" s="134"/>
      <c r="BQ52" s="134"/>
      <c r="BR52" s="134"/>
      <c r="BS52" s="71"/>
      <c r="BT52" s="71"/>
      <c r="BU52" s="71"/>
      <c r="BV52" s="71"/>
      <c r="BW52" s="71"/>
      <c r="BX52" s="71"/>
      <c r="BY52" s="71"/>
      <c r="BZ52" s="71"/>
    </row>
    <row r="53" spans="1:78" ht="14.25" customHeight="1" x14ac:dyDescent="0.25">
      <c r="A53" s="106"/>
      <c r="B53" s="134"/>
      <c r="C53" s="134"/>
      <c r="D53" s="132"/>
      <c r="E53" s="132"/>
      <c r="F53" s="132"/>
      <c r="G53" s="132"/>
      <c r="H53" s="132"/>
      <c r="I53" s="132"/>
      <c r="J53" s="132"/>
      <c r="K53" s="132"/>
      <c r="L53" s="132"/>
      <c r="M53" s="132"/>
      <c r="N53" s="132"/>
      <c r="O53" s="155"/>
      <c r="P53" s="157"/>
      <c r="Q53" s="132"/>
      <c r="R53" s="132"/>
      <c r="S53" s="132"/>
      <c r="T53" s="132"/>
      <c r="U53" s="155"/>
      <c r="V53" s="176"/>
      <c r="W53" s="135"/>
      <c r="X53" s="135"/>
      <c r="Y53" s="135"/>
      <c r="Z53" s="135"/>
      <c r="AA53" s="135"/>
      <c r="AB53" s="135"/>
      <c r="AC53" s="135"/>
      <c r="AD53" s="135"/>
      <c r="AE53" s="135"/>
      <c r="AF53" s="135"/>
      <c r="AG53" s="135"/>
      <c r="AH53" s="135"/>
      <c r="AI53" s="135"/>
      <c r="AJ53" s="135"/>
      <c r="AK53" s="135"/>
      <c r="AL53" s="135"/>
      <c r="AM53" s="135"/>
      <c r="AN53" s="135"/>
      <c r="AO53" s="135"/>
      <c r="AP53" s="159"/>
      <c r="AQ53" s="157"/>
      <c r="AR53" s="132"/>
      <c r="AS53" s="132"/>
      <c r="AT53" s="132"/>
      <c r="AU53" s="132"/>
      <c r="AV53" s="132"/>
      <c r="AW53" s="132"/>
      <c r="AX53" s="132"/>
      <c r="AY53" s="132"/>
      <c r="AZ53" s="132"/>
      <c r="BA53" s="132"/>
      <c r="BB53" s="155"/>
      <c r="BC53" s="157"/>
      <c r="BD53" s="132"/>
      <c r="BE53" s="132"/>
      <c r="BF53" s="132"/>
      <c r="BG53" s="132"/>
      <c r="BH53" s="132"/>
      <c r="BI53" s="132"/>
      <c r="BJ53" s="132"/>
      <c r="BK53" s="132"/>
      <c r="BL53" s="132"/>
      <c r="BM53" s="132"/>
      <c r="BN53" s="155"/>
      <c r="BO53" s="158"/>
      <c r="BP53" s="134"/>
      <c r="BQ53" s="134"/>
      <c r="BR53" s="134"/>
      <c r="BS53" s="71"/>
      <c r="BT53" s="71"/>
      <c r="BU53" s="71"/>
      <c r="BV53" s="71"/>
      <c r="BW53" s="71"/>
      <c r="BX53" s="71"/>
      <c r="BY53" s="71"/>
      <c r="BZ53" s="71"/>
    </row>
    <row r="54" spans="1:78" ht="14.25" customHeight="1" x14ac:dyDescent="0.25">
      <c r="A54" s="106"/>
      <c r="B54" s="134"/>
      <c r="C54" s="134"/>
      <c r="D54" s="132"/>
      <c r="E54" s="132"/>
      <c r="F54" s="132"/>
      <c r="G54" s="132"/>
      <c r="H54" s="132"/>
      <c r="I54" s="132"/>
      <c r="J54" s="132"/>
      <c r="K54" s="132"/>
      <c r="L54" s="132"/>
      <c r="M54" s="132"/>
      <c r="N54" s="132"/>
      <c r="O54" s="155"/>
      <c r="P54" s="157"/>
      <c r="Q54" s="132"/>
      <c r="R54" s="132"/>
      <c r="S54" s="132"/>
      <c r="T54" s="132"/>
      <c r="U54" s="155"/>
      <c r="V54" s="176"/>
      <c r="W54" s="135"/>
      <c r="X54" s="135"/>
      <c r="Y54" s="135"/>
      <c r="Z54" s="135"/>
      <c r="AA54" s="135"/>
      <c r="AB54" s="135"/>
      <c r="AC54" s="135"/>
      <c r="AD54" s="135"/>
      <c r="AE54" s="135"/>
      <c r="AF54" s="135"/>
      <c r="AG54" s="135"/>
      <c r="AH54" s="135"/>
      <c r="AI54" s="135"/>
      <c r="AJ54" s="135"/>
      <c r="AK54" s="135"/>
      <c r="AL54" s="135"/>
      <c r="AM54" s="135"/>
      <c r="AN54" s="135"/>
      <c r="AO54" s="135"/>
      <c r="AP54" s="159"/>
      <c r="AQ54" s="144">
        <v>15</v>
      </c>
      <c r="AR54" s="106"/>
      <c r="AS54" s="106"/>
      <c r="AT54" s="106">
        <v>15</v>
      </c>
      <c r="AU54" s="106"/>
      <c r="AV54" s="106"/>
      <c r="AW54" s="106">
        <v>15</v>
      </c>
      <c r="AX54" s="106"/>
      <c r="AY54" s="106"/>
      <c r="AZ54" s="106">
        <v>15</v>
      </c>
      <c r="BA54" s="106"/>
      <c r="BB54" s="147"/>
      <c r="BC54" s="144">
        <v>15</v>
      </c>
      <c r="BD54" s="106"/>
      <c r="BE54" s="106"/>
      <c r="BF54" s="106">
        <v>15</v>
      </c>
      <c r="BG54" s="106"/>
      <c r="BH54" s="106"/>
      <c r="BI54" s="106">
        <v>15</v>
      </c>
      <c r="BJ54" s="106"/>
      <c r="BK54" s="106"/>
      <c r="BL54" s="106">
        <v>15</v>
      </c>
      <c r="BM54" s="106"/>
      <c r="BN54" s="147"/>
      <c r="BO54" s="158"/>
      <c r="BP54" s="134"/>
      <c r="BQ54" s="134"/>
      <c r="BR54" s="134"/>
      <c r="BS54" s="71"/>
      <c r="BT54" s="71"/>
      <c r="BU54" s="71"/>
      <c r="BV54" s="71"/>
      <c r="BW54" s="71"/>
      <c r="BX54" s="71"/>
      <c r="BY54" s="71"/>
      <c r="BZ54" s="71"/>
    </row>
    <row r="55" spans="1:78" ht="14.25" customHeight="1" x14ac:dyDescent="0.25">
      <c r="A55" s="106"/>
      <c r="B55" s="134"/>
      <c r="C55" s="134"/>
      <c r="D55" s="132"/>
      <c r="E55" s="132"/>
      <c r="F55" s="132"/>
      <c r="G55" s="132"/>
      <c r="H55" s="132"/>
      <c r="I55" s="132"/>
      <c r="J55" s="132"/>
      <c r="K55" s="132"/>
      <c r="L55" s="132"/>
      <c r="M55" s="132"/>
      <c r="N55" s="132"/>
      <c r="O55" s="155"/>
      <c r="P55" s="144" t="s">
        <v>110</v>
      </c>
      <c r="Q55" s="106"/>
      <c r="R55" s="106"/>
      <c r="S55" s="106" t="s">
        <v>5</v>
      </c>
      <c r="T55" s="106"/>
      <c r="U55" s="147"/>
      <c r="V55" s="176"/>
      <c r="W55" s="135"/>
      <c r="X55" s="135"/>
      <c r="Y55" s="135"/>
      <c r="Z55" s="135"/>
      <c r="AA55" s="135"/>
      <c r="AB55" s="135"/>
      <c r="AC55" s="135"/>
      <c r="AD55" s="135"/>
      <c r="AE55" s="135"/>
      <c r="AF55" s="135"/>
      <c r="AG55" s="135"/>
      <c r="AH55" s="135"/>
      <c r="AI55" s="135"/>
      <c r="AJ55" s="135"/>
      <c r="AK55" s="135"/>
      <c r="AL55" s="135"/>
      <c r="AM55" s="135"/>
      <c r="AN55" s="135"/>
      <c r="AO55" s="135"/>
      <c r="AP55" s="159"/>
      <c r="AQ55" s="144"/>
      <c r="AR55" s="106"/>
      <c r="AS55" s="106"/>
      <c r="AT55" s="106"/>
      <c r="AU55" s="106"/>
      <c r="AV55" s="106"/>
      <c r="AW55" s="106"/>
      <c r="AX55" s="106"/>
      <c r="AY55" s="106"/>
      <c r="AZ55" s="106"/>
      <c r="BA55" s="106"/>
      <c r="BB55" s="147"/>
      <c r="BC55" s="144"/>
      <c r="BD55" s="106"/>
      <c r="BE55" s="106"/>
      <c r="BF55" s="106"/>
      <c r="BG55" s="106"/>
      <c r="BH55" s="106"/>
      <c r="BI55" s="106"/>
      <c r="BJ55" s="106"/>
      <c r="BK55" s="106"/>
      <c r="BL55" s="106"/>
      <c r="BM55" s="106"/>
      <c r="BN55" s="147"/>
      <c r="BO55" s="158"/>
      <c r="BP55" s="134"/>
      <c r="BQ55" s="134"/>
      <c r="BR55" s="134"/>
      <c r="BS55" s="71"/>
      <c r="BT55" s="71"/>
      <c r="BU55" s="71"/>
      <c r="BV55" s="71"/>
      <c r="BW55" s="71"/>
      <c r="BX55" s="71"/>
      <c r="BY55" s="71"/>
      <c r="BZ55" s="71"/>
    </row>
    <row r="56" spans="1:78" ht="14.25" customHeight="1" x14ac:dyDescent="0.25">
      <c r="A56" s="72">
        <v>1</v>
      </c>
      <c r="B56" s="130"/>
      <c r="C56" s="130"/>
      <c r="D56" s="106">
        <v>2</v>
      </c>
      <c r="E56" s="106"/>
      <c r="F56" s="106"/>
      <c r="G56" s="106"/>
      <c r="H56" s="106"/>
      <c r="I56" s="106"/>
      <c r="J56" s="106"/>
      <c r="K56" s="106"/>
      <c r="L56" s="106"/>
      <c r="M56" s="106"/>
      <c r="N56" s="106"/>
      <c r="O56" s="147"/>
      <c r="P56" s="144">
        <v>3</v>
      </c>
      <c r="Q56" s="106"/>
      <c r="R56" s="106"/>
      <c r="S56" s="106">
        <v>4</v>
      </c>
      <c r="T56" s="106"/>
      <c r="U56" s="147"/>
      <c r="V56" s="152">
        <v>5</v>
      </c>
      <c r="W56" s="106"/>
      <c r="X56" s="106"/>
      <c r="Y56" s="106">
        <v>6</v>
      </c>
      <c r="Z56" s="106"/>
      <c r="AA56" s="106"/>
      <c r="AB56" s="106">
        <v>7</v>
      </c>
      <c r="AC56" s="106"/>
      <c r="AD56" s="106"/>
      <c r="AE56" s="106">
        <v>8</v>
      </c>
      <c r="AF56" s="106"/>
      <c r="AG56" s="106"/>
      <c r="AH56" s="106">
        <v>9</v>
      </c>
      <c r="AI56" s="106"/>
      <c r="AJ56" s="106"/>
      <c r="AK56" s="106">
        <v>10</v>
      </c>
      <c r="AL56" s="106"/>
      <c r="AM56" s="106"/>
      <c r="AN56" s="106">
        <v>11</v>
      </c>
      <c r="AO56" s="106"/>
      <c r="AP56" s="147"/>
      <c r="AQ56" s="144">
        <v>12</v>
      </c>
      <c r="AR56" s="106"/>
      <c r="AS56" s="106"/>
      <c r="AT56" s="106">
        <v>13</v>
      </c>
      <c r="AU56" s="106"/>
      <c r="AV56" s="106"/>
      <c r="AW56" s="106">
        <v>14</v>
      </c>
      <c r="AX56" s="106"/>
      <c r="AY56" s="106"/>
      <c r="AZ56" s="106">
        <v>15</v>
      </c>
      <c r="BA56" s="106"/>
      <c r="BB56" s="147"/>
      <c r="BC56" s="144">
        <v>16</v>
      </c>
      <c r="BD56" s="106"/>
      <c r="BE56" s="106"/>
      <c r="BF56" s="106">
        <v>17</v>
      </c>
      <c r="BG56" s="106"/>
      <c r="BH56" s="106"/>
      <c r="BI56" s="106">
        <v>18</v>
      </c>
      <c r="BJ56" s="106"/>
      <c r="BK56" s="106"/>
      <c r="BL56" s="106">
        <v>19</v>
      </c>
      <c r="BM56" s="106"/>
      <c r="BN56" s="147"/>
      <c r="BO56" s="152">
        <v>20</v>
      </c>
      <c r="BP56" s="106"/>
      <c r="BQ56" s="106"/>
      <c r="BR56" s="106"/>
      <c r="BS56" s="71"/>
      <c r="BT56" s="71"/>
      <c r="BU56" s="71"/>
      <c r="BV56" s="71"/>
      <c r="BW56" s="71"/>
      <c r="BX56" s="71"/>
      <c r="BY56" s="71"/>
      <c r="BZ56" s="71"/>
    </row>
    <row r="57" spans="1:78" ht="14.25" customHeight="1" x14ac:dyDescent="0.25">
      <c r="A57" s="72" t="s">
        <v>6</v>
      </c>
      <c r="B57" s="130"/>
      <c r="C57" s="130"/>
      <c r="D57" s="182" t="s">
        <v>111</v>
      </c>
      <c r="E57" s="182"/>
      <c r="F57" s="182"/>
      <c r="G57" s="182"/>
      <c r="H57" s="182"/>
      <c r="I57" s="182"/>
      <c r="J57" s="182"/>
      <c r="K57" s="182"/>
      <c r="L57" s="182"/>
      <c r="M57" s="182"/>
      <c r="N57" s="182"/>
      <c r="O57" s="183"/>
      <c r="P57" s="144">
        <f t="shared" ref="P57:P64" si="5">SUM(V57+AN57)</f>
        <v>1470</v>
      </c>
      <c r="Q57" s="106"/>
      <c r="R57" s="106"/>
      <c r="S57" s="131">
        <f>P57/3600*100</f>
        <v>40.833333333333336</v>
      </c>
      <c r="T57" s="131"/>
      <c r="U57" s="151"/>
      <c r="V57" s="152">
        <f t="shared" ref="V57" si="6">SUM(AQ57+AT57+AW57+AZ57)*15</f>
        <v>570</v>
      </c>
      <c r="W57" s="106"/>
      <c r="X57" s="106"/>
      <c r="Y57" s="106">
        <f>SUM(Y58:AA66)</f>
        <v>110</v>
      </c>
      <c r="Z57" s="106"/>
      <c r="AA57" s="106"/>
      <c r="AB57" s="106">
        <f>SUM(AB58:AD66)</f>
        <v>286</v>
      </c>
      <c r="AC57" s="106"/>
      <c r="AD57" s="106"/>
      <c r="AE57" s="106">
        <f>SUM(AE58:AG66)</f>
        <v>120</v>
      </c>
      <c r="AF57" s="106"/>
      <c r="AG57" s="106"/>
      <c r="AH57" s="106">
        <f>SUM(AH58:AJ66)</f>
        <v>54</v>
      </c>
      <c r="AI57" s="106"/>
      <c r="AJ57" s="106"/>
      <c r="AK57" s="106">
        <f>SUM(AK58:AM66)</f>
        <v>0</v>
      </c>
      <c r="AL57" s="106"/>
      <c r="AM57" s="106"/>
      <c r="AN57" s="106">
        <f>SUM(AN58:AP66)</f>
        <v>900</v>
      </c>
      <c r="AO57" s="106"/>
      <c r="AP57" s="147"/>
      <c r="AQ57" s="144">
        <f>SUM(AQ58:AS66)</f>
        <v>16</v>
      </c>
      <c r="AR57" s="106"/>
      <c r="AS57" s="106"/>
      <c r="AT57" s="106">
        <f>SUM(AT58:AV66)</f>
        <v>6</v>
      </c>
      <c r="AU57" s="106"/>
      <c r="AV57" s="106"/>
      <c r="AW57" s="106">
        <f>SUM(AW58:AY66)</f>
        <v>10</v>
      </c>
      <c r="AX57" s="106"/>
      <c r="AY57" s="106"/>
      <c r="AZ57" s="106">
        <f>SUM(AZ58:BB66)</f>
        <v>6</v>
      </c>
      <c r="BA57" s="106"/>
      <c r="BB57" s="147"/>
      <c r="BC57" s="144">
        <f>SUM(BC58:BE66)</f>
        <v>22</v>
      </c>
      <c r="BD57" s="106"/>
      <c r="BE57" s="106"/>
      <c r="BF57" s="106">
        <f>SUM(BF58:BH66)</f>
        <v>7</v>
      </c>
      <c r="BG57" s="106"/>
      <c r="BH57" s="106"/>
      <c r="BI57" s="106">
        <f>SUM(BI58:BK66)</f>
        <v>12</v>
      </c>
      <c r="BJ57" s="106"/>
      <c r="BK57" s="106"/>
      <c r="BL57" s="106">
        <f>SUM(BL58:BN66)</f>
        <v>8</v>
      </c>
      <c r="BM57" s="106"/>
      <c r="BN57" s="147"/>
      <c r="BO57" s="148">
        <f>SUM(P57/30)</f>
        <v>49</v>
      </c>
      <c r="BP57" s="105"/>
      <c r="BQ57" s="105"/>
      <c r="BR57" s="105"/>
      <c r="BS57" s="71">
        <f>SUM(V57/P57)*100</f>
        <v>38.775510204081634</v>
      </c>
      <c r="BT57" s="71">
        <f>SUM(AN57/P57)*100</f>
        <v>61.224489795918366</v>
      </c>
      <c r="BU57" s="71">
        <f>SUM(Y57:AJ57)</f>
        <v>570</v>
      </c>
      <c r="BV57" s="15">
        <f>IF(BU57=V57,1,0)</f>
        <v>1</v>
      </c>
      <c r="BW57" s="15" t="str">
        <f>IF(BV57=1,"тўғри","хато")</f>
        <v>тўғри</v>
      </c>
      <c r="BX57" s="71">
        <f>SUM(BC57:BN57)</f>
        <v>49</v>
      </c>
      <c r="BY57" s="15">
        <f>IF(BX57=BO57,1,0)</f>
        <v>1</v>
      </c>
      <c r="BZ57" s="15" t="str">
        <f>IF(BY57=1,"тўғри","хато")</f>
        <v>тўғри</v>
      </c>
    </row>
    <row r="58" spans="1:78" ht="14.25" customHeight="1" x14ac:dyDescent="0.25">
      <c r="A58" s="14" t="s">
        <v>7</v>
      </c>
      <c r="B58" s="104" t="s">
        <v>31</v>
      </c>
      <c r="C58" s="104"/>
      <c r="D58" s="149" t="s">
        <v>142</v>
      </c>
      <c r="E58" s="149"/>
      <c r="F58" s="149"/>
      <c r="G58" s="149"/>
      <c r="H58" s="149"/>
      <c r="I58" s="149"/>
      <c r="J58" s="149"/>
      <c r="K58" s="149"/>
      <c r="L58" s="149"/>
      <c r="M58" s="149"/>
      <c r="N58" s="149"/>
      <c r="O58" s="150"/>
      <c r="P58" s="144">
        <f t="shared" si="5"/>
        <v>90</v>
      </c>
      <c r="Q58" s="106"/>
      <c r="R58" s="106"/>
      <c r="S58" s="131"/>
      <c r="T58" s="131"/>
      <c r="U58" s="151"/>
      <c r="V58" s="152">
        <f t="shared" ref="V58:V59" si="7">SUM(AQ58+AT58+AW58+AZ58)*15</f>
        <v>30</v>
      </c>
      <c r="W58" s="106"/>
      <c r="X58" s="106"/>
      <c r="Y58" s="104">
        <v>16</v>
      </c>
      <c r="Z58" s="104"/>
      <c r="AA58" s="104"/>
      <c r="AB58" s="104">
        <v>14</v>
      </c>
      <c r="AC58" s="104"/>
      <c r="AD58" s="104"/>
      <c r="AE58" s="104"/>
      <c r="AF58" s="104"/>
      <c r="AG58" s="104"/>
      <c r="AH58" s="104"/>
      <c r="AI58" s="104"/>
      <c r="AJ58" s="104"/>
      <c r="AK58" s="104"/>
      <c r="AL58" s="104"/>
      <c r="AM58" s="104"/>
      <c r="AN58" s="104">
        <v>60</v>
      </c>
      <c r="AO58" s="104"/>
      <c r="AP58" s="145"/>
      <c r="AQ58" s="146">
        <v>2</v>
      </c>
      <c r="AR58" s="104"/>
      <c r="AS58" s="104"/>
      <c r="AT58" s="104"/>
      <c r="AU58" s="104"/>
      <c r="AV58" s="104"/>
      <c r="AW58" s="104"/>
      <c r="AX58" s="104"/>
      <c r="AY58" s="104"/>
      <c r="AZ58" s="104"/>
      <c r="BA58" s="104"/>
      <c r="BB58" s="145"/>
      <c r="BC58" s="146">
        <v>3</v>
      </c>
      <c r="BD58" s="104"/>
      <c r="BE58" s="104"/>
      <c r="BF58" s="104"/>
      <c r="BG58" s="104"/>
      <c r="BH58" s="104"/>
      <c r="BI58" s="104"/>
      <c r="BJ58" s="104"/>
      <c r="BK58" s="104"/>
      <c r="BL58" s="104"/>
      <c r="BM58" s="104"/>
      <c r="BN58" s="145"/>
      <c r="BO58" s="148">
        <f t="shared" ref="BO58:BO59" si="8">SUM(P58/30)</f>
        <v>3</v>
      </c>
      <c r="BP58" s="105"/>
      <c r="BQ58" s="105"/>
      <c r="BR58" s="105"/>
      <c r="BS58" s="71">
        <f>SUM(V58/P58)*100</f>
        <v>33.333333333333329</v>
      </c>
      <c r="BT58" s="71">
        <f>SUM(AN58/P58)*100</f>
        <v>66.666666666666657</v>
      </c>
      <c r="BU58" s="71">
        <f>SUM(Y58:AJ58)</f>
        <v>30</v>
      </c>
      <c r="BV58" s="15">
        <f>IF(BU58=V58,1,0)</f>
        <v>1</v>
      </c>
      <c r="BW58" s="15" t="str">
        <f>IF(BV58=1,"тўғри","хато")</f>
        <v>тўғри</v>
      </c>
      <c r="BX58" s="71">
        <f>SUM(BC58:BN58)</f>
        <v>3</v>
      </c>
      <c r="BY58" s="15">
        <f>IF(BX58=BO58,1,0)</f>
        <v>1</v>
      </c>
      <c r="BZ58" s="15" t="str">
        <f>IF(BY58=1,"тўғри","хато")</f>
        <v>тўғри</v>
      </c>
    </row>
    <row r="59" spans="1:78" ht="14.25" customHeight="1" x14ac:dyDescent="0.25">
      <c r="A59" s="14" t="s">
        <v>8</v>
      </c>
      <c r="B59" s="104" t="s">
        <v>213</v>
      </c>
      <c r="C59" s="104"/>
      <c r="D59" s="149" t="s">
        <v>143</v>
      </c>
      <c r="E59" s="149"/>
      <c r="F59" s="149"/>
      <c r="G59" s="149"/>
      <c r="H59" s="149"/>
      <c r="I59" s="149"/>
      <c r="J59" s="149"/>
      <c r="K59" s="149"/>
      <c r="L59" s="149"/>
      <c r="M59" s="149"/>
      <c r="N59" s="149"/>
      <c r="O59" s="150"/>
      <c r="P59" s="144">
        <f t="shared" si="5"/>
        <v>90</v>
      </c>
      <c r="Q59" s="106"/>
      <c r="R59" s="106"/>
      <c r="S59" s="131"/>
      <c r="T59" s="131"/>
      <c r="U59" s="151"/>
      <c r="V59" s="152">
        <f t="shared" si="7"/>
        <v>30</v>
      </c>
      <c r="W59" s="106"/>
      <c r="X59" s="106"/>
      <c r="Y59" s="104">
        <v>16</v>
      </c>
      <c r="Z59" s="104"/>
      <c r="AA59" s="104"/>
      <c r="AB59" s="104">
        <v>14</v>
      </c>
      <c r="AC59" s="104"/>
      <c r="AD59" s="104"/>
      <c r="AE59" s="104"/>
      <c r="AF59" s="104"/>
      <c r="AG59" s="104"/>
      <c r="AH59" s="104"/>
      <c r="AI59" s="104"/>
      <c r="AJ59" s="104"/>
      <c r="AK59" s="104"/>
      <c r="AL59" s="104"/>
      <c r="AM59" s="104"/>
      <c r="AN59" s="104">
        <v>60</v>
      </c>
      <c r="AO59" s="104"/>
      <c r="AP59" s="145"/>
      <c r="AQ59" s="146"/>
      <c r="AR59" s="104"/>
      <c r="AS59" s="104"/>
      <c r="AT59" s="104"/>
      <c r="AU59" s="104"/>
      <c r="AV59" s="104"/>
      <c r="AW59" s="104">
        <v>2</v>
      </c>
      <c r="AX59" s="104"/>
      <c r="AY59" s="104"/>
      <c r="AZ59" s="104"/>
      <c r="BA59" s="104"/>
      <c r="BB59" s="145"/>
      <c r="BC59" s="146"/>
      <c r="BD59" s="104"/>
      <c r="BE59" s="104"/>
      <c r="BF59" s="104"/>
      <c r="BG59" s="104"/>
      <c r="BH59" s="104"/>
      <c r="BI59" s="104">
        <v>3</v>
      </c>
      <c r="BJ59" s="104"/>
      <c r="BK59" s="104"/>
      <c r="BL59" s="104"/>
      <c r="BM59" s="104"/>
      <c r="BN59" s="145"/>
      <c r="BO59" s="148">
        <f t="shared" si="8"/>
        <v>3</v>
      </c>
      <c r="BP59" s="105"/>
      <c r="BQ59" s="105"/>
      <c r="BR59" s="105"/>
      <c r="BS59" s="71">
        <f t="shared" ref="BS59" si="9">SUM(V59/P59)*100</f>
        <v>33.333333333333329</v>
      </c>
      <c r="BT59" s="71">
        <f t="shared" ref="BT59" si="10">SUM(AN59/P59)*100</f>
        <v>66.666666666666657</v>
      </c>
      <c r="BU59" s="71">
        <f t="shared" ref="BU59" si="11">SUM(Y59:AJ59)</f>
        <v>30</v>
      </c>
      <c r="BV59" s="15">
        <f t="shared" ref="BV59" si="12">IF(BU59=V59,1,0)</f>
        <v>1</v>
      </c>
      <c r="BW59" s="15" t="str">
        <f t="shared" ref="BW59" si="13">IF(BV59=1,"тўғри","хато")</f>
        <v>тўғри</v>
      </c>
      <c r="BX59" s="71">
        <f t="shared" ref="BX59" si="14">SUM(BC59:BN59)</f>
        <v>3</v>
      </c>
      <c r="BY59" s="15">
        <f t="shared" ref="BY59" si="15">IF(BX59=BO59,1,0)</f>
        <v>1</v>
      </c>
      <c r="BZ59" s="15" t="str">
        <f t="shared" ref="BZ59" si="16">IF(BY59=1,"тўғри","хато")</f>
        <v>тўғри</v>
      </c>
    </row>
    <row r="60" spans="1:78" ht="14.25" customHeight="1" x14ac:dyDescent="0.25">
      <c r="A60" s="14" t="s">
        <v>23</v>
      </c>
      <c r="B60" s="104" t="s">
        <v>45</v>
      </c>
      <c r="C60" s="104"/>
      <c r="D60" s="149" t="s">
        <v>171</v>
      </c>
      <c r="E60" s="149"/>
      <c r="F60" s="149"/>
      <c r="G60" s="149"/>
      <c r="H60" s="149"/>
      <c r="I60" s="149"/>
      <c r="J60" s="149"/>
      <c r="K60" s="149"/>
      <c r="L60" s="149"/>
      <c r="M60" s="149"/>
      <c r="N60" s="149"/>
      <c r="O60" s="150"/>
      <c r="P60" s="144">
        <f t="shared" si="5"/>
        <v>270</v>
      </c>
      <c r="Q60" s="106"/>
      <c r="R60" s="106"/>
      <c r="S60" s="106"/>
      <c r="T60" s="106"/>
      <c r="U60" s="147"/>
      <c r="V60" s="152">
        <f t="shared" ref="V60:V66" si="17">SUM(AQ60+AT60+AW60+AZ60)*15</f>
        <v>120</v>
      </c>
      <c r="W60" s="106"/>
      <c r="X60" s="106"/>
      <c r="Y60" s="104"/>
      <c r="Z60" s="104"/>
      <c r="AA60" s="104"/>
      <c r="AB60" s="104"/>
      <c r="AC60" s="104"/>
      <c r="AD60" s="104"/>
      <c r="AE60" s="104">
        <v>120</v>
      </c>
      <c r="AF60" s="104"/>
      <c r="AG60" s="104"/>
      <c r="AH60" s="104"/>
      <c r="AI60" s="104"/>
      <c r="AJ60" s="104"/>
      <c r="AK60" s="106"/>
      <c r="AL60" s="106"/>
      <c r="AM60" s="106"/>
      <c r="AN60" s="104">
        <v>150</v>
      </c>
      <c r="AO60" s="104"/>
      <c r="AP60" s="145"/>
      <c r="AQ60" s="146">
        <v>2</v>
      </c>
      <c r="AR60" s="104"/>
      <c r="AS60" s="104"/>
      <c r="AT60" s="104">
        <v>2</v>
      </c>
      <c r="AU60" s="104"/>
      <c r="AV60" s="104"/>
      <c r="AW60" s="104">
        <v>2</v>
      </c>
      <c r="AX60" s="104"/>
      <c r="AY60" s="104"/>
      <c r="AZ60" s="104">
        <v>2</v>
      </c>
      <c r="BA60" s="104"/>
      <c r="BB60" s="145"/>
      <c r="BC60" s="146">
        <v>2</v>
      </c>
      <c r="BD60" s="104"/>
      <c r="BE60" s="104"/>
      <c r="BF60" s="104">
        <v>2</v>
      </c>
      <c r="BG60" s="104"/>
      <c r="BH60" s="104"/>
      <c r="BI60" s="104">
        <v>2</v>
      </c>
      <c r="BJ60" s="104"/>
      <c r="BK60" s="104"/>
      <c r="BL60" s="104">
        <v>3</v>
      </c>
      <c r="BM60" s="104"/>
      <c r="BN60" s="145"/>
      <c r="BO60" s="148">
        <f t="shared" ref="BO60:BO77" si="18">SUM(P60/30)</f>
        <v>9</v>
      </c>
      <c r="BP60" s="105"/>
      <c r="BQ60" s="105"/>
      <c r="BR60" s="105"/>
      <c r="BS60" s="71">
        <f t="shared" ref="BS60:BS82" si="19">SUM(V60/P60)*100</f>
        <v>44.444444444444443</v>
      </c>
      <c r="BT60" s="71">
        <f t="shared" ref="BT60:BT82" si="20">SUM(AN60/P60)*100</f>
        <v>55.555555555555557</v>
      </c>
      <c r="BU60" s="71">
        <f t="shared" ref="BU60:BU64" si="21">SUM(Y60:AJ60)</f>
        <v>120</v>
      </c>
      <c r="BV60" s="15">
        <f t="shared" ref="BV60:BV77" si="22">IF(BU60=V60,1,0)</f>
        <v>1</v>
      </c>
      <c r="BW60" s="15" t="str">
        <f t="shared" ref="BW60:BW77" si="23">IF(BV60=1,"тўғри","хато")</f>
        <v>тўғри</v>
      </c>
      <c r="BX60" s="71">
        <f t="shared" ref="BX60:BX82" si="24">SUM(BC60:BN60)</f>
        <v>9</v>
      </c>
      <c r="BY60" s="15">
        <f t="shared" ref="BY60:BY82" si="25">IF(BX60=BO60,1,0)</f>
        <v>1</v>
      </c>
      <c r="BZ60" s="15" t="str">
        <f t="shared" ref="BZ60:BZ76" si="26">IF(BY60=1,"тўғри","хато")</f>
        <v>тўғри</v>
      </c>
    </row>
    <row r="61" spans="1:78" ht="14.25" customHeight="1" x14ac:dyDescent="0.25">
      <c r="A61" s="14" t="s">
        <v>24</v>
      </c>
      <c r="B61" s="104" t="s">
        <v>46</v>
      </c>
      <c r="C61" s="104"/>
      <c r="D61" s="149" t="s">
        <v>170</v>
      </c>
      <c r="E61" s="149"/>
      <c r="F61" s="149"/>
      <c r="G61" s="149"/>
      <c r="H61" s="149"/>
      <c r="I61" s="149"/>
      <c r="J61" s="149"/>
      <c r="K61" s="149"/>
      <c r="L61" s="149"/>
      <c r="M61" s="149"/>
      <c r="N61" s="149"/>
      <c r="O61" s="150"/>
      <c r="P61" s="144">
        <f t="shared" si="5"/>
        <v>510</v>
      </c>
      <c r="Q61" s="106"/>
      <c r="R61" s="106"/>
      <c r="S61" s="106"/>
      <c r="T61" s="106"/>
      <c r="U61" s="147"/>
      <c r="V61" s="152">
        <f t="shared" si="17"/>
        <v>210</v>
      </c>
      <c r="W61" s="106"/>
      <c r="X61" s="106"/>
      <c r="Y61" s="104"/>
      <c r="Z61" s="104"/>
      <c r="AA61" s="104"/>
      <c r="AB61" s="104">
        <v>210</v>
      </c>
      <c r="AC61" s="104"/>
      <c r="AD61" s="104"/>
      <c r="AE61" s="104"/>
      <c r="AF61" s="104"/>
      <c r="AG61" s="104"/>
      <c r="AH61" s="104"/>
      <c r="AI61" s="104"/>
      <c r="AJ61" s="104"/>
      <c r="AK61" s="106"/>
      <c r="AL61" s="106"/>
      <c r="AM61" s="106"/>
      <c r="AN61" s="104">
        <v>300</v>
      </c>
      <c r="AO61" s="104"/>
      <c r="AP61" s="145"/>
      <c r="AQ61" s="146">
        <v>4</v>
      </c>
      <c r="AR61" s="104"/>
      <c r="AS61" s="104"/>
      <c r="AT61" s="104">
        <v>4</v>
      </c>
      <c r="AU61" s="104"/>
      <c r="AV61" s="104"/>
      <c r="AW61" s="104">
        <v>4</v>
      </c>
      <c r="AX61" s="104"/>
      <c r="AY61" s="104"/>
      <c r="AZ61" s="104">
        <v>2</v>
      </c>
      <c r="BA61" s="104"/>
      <c r="BB61" s="145"/>
      <c r="BC61" s="146">
        <v>5</v>
      </c>
      <c r="BD61" s="104"/>
      <c r="BE61" s="104"/>
      <c r="BF61" s="104">
        <v>5</v>
      </c>
      <c r="BG61" s="104"/>
      <c r="BH61" s="104"/>
      <c r="BI61" s="104">
        <v>4</v>
      </c>
      <c r="BJ61" s="104"/>
      <c r="BK61" s="104"/>
      <c r="BL61" s="104">
        <v>3</v>
      </c>
      <c r="BM61" s="104"/>
      <c r="BN61" s="145"/>
      <c r="BO61" s="148">
        <f t="shared" si="18"/>
        <v>17</v>
      </c>
      <c r="BP61" s="105"/>
      <c r="BQ61" s="105"/>
      <c r="BR61" s="105"/>
      <c r="BS61" s="71">
        <f t="shared" si="19"/>
        <v>41.17647058823529</v>
      </c>
      <c r="BT61" s="71">
        <f t="shared" si="20"/>
        <v>58.82352941176471</v>
      </c>
      <c r="BU61" s="71">
        <f t="shared" si="21"/>
        <v>210</v>
      </c>
      <c r="BV61" s="15">
        <f t="shared" si="22"/>
        <v>1</v>
      </c>
      <c r="BW61" s="15" t="str">
        <f t="shared" si="23"/>
        <v>тўғри</v>
      </c>
      <c r="BX61" s="71">
        <f t="shared" si="24"/>
        <v>17</v>
      </c>
      <c r="BY61" s="15">
        <f t="shared" si="25"/>
        <v>1</v>
      </c>
      <c r="BZ61" s="15" t="str">
        <f t="shared" si="26"/>
        <v>тўғри</v>
      </c>
    </row>
    <row r="62" spans="1:78" ht="14.25" customHeight="1" x14ac:dyDescent="0.25">
      <c r="A62" s="14" t="s">
        <v>25</v>
      </c>
      <c r="B62" s="104" t="s">
        <v>34</v>
      </c>
      <c r="C62" s="104"/>
      <c r="D62" s="149" t="s">
        <v>151</v>
      </c>
      <c r="E62" s="149"/>
      <c r="F62" s="149"/>
      <c r="G62" s="149"/>
      <c r="H62" s="149"/>
      <c r="I62" s="149"/>
      <c r="J62" s="149"/>
      <c r="K62" s="149"/>
      <c r="L62" s="149"/>
      <c r="M62" s="149"/>
      <c r="N62" s="149"/>
      <c r="O62" s="150"/>
      <c r="P62" s="144">
        <f t="shared" si="5"/>
        <v>90</v>
      </c>
      <c r="Q62" s="106"/>
      <c r="R62" s="106"/>
      <c r="S62" s="127"/>
      <c r="T62" s="127"/>
      <c r="U62" s="208"/>
      <c r="V62" s="152">
        <f t="shared" si="17"/>
        <v>30</v>
      </c>
      <c r="W62" s="106"/>
      <c r="X62" s="106"/>
      <c r="Y62" s="104">
        <v>10</v>
      </c>
      <c r="Z62" s="104"/>
      <c r="AA62" s="104"/>
      <c r="AB62" s="104">
        <v>10</v>
      </c>
      <c r="AC62" s="104"/>
      <c r="AD62" s="104"/>
      <c r="AE62" s="104"/>
      <c r="AF62" s="104"/>
      <c r="AG62" s="104"/>
      <c r="AH62" s="104">
        <v>10</v>
      </c>
      <c r="AI62" s="104"/>
      <c r="AJ62" s="104"/>
      <c r="AK62" s="104"/>
      <c r="AL62" s="104"/>
      <c r="AM62" s="104"/>
      <c r="AN62" s="104">
        <v>60</v>
      </c>
      <c r="AO62" s="104"/>
      <c r="AP62" s="145"/>
      <c r="AQ62" s="146">
        <v>2</v>
      </c>
      <c r="AR62" s="104"/>
      <c r="AS62" s="104"/>
      <c r="AT62" s="104"/>
      <c r="AU62" s="104"/>
      <c r="AV62" s="104"/>
      <c r="AW62" s="104"/>
      <c r="AX62" s="104"/>
      <c r="AY62" s="104"/>
      <c r="AZ62" s="104"/>
      <c r="BA62" s="104"/>
      <c r="BB62" s="145"/>
      <c r="BC62" s="146">
        <v>3</v>
      </c>
      <c r="BD62" s="104"/>
      <c r="BE62" s="104"/>
      <c r="BF62" s="104"/>
      <c r="BG62" s="104"/>
      <c r="BH62" s="104"/>
      <c r="BI62" s="104"/>
      <c r="BJ62" s="104"/>
      <c r="BK62" s="104"/>
      <c r="BL62" s="104"/>
      <c r="BM62" s="104"/>
      <c r="BN62" s="145"/>
      <c r="BO62" s="148">
        <f t="shared" si="18"/>
        <v>3</v>
      </c>
      <c r="BP62" s="105"/>
      <c r="BQ62" s="105"/>
      <c r="BR62" s="105"/>
      <c r="BS62" s="71">
        <f t="shared" si="19"/>
        <v>33.333333333333329</v>
      </c>
      <c r="BT62" s="71">
        <f t="shared" si="20"/>
        <v>66.666666666666657</v>
      </c>
      <c r="BU62" s="71">
        <f t="shared" si="21"/>
        <v>30</v>
      </c>
      <c r="BV62" s="15">
        <f t="shared" si="22"/>
        <v>1</v>
      </c>
      <c r="BW62" s="15" t="str">
        <f t="shared" si="23"/>
        <v>тўғри</v>
      </c>
      <c r="BX62" s="71">
        <f t="shared" si="24"/>
        <v>3</v>
      </c>
      <c r="BY62" s="15">
        <f t="shared" si="25"/>
        <v>1</v>
      </c>
      <c r="BZ62" s="15" t="str">
        <f t="shared" si="26"/>
        <v>тўғри</v>
      </c>
    </row>
    <row r="63" spans="1:78" ht="14.25" customHeight="1" x14ac:dyDescent="0.25">
      <c r="A63" s="14" t="s">
        <v>26</v>
      </c>
      <c r="B63" s="104" t="s">
        <v>38</v>
      </c>
      <c r="C63" s="104"/>
      <c r="D63" s="149" t="s">
        <v>153</v>
      </c>
      <c r="E63" s="149"/>
      <c r="F63" s="149"/>
      <c r="G63" s="149"/>
      <c r="H63" s="149"/>
      <c r="I63" s="149"/>
      <c r="J63" s="149"/>
      <c r="K63" s="149"/>
      <c r="L63" s="149"/>
      <c r="M63" s="149"/>
      <c r="N63" s="149"/>
      <c r="O63" s="150"/>
      <c r="P63" s="144">
        <f t="shared" si="5"/>
        <v>90</v>
      </c>
      <c r="Q63" s="106"/>
      <c r="R63" s="106"/>
      <c r="S63" s="127"/>
      <c r="T63" s="127"/>
      <c r="U63" s="208"/>
      <c r="V63" s="152">
        <f t="shared" si="17"/>
        <v>30</v>
      </c>
      <c r="W63" s="106"/>
      <c r="X63" s="106"/>
      <c r="Y63" s="104">
        <v>10</v>
      </c>
      <c r="Z63" s="104"/>
      <c r="AA63" s="104"/>
      <c r="AB63" s="104">
        <v>10</v>
      </c>
      <c r="AC63" s="104"/>
      <c r="AD63" s="104"/>
      <c r="AE63" s="104"/>
      <c r="AF63" s="104"/>
      <c r="AG63" s="104"/>
      <c r="AH63" s="104">
        <v>10</v>
      </c>
      <c r="AI63" s="104"/>
      <c r="AJ63" s="104"/>
      <c r="AK63" s="104"/>
      <c r="AL63" s="104"/>
      <c r="AM63" s="104"/>
      <c r="AN63" s="104">
        <v>60</v>
      </c>
      <c r="AO63" s="104"/>
      <c r="AP63" s="145"/>
      <c r="AQ63" s="146">
        <v>2</v>
      </c>
      <c r="AR63" s="104"/>
      <c r="AS63" s="104"/>
      <c r="AT63" s="104"/>
      <c r="AU63" s="104"/>
      <c r="AV63" s="104"/>
      <c r="AW63" s="104"/>
      <c r="AX63" s="104"/>
      <c r="AY63" s="104"/>
      <c r="AZ63" s="104"/>
      <c r="BA63" s="104"/>
      <c r="BB63" s="145"/>
      <c r="BC63" s="146">
        <v>3</v>
      </c>
      <c r="BD63" s="104"/>
      <c r="BE63" s="104"/>
      <c r="BF63" s="104"/>
      <c r="BG63" s="104"/>
      <c r="BH63" s="104"/>
      <c r="BI63" s="104"/>
      <c r="BJ63" s="104"/>
      <c r="BK63" s="104"/>
      <c r="BL63" s="104"/>
      <c r="BM63" s="104"/>
      <c r="BN63" s="145"/>
      <c r="BO63" s="148">
        <f t="shared" si="18"/>
        <v>3</v>
      </c>
      <c r="BP63" s="105"/>
      <c r="BQ63" s="105"/>
      <c r="BR63" s="105"/>
      <c r="BS63" s="71">
        <f t="shared" si="19"/>
        <v>33.333333333333329</v>
      </c>
      <c r="BT63" s="71">
        <f t="shared" si="20"/>
        <v>66.666666666666657</v>
      </c>
      <c r="BU63" s="71">
        <f t="shared" si="21"/>
        <v>30</v>
      </c>
      <c r="BV63" s="15">
        <f t="shared" si="22"/>
        <v>1</v>
      </c>
      <c r="BW63" s="15" t="str">
        <f t="shared" si="23"/>
        <v>тўғри</v>
      </c>
      <c r="BX63" s="71">
        <f t="shared" si="24"/>
        <v>3</v>
      </c>
      <c r="BY63" s="15">
        <f t="shared" si="25"/>
        <v>1</v>
      </c>
      <c r="BZ63" s="15" t="str">
        <f t="shared" si="26"/>
        <v>тўғри</v>
      </c>
    </row>
    <row r="64" spans="1:78" ht="14.25" customHeight="1" x14ac:dyDescent="0.25">
      <c r="A64" s="14" t="s">
        <v>27</v>
      </c>
      <c r="B64" s="104" t="s">
        <v>37</v>
      </c>
      <c r="C64" s="104"/>
      <c r="D64" s="149" t="s">
        <v>152</v>
      </c>
      <c r="E64" s="149"/>
      <c r="F64" s="149"/>
      <c r="G64" s="149"/>
      <c r="H64" s="149"/>
      <c r="I64" s="149"/>
      <c r="J64" s="149"/>
      <c r="K64" s="149"/>
      <c r="L64" s="149"/>
      <c r="M64" s="149"/>
      <c r="N64" s="149"/>
      <c r="O64" s="150"/>
      <c r="P64" s="144">
        <f t="shared" si="5"/>
        <v>90</v>
      </c>
      <c r="Q64" s="106"/>
      <c r="R64" s="106"/>
      <c r="S64" s="127"/>
      <c r="T64" s="127"/>
      <c r="U64" s="208"/>
      <c r="V64" s="152">
        <f t="shared" si="17"/>
        <v>30</v>
      </c>
      <c r="W64" s="106"/>
      <c r="X64" s="106"/>
      <c r="Y64" s="104">
        <v>10</v>
      </c>
      <c r="Z64" s="104"/>
      <c r="AA64" s="104"/>
      <c r="AB64" s="104">
        <v>10</v>
      </c>
      <c r="AC64" s="104"/>
      <c r="AD64" s="104"/>
      <c r="AE64" s="104"/>
      <c r="AF64" s="104"/>
      <c r="AG64" s="104"/>
      <c r="AH64" s="104">
        <v>10</v>
      </c>
      <c r="AI64" s="104"/>
      <c r="AJ64" s="104"/>
      <c r="AK64" s="104"/>
      <c r="AL64" s="104"/>
      <c r="AM64" s="104"/>
      <c r="AN64" s="104">
        <v>60</v>
      </c>
      <c r="AO64" s="104"/>
      <c r="AP64" s="145"/>
      <c r="AQ64" s="146">
        <v>2</v>
      </c>
      <c r="AR64" s="104"/>
      <c r="AS64" s="104"/>
      <c r="AT64" s="104"/>
      <c r="AU64" s="104"/>
      <c r="AV64" s="104"/>
      <c r="AW64" s="104"/>
      <c r="AX64" s="104"/>
      <c r="AY64" s="104"/>
      <c r="AZ64" s="104"/>
      <c r="BA64" s="104"/>
      <c r="BB64" s="145"/>
      <c r="BC64" s="146">
        <v>3</v>
      </c>
      <c r="BD64" s="104"/>
      <c r="BE64" s="104"/>
      <c r="BF64" s="104"/>
      <c r="BG64" s="104"/>
      <c r="BH64" s="104"/>
      <c r="BI64" s="104"/>
      <c r="BJ64" s="104"/>
      <c r="BK64" s="104"/>
      <c r="BL64" s="104"/>
      <c r="BM64" s="104"/>
      <c r="BN64" s="145"/>
      <c r="BO64" s="148">
        <f t="shared" si="18"/>
        <v>3</v>
      </c>
      <c r="BP64" s="105"/>
      <c r="BQ64" s="105"/>
      <c r="BR64" s="105"/>
      <c r="BS64" s="71">
        <f t="shared" si="19"/>
        <v>33.333333333333329</v>
      </c>
      <c r="BT64" s="71">
        <f t="shared" si="20"/>
        <v>66.666666666666657</v>
      </c>
      <c r="BU64" s="71">
        <f t="shared" si="21"/>
        <v>30</v>
      </c>
      <c r="BV64" s="15">
        <f t="shared" si="22"/>
        <v>1</v>
      </c>
      <c r="BW64" s="15" t="str">
        <f t="shared" si="23"/>
        <v>тўғри</v>
      </c>
      <c r="BX64" s="71">
        <f t="shared" si="24"/>
        <v>3</v>
      </c>
      <c r="BY64" s="15">
        <f t="shared" si="25"/>
        <v>1</v>
      </c>
      <c r="BZ64" s="15" t="str">
        <f t="shared" si="26"/>
        <v>тўғри</v>
      </c>
    </row>
    <row r="65" spans="1:78" ht="14.25" customHeight="1" x14ac:dyDescent="0.25">
      <c r="A65" s="14" t="s">
        <v>28</v>
      </c>
      <c r="B65" s="104" t="s">
        <v>47</v>
      </c>
      <c r="C65" s="104"/>
      <c r="D65" s="149" t="s">
        <v>156</v>
      </c>
      <c r="E65" s="149"/>
      <c r="F65" s="149"/>
      <c r="G65" s="149"/>
      <c r="H65" s="149"/>
      <c r="I65" s="149"/>
      <c r="J65" s="149"/>
      <c r="K65" s="149"/>
      <c r="L65" s="149"/>
      <c r="M65" s="149"/>
      <c r="N65" s="149"/>
      <c r="O65" s="150"/>
      <c r="P65" s="144">
        <f>SUM(V65+AN65)</f>
        <v>90</v>
      </c>
      <c r="Q65" s="106"/>
      <c r="R65" s="106"/>
      <c r="S65" s="131"/>
      <c r="T65" s="131"/>
      <c r="U65" s="151"/>
      <c r="V65" s="152">
        <f t="shared" si="17"/>
        <v>30</v>
      </c>
      <c r="W65" s="106"/>
      <c r="X65" s="106"/>
      <c r="Y65" s="104">
        <v>16</v>
      </c>
      <c r="Z65" s="104"/>
      <c r="AA65" s="104"/>
      <c r="AB65" s="104">
        <v>6</v>
      </c>
      <c r="AC65" s="104"/>
      <c r="AD65" s="104"/>
      <c r="AE65" s="104"/>
      <c r="AF65" s="104"/>
      <c r="AG65" s="104"/>
      <c r="AH65" s="104">
        <v>8</v>
      </c>
      <c r="AI65" s="104"/>
      <c r="AJ65" s="104"/>
      <c r="AK65" s="106"/>
      <c r="AL65" s="106"/>
      <c r="AM65" s="106"/>
      <c r="AN65" s="104">
        <v>60</v>
      </c>
      <c r="AO65" s="104"/>
      <c r="AP65" s="145"/>
      <c r="AQ65" s="146">
        <v>2</v>
      </c>
      <c r="AR65" s="104"/>
      <c r="AS65" s="104"/>
      <c r="AT65" s="104"/>
      <c r="AU65" s="104"/>
      <c r="AV65" s="104"/>
      <c r="AW65" s="104"/>
      <c r="AX65" s="104"/>
      <c r="AY65" s="104"/>
      <c r="AZ65" s="104"/>
      <c r="BA65" s="104"/>
      <c r="BB65" s="145"/>
      <c r="BC65" s="146">
        <v>3</v>
      </c>
      <c r="BD65" s="104"/>
      <c r="BE65" s="104"/>
      <c r="BF65" s="104"/>
      <c r="BG65" s="104"/>
      <c r="BH65" s="104"/>
      <c r="BI65" s="104"/>
      <c r="BJ65" s="104"/>
      <c r="BK65" s="104"/>
      <c r="BL65" s="104"/>
      <c r="BM65" s="104"/>
      <c r="BN65" s="145"/>
      <c r="BO65" s="148">
        <f t="shared" si="18"/>
        <v>3</v>
      </c>
      <c r="BP65" s="105"/>
      <c r="BQ65" s="105"/>
      <c r="BR65" s="105"/>
      <c r="BS65" s="71">
        <f t="shared" ref="BS65:BS81" si="27">SUM(V65/P65)*100</f>
        <v>33.333333333333329</v>
      </c>
      <c r="BT65" s="71">
        <f t="shared" ref="BT65:BT81" si="28">SUM(AN65/P65)*100</f>
        <v>66.666666666666657</v>
      </c>
      <c r="BU65" s="71">
        <f t="shared" ref="BU65:BU77" si="29">SUM(Y65:AJ65)</f>
        <v>30</v>
      </c>
      <c r="BV65" s="15">
        <f t="shared" si="22"/>
        <v>1</v>
      </c>
      <c r="BW65" s="15" t="str">
        <f t="shared" si="23"/>
        <v>тўғри</v>
      </c>
      <c r="BX65" s="71">
        <f t="shared" si="24"/>
        <v>3</v>
      </c>
      <c r="BY65" s="15">
        <f t="shared" si="25"/>
        <v>1</v>
      </c>
      <c r="BZ65" s="15" t="str">
        <f t="shared" si="26"/>
        <v>тўғри</v>
      </c>
    </row>
    <row r="66" spans="1:78" ht="14.25" customHeight="1" x14ac:dyDescent="0.25">
      <c r="A66" s="14" t="s">
        <v>29</v>
      </c>
      <c r="B66" s="104" t="s">
        <v>35</v>
      </c>
      <c r="C66" s="104"/>
      <c r="D66" s="149" t="s">
        <v>157</v>
      </c>
      <c r="E66" s="149"/>
      <c r="F66" s="149"/>
      <c r="G66" s="149"/>
      <c r="H66" s="149"/>
      <c r="I66" s="149"/>
      <c r="J66" s="149"/>
      <c r="K66" s="149"/>
      <c r="L66" s="149"/>
      <c r="M66" s="149"/>
      <c r="N66" s="149"/>
      <c r="O66" s="150"/>
      <c r="P66" s="144">
        <f>SUM(V66+AN66)</f>
        <v>150</v>
      </c>
      <c r="Q66" s="106"/>
      <c r="R66" s="106"/>
      <c r="S66" s="131"/>
      <c r="T66" s="131"/>
      <c r="U66" s="151"/>
      <c r="V66" s="152">
        <f t="shared" si="17"/>
        <v>60</v>
      </c>
      <c r="W66" s="106"/>
      <c r="X66" s="106"/>
      <c r="Y66" s="104">
        <v>32</v>
      </c>
      <c r="Z66" s="104"/>
      <c r="AA66" s="104"/>
      <c r="AB66" s="104">
        <v>12</v>
      </c>
      <c r="AC66" s="104"/>
      <c r="AD66" s="104"/>
      <c r="AE66" s="104"/>
      <c r="AF66" s="104"/>
      <c r="AG66" s="104"/>
      <c r="AH66" s="104">
        <v>16</v>
      </c>
      <c r="AI66" s="104"/>
      <c r="AJ66" s="104"/>
      <c r="AK66" s="106"/>
      <c r="AL66" s="106"/>
      <c r="AM66" s="106"/>
      <c r="AN66" s="104">
        <v>90</v>
      </c>
      <c r="AO66" s="104"/>
      <c r="AP66" s="145"/>
      <c r="AQ66" s="146"/>
      <c r="AR66" s="104"/>
      <c r="AS66" s="104"/>
      <c r="AT66" s="104"/>
      <c r="AU66" s="104"/>
      <c r="AV66" s="104"/>
      <c r="AW66" s="104">
        <v>2</v>
      </c>
      <c r="AX66" s="104"/>
      <c r="AY66" s="104"/>
      <c r="AZ66" s="104">
        <v>2</v>
      </c>
      <c r="BA66" s="104"/>
      <c r="BB66" s="145"/>
      <c r="BC66" s="146"/>
      <c r="BD66" s="104"/>
      <c r="BE66" s="104"/>
      <c r="BF66" s="104"/>
      <c r="BG66" s="104"/>
      <c r="BH66" s="104"/>
      <c r="BI66" s="104">
        <v>3</v>
      </c>
      <c r="BJ66" s="104"/>
      <c r="BK66" s="104"/>
      <c r="BL66" s="104">
        <v>2</v>
      </c>
      <c r="BM66" s="104"/>
      <c r="BN66" s="145"/>
      <c r="BO66" s="148">
        <f t="shared" si="18"/>
        <v>5</v>
      </c>
      <c r="BP66" s="105"/>
      <c r="BQ66" s="105"/>
      <c r="BR66" s="105"/>
      <c r="BS66" s="71">
        <f t="shared" si="27"/>
        <v>40</v>
      </c>
      <c r="BT66" s="71">
        <f t="shared" si="28"/>
        <v>60</v>
      </c>
      <c r="BU66" s="71">
        <f t="shared" si="29"/>
        <v>60</v>
      </c>
      <c r="BV66" s="15">
        <f t="shared" si="22"/>
        <v>1</v>
      </c>
      <c r="BW66" s="15" t="str">
        <f t="shared" si="23"/>
        <v>тўғри</v>
      </c>
      <c r="BX66" s="71">
        <f t="shared" si="24"/>
        <v>5</v>
      </c>
      <c r="BY66" s="15">
        <f t="shared" si="25"/>
        <v>1</v>
      </c>
      <c r="BZ66" s="15" t="str">
        <f t="shared" si="26"/>
        <v>тўғри</v>
      </c>
    </row>
    <row r="67" spans="1:78" ht="14.25" customHeight="1" x14ac:dyDescent="0.25">
      <c r="A67" s="72" t="s">
        <v>9</v>
      </c>
      <c r="B67" s="104"/>
      <c r="C67" s="104"/>
      <c r="D67" s="182" t="s">
        <v>112</v>
      </c>
      <c r="E67" s="182"/>
      <c r="F67" s="182"/>
      <c r="G67" s="182"/>
      <c r="H67" s="182"/>
      <c r="I67" s="182"/>
      <c r="J67" s="182"/>
      <c r="K67" s="182"/>
      <c r="L67" s="182"/>
      <c r="M67" s="182"/>
      <c r="N67" s="182"/>
      <c r="O67" s="183"/>
      <c r="P67" s="144">
        <f t="shared" ref="P67" si="30">SUM(V67+AN67)</f>
        <v>330</v>
      </c>
      <c r="Q67" s="106"/>
      <c r="R67" s="106"/>
      <c r="S67" s="131">
        <f>P67/3600*100</f>
        <v>9.1666666666666661</v>
      </c>
      <c r="T67" s="131"/>
      <c r="U67" s="151"/>
      <c r="V67" s="152">
        <f t="shared" ref="V67:V68" si="31">SUM(AQ67+AT67+AW67+AZ67)*15</f>
        <v>120</v>
      </c>
      <c r="W67" s="106"/>
      <c r="X67" s="106"/>
      <c r="Y67" s="106">
        <f>SUM(Y68:AA76)</f>
        <v>10</v>
      </c>
      <c r="Z67" s="106"/>
      <c r="AA67" s="106"/>
      <c r="AB67" s="106">
        <f>SUM(AB68:AD76)</f>
        <v>100</v>
      </c>
      <c r="AC67" s="106"/>
      <c r="AD67" s="106"/>
      <c r="AE67" s="106">
        <f>SUM(AE68:AG76)</f>
        <v>0</v>
      </c>
      <c r="AF67" s="106"/>
      <c r="AG67" s="106"/>
      <c r="AH67" s="106">
        <f>SUM(AH68:AJ76)</f>
        <v>10</v>
      </c>
      <c r="AI67" s="106"/>
      <c r="AJ67" s="106"/>
      <c r="AK67" s="106">
        <f>SUM(AK68:AM76)</f>
        <v>0</v>
      </c>
      <c r="AL67" s="106"/>
      <c r="AM67" s="106"/>
      <c r="AN67" s="106">
        <f>SUM(AN68:AP76)</f>
        <v>210</v>
      </c>
      <c r="AO67" s="106"/>
      <c r="AP67" s="147"/>
      <c r="AQ67" s="144">
        <f>SUM(AQ68:AS76)</f>
        <v>2</v>
      </c>
      <c r="AR67" s="106"/>
      <c r="AS67" s="106"/>
      <c r="AT67" s="106">
        <f>SUM(AT68:AV76)</f>
        <v>4</v>
      </c>
      <c r="AU67" s="106"/>
      <c r="AV67" s="106"/>
      <c r="AW67" s="106">
        <f>SUM(AW68:AY76)</f>
        <v>2</v>
      </c>
      <c r="AX67" s="106"/>
      <c r="AY67" s="106"/>
      <c r="AZ67" s="106">
        <f>SUM(AZ68:BB76)</f>
        <v>0</v>
      </c>
      <c r="BA67" s="106"/>
      <c r="BB67" s="147"/>
      <c r="BC67" s="144">
        <f>SUM(BC68:BE76)</f>
        <v>2</v>
      </c>
      <c r="BD67" s="106"/>
      <c r="BE67" s="106"/>
      <c r="BF67" s="106">
        <f>SUM(BF68:BH76)</f>
        <v>6</v>
      </c>
      <c r="BG67" s="106"/>
      <c r="BH67" s="106"/>
      <c r="BI67" s="106">
        <f>SUM(BI68:BK76)</f>
        <v>3</v>
      </c>
      <c r="BJ67" s="106"/>
      <c r="BK67" s="106"/>
      <c r="BL67" s="106">
        <f>SUM(BL68:BN76)</f>
        <v>0</v>
      </c>
      <c r="BM67" s="106"/>
      <c r="BN67" s="147"/>
      <c r="BO67" s="148">
        <f t="shared" si="18"/>
        <v>11</v>
      </c>
      <c r="BP67" s="105"/>
      <c r="BQ67" s="105"/>
      <c r="BR67" s="105"/>
      <c r="BS67" s="71">
        <f t="shared" si="27"/>
        <v>36.363636363636367</v>
      </c>
      <c r="BT67" s="71">
        <f t="shared" si="28"/>
        <v>63.636363636363633</v>
      </c>
      <c r="BU67" s="71">
        <f t="shared" si="29"/>
        <v>120</v>
      </c>
      <c r="BV67" s="15">
        <f t="shared" si="22"/>
        <v>1</v>
      </c>
      <c r="BW67" s="15" t="str">
        <f t="shared" si="23"/>
        <v>тўғри</v>
      </c>
      <c r="BX67" s="71">
        <f t="shared" si="24"/>
        <v>11</v>
      </c>
      <c r="BY67" s="15">
        <f t="shared" si="25"/>
        <v>1</v>
      </c>
      <c r="BZ67" s="15" t="str">
        <f t="shared" si="26"/>
        <v>тўғри</v>
      </c>
    </row>
    <row r="68" spans="1:78" ht="14.25" customHeight="1" x14ac:dyDescent="0.25">
      <c r="A68" s="85" t="s">
        <v>10</v>
      </c>
      <c r="B68" s="104"/>
      <c r="C68" s="104"/>
      <c r="D68" s="178" t="s">
        <v>130</v>
      </c>
      <c r="E68" s="178"/>
      <c r="F68" s="178"/>
      <c r="G68" s="178"/>
      <c r="H68" s="178"/>
      <c r="I68" s="178"/>
      <c r="J68" s="178"/>
      <c r="K68" s="178"/>
      <c r="L68" s="178"/>
      <c r="M68" s="178"/>
      <c r="N68" s="178"/>
      <c r="O68" s="179"/>
      <c r="P68" s="144">
        <f>SUM(V68+AN68)</f>
        <v>90</v>
      </c>
      <c r="Q68" s="106"/>
      <c r="R68" s="106"/>
      <c r="S68" s="131"/>
      <c r="T68" s="131"/>
      <c r="U68" s="151"/>
      <c r="V68" s="152">
        <f t="shared" si="31"/>
        <v>30</v>
      </c>
      <c r="W68" s="106"/>
      <c r="X68" s="106"/>
      <c r="Y68" s="104"/>
      <c r="Z68" s="104"/>
      <c r="AA68" s="104"/>
      <c r="AB68" s="104">
        <v>30</v>
      </c>
      <c r="AC68" s="104"/>
      <c r="AD68" s="104"/>
      <c r="AE68" s="104"/>
      <c r="AF68" s="104"/>
      <c r="AG68" s="104"/>
      <c r="AH68" s="104"/>
      <c r="AI68" s="104"/>
      <c r="AJ68" s="104"/>
      <c r="AK68" s="104"/>
      <c r="AL68" s="104"/>
      <c r="AM68" s="104"/>
      <c r="AN68" s="104">
        <v>60</v>
      </c>
      <c r="AO68" s="104"/>
      <c r="AP68" s="145"/>
      <c r="AQ68" s="146"/>
      <c r="AR68" s="104"/>
      <c r="AS68" s="104"/>
      <c r="AT68" s="104">
        <v>2</v>
      </c>
      <c r="AU68" s="104"/>
      <c r="AV68" s="104"/>
      <c r="AW68" s="104"/>
      <c r="AX68" s="104"/>
      <c r="AY68" s="104"/>
      <c r="AZ68" s="104"/>
      <c r="BA68" s="104"/>
      <c r="BB68" s="145"/>
      <c r="BC68" s="146"/>
      <c r="BD68" s="104"/>
      <c r="BE68" s="104"/>
      <c r="BF68" s="104">
        <v>3</v>
      </c>
      <c r="BG68" s="104"/>
      <c r="BH68" s="104"/>
      <c r="BI68" s="104"/>
      <c r="BJ68" s="104"/>
      <c r="BK68" s="104"/>
      <c r="BL68" s="104"/>
      <c r="BM68" s="104"/>
      <c r="BN68" s="145"/>
      <c r="BO68" s="148">
        <f t="shared" si="18"/>
        <v>3</v>
      </c>
      <c r="BP68" s="105"/>
      <c r="BQ68" s="105"/>
      <c r="BR68" s="105"/>
      <c r="BS68" s="71">
        <f t="shared" si="27"/>
        <v>33.333333333333329</v>
      </c>
      <c r="BT68" s="71">
        <f t="shared" si="28"/>
        <v>66.666666666666657</v>
      </c>
      <c r="BU68" s="71">
        <f t="shared" si="29"/>
        <v>30</v>
      </c>
      <c r="BV68" s="15">
        <f t="shared" si="22"/>
        <v>1</v>
      </c>
      <c r="BW68" s="15" t="str">
        <f t="shared" si="23"/>
        <v>тўғри</v>
      </c>
      <c r="BX68" s="71">
        <f t="shared" si="24"/>
        <v>3</v>
      </c>
      <c r="BY68" s="15">
        <f t="shared" si="25"/>
        <v>1</v>
      </c>
      <c r="BZ68" s="15" t="str">
        <f t="shared" si="26"/>
        <v>тўғри</v>
      </c>
    </row>
    <row r="69" spans="1:78" ht="14.25" customHeight="1" x14ac:dyDescent="0.25">
      <c r="A69" s="71">
        <v>1</v>
      </c>
      <c r="B69" s="104" t="s">
        <v>214</v>
      </c>
      <c r="C69" s="104"/>
      <c r="D69" s="149" t="s">
        <v>136</v>
      </c>
      <c r="E69" s="149"/>
      <c r="F69" s="149"/>
      <c r="G69" s="149"/>
      <c r="H69" s="149"/>
      <c r="I69" s="149"/>
      <c r="J69" s="149"/>
      <c r="K69" s="149"/>
      <c r="L69" s="149"/>
      <c r="M69" s="149"/>
      <c r="N69" s="149"/>
      <c r="O69" s="150"/>
      <c r="P69" s="144"/>
      <c r="Q69" s="106"/>
      <c r="R69" s="106"/>
      <c r="S69" s="131"/>
      <c r="T69" s="131"/>
      <c r="U69" s="151"/>
      <c r="V69" s="152"/>
      <c r="W69" s="106"/>
      <c r="X69" s="106"/>
      <c r="Y69" s="104"/>
      <c r="Z69" s="104"/>
      <c r="AA69" s="104"/>
      <c r="AB69" s="104"/>
      <c r="AC69" s="104"/>
      <c r="AD69" s="104"/>
      <c r="AE69" s="104"/>
      <c r="AF69" s="104"/>
      <c r="AG69" s="104"/>
      <c r="AH69" s="104"/>
      <c r="AI69" s="104"/>
      <c r="AJ69" s="104"/>
      <c r="AK69" s="104"/>
      <c r="AL69" s="104"/>
      <c r="AM69" s="104"/>
      <c r="AN69" s="104"/>
      <c r="AO69" s="104"/>
      <c r="AP69" s="145"/>
      <c r="AQ69" s="146"/>
      <c r="AR69" s="104"/>
      <c r="AS69" s="104"/>
      <c r="AT69" s="104"/>
      <c r="AU69" s="104"/>
      <c r="AV69" s="104"/>
      <c r="AW69" s="104"/>
      <c r="AX69" s="104"/>
      <c r="AY69" s="104"/>
      <c r="AZ69" s="104"/>
      <c r="BA69" s="104"/>
      <c r="BB69" s="145"/>
      <c r="BC69" s="146"/>
      <c r="BD69" s="104"/>
      <c r="BE69" s="104"/>
      <c r="BF69" s="104"/>
      <c r="BG69" s="104"/>
      <c r="BH69" s="104"/>
      <c r="BI69" s="104"/>
      <c r="BJ69" s="104"/>
      <c r="BK69" s="104"/>
      <c r="BL69" s="104"/>
      <c r="BM69" s="104"/>
      <c r="BN69" s="145"/>
      <c r="BO69" s="148">
        <f t="shared" si="18"/>
        <v>0</v>
      </c>
      <c r="BP69" s="105"/>
      <c r="BQ69" s="105"/>
      <c r="BR69" s="105"/>
      <c r="BS69" s="71" t="e">
        <f t="shared" si="27"/>
        <v>#DIV/0!</v>
      </c>
      <c r="BT69" s="71" t="e">
        <f t="shared" si="28"/>
        <v>#DIV/0!</v>
      </c>
      <c r="BU69" s="71">
        <f t="shared" si="29"/>
        <v>0</v>
      </c>
      <c r="BV69" s="15">
        <f t="shared" si="22"/>
        <v>1</v>
      </c>
      <c r="BW69" s="15" t="str">
        <f t="shared" si="23"/>
        <v>тўғри</v>
      </c>
      <c r="BX69" s="71">
        <f t="shared" si="24"/>
        <v>0</v>
      </c>
      <c r="BY69" s="15">
        <f t="shared" si="25"/>
        <v>1</v>
      </c>
      <c r="BZ69" s="15" t="str">
        <f t="shared" si="26"/>
        <v>тўғри</v>
      </c>
    </row>
    <row r="70" spans="1:78" ht="14.25" customHeight="1" x14ac:dyDescent="0.25">
      <c r="A70" s="71">
        <v>2</v>
      </c>
      <c r="B70" s="104" t="s">
        <v>215</v>
      </c>
      <c r="C70" s="104"/>
      <c r="D70" s="149" t="s">
        <v>137</v>
      </c>
      <c r="E70" s="149"/>
      <c r="F70" s="149"/>
      <c r="G70" s="149"/>
      <c r="H70" s="149"/>
      <c r="I70" s="149"/>
      <c r="J70" s="149"/>
      <c r="K70" s="149"/>
      <c r="L70" s="149"/>
      <c r="M70" s="149"/>
      <c r="N70" s="149"/>
      <c r="O70" s="150"/>
      <c r="P70" s="144"/>
      <c r="Q70" s="106"/>
      <c r="R70" s="106"/>
      <c r="S70" s="131"/>
      <c r="T70" s="131"/>
      <c r="U70" s="151"/>
      <c r="V70" s="152"/>
      <c r="W70" s="106"/>
      <c r="X70" s="106"/>
      <c r="Y70" s="104"/>
      <c r="Z70" s="104"/>
      <c r="AA70" s="104"/>
      <c r="AB70" s="104"/>
      <c r="AC70" s="104"/>
      <c r="AD70" s="104"/>
      <c r="AE70" s="104"/>
      <c r="AF70" s="104"/>
      <c r="AG70" s="104"/>
      <c r="AH70" s="104"/>
      <c r="AI70" s="104"/>
      <c r="AJ70" s="104"/>
      <c r="AK70" s="104"/>
      <c r="AL70" s="104"/>
      <c r="AM70" s="104"/>
      <c r="AN70" s="104"/>
      <c r="AO70" s="104"/>
      <c r="AP70" s="145"/>
      <c r="AQ70" s="146"/>
      <c r="AR70" s="104"/>
      <c r="AS70" s="104"/>
      <c r="AT70" s="104"/>
      <c r="AU70" s="104"/>
      <c r="AV70" s="104"/>
      <c r="AW70" s="104"/>
      <c r="AX70" s="104"/>
      <c r="AY70" s="104"/>
      <c r="AZ70" s="104"/>
      <c r="BA70" s="104"/>
      <c r="BB70" s="145"/>
      <c r="BC70" s="146"/>
      <c r="BD70" s="104"/>
      <c r="BE70" s="104"/>
      <c r="BF70" s="104"/>
      <c r="BG70" s="104"/>
      <c r="BH70" s="104"/>
      <c r="BI70" s="104"/>
      <c r="BJ70" s="104"/>
      <c r="BK70" s="104"/>
      <c r="BL70" s="104"/>
      <c r="BM70" s="104"/>
      <c r="BN70" s="145"/>
      <c r="BO70" s="148">
        <f t="shared" si="18"/>
        <v>0</v>
      </c>
      <c r="BP70" s="105"/>
      <c r="BQ70" s="105"/>
      <c r="BR70" s="105"/>
      <c r="BS70" s="71" t="e">
        <f t="shared" si="27"/>
        <v>#DIV/0!</v>
      </c>
      <c r="BT70" s="71" t="e">
        <f t="shared" si="28"/>
        <v>#DIV/0!</v>
      </c>
      <c r="BU70" s="71">
        <f t="shared" si="29"/>
        <v>0</v>
      </c>
      <c r="BV70" s="15">
        <f t="shared" si="22"/>
        <v>1</v>
      </c>
      <c r="BW70" s="15" t="str">
        <f t="shared" si="23"/>
        <v>тўғри</v>
      </c>
      <c r="BX70" s="71">
        <f t="shared" si="24"/>
        <v>0</v>
      </c>
      <c r="BY70" s="15">
        <f t="shared" si="25"/>
        <v>1</v>
      </c>
      <c r="BZ70" s="15" t="str">
        <f t="shared" si="26"/>
        <v>тўғри</v>
      </c>
    </row>
    <row r="71" spans="1:78" ht="14.25" customHeight="1" x14ac:dyDescent="0.25">
      <c r="A71" s="85" t="s">
        <v>11</v>
      </c>
      <c r="B71" s="104"/>
      <c r="C71" s="104"/>
      <c r="D71" s="178" t="s">
        <v>130</v>
      </c>
      <c r="E71" s="178"/>
      <c r="F71" s="178"/>
      <c r="G71" s="178"/>
      <c r="H71" s="178"/>
      <c r="I71" s="178"/>
      <c r="J71" s="178"/>
      <c r="K71" s="178"/>
      <c r="L71" s="178"/>
      <c r="M71" s="178"/>
      <c r="N71" s="178"/>
      <c r="O71" s="179"/>
      <c r="P71" s="144">
        <f t="shared" ref="P71" si="32">SUM(V71+AN71)</f>
        <v>150</v>
      </c>
      <c r="Q71" s="106"/>
      <c r="R71" s="106"/>
      <c r="S71" s="131"/>
      <c r="T71" s="131"/>
      <c r="U71" s="151"/>
      <c r="V71" s="152">
        <f t="shared" ref="V71" si="33">SUM(AQ71+AT71+AW71+AZ71)*15</f>
        <v>60</v>
      </c>
      <c r="W71" s="106"/>
      <c r="X71" s="106"/>
      <c r="Y71" s="104"/>
      <c r="Z71" s="104"/>
      <c r="AA71" s="104"/>
      <c r="AB71" s="104">
        <v>60</v>
      </c>
      <c r="AC71" s="104"/>
      <c r="AD71" s="104"/>
      <c r="AE71" s="104"/>
      <c r="AF71" s="104"/>
      <c r="AG71" s="104"/>
      <c r="AH71" s="104"/>
      <c r="AI71" s="104"/>
      <c r="AJ71" s="104"/>
      <c r="AK71" s="106"/>
      <c r="AL71" s="106"/>
      <c r="AM71" s="106"/>
      <c r="AN71" s="104">
        <v>90</v>
      </c>
      <c r="AO71" s="104"/>
      <c r="AP71" s="145"/>
      <c r="AQ71" s="146">
        <v>2</v>
      </c>
      <c r="AR71" s="104"/>
      <c r="AS71" s="104"/>
      <c r="AT71" s="104">
        <v>2</v>
      </c>
      <c r="AU71" s="104"/>
      <c r="AV71" s="104"/>
      <c r="AW71" s="104"/>
      <c r="AX71" s="104"/>
      <c r="AY71" s="104"/>
      <c r="AZ71" s="104"/>
      <c r="BA71" s="104"/>
      <c r="BB71" s="145"/>
      <c r="BC71" s="146">
        <v>2</v>
      </c>
      <c r="BD71" s="104"/>
      <c r="BE71" s="104"/>
      <c r="BF71" s="104">
        <v>3</v>
      </c>
      <c r="BG71" s="104"/>
      <c r="BH71" s="104"/>
      <c r="BI71" s="104"/>
      <c r="BJ71" s="104"/>
      <c r="BK71" s="104"/>
      <c r="BL71" s="104"/>
      <c r="BM71" s="104"/>
      <c r="BN71" s="145"/>
      <c r="BO71" s="148">
        <f t="shared" si="18"/>
        <v>5</v>
      </c>
      <c r="BP71" s="105"/>
      <c r="BQ71" s="105"/>
      <c r="BR71" s="105"/>
      <c r="BS71" s="71">
        <f t="shared" si="27"/>
        <v>40</v>
      </c>
      <c r="BT71" s="71">
        <f t="shared" si="28"/>
        <v>60</v>
      </c>
      <c r="BU71" s="71">
        <f t="shared" si="29"/>
        <v>60</v>
      </c>
      <c r="BV71" s="15">
        <f t="shared" si="22"/>
        <v>1</v>
      </c>
      <c r="BW71" s="15" t="str">
        <f t="shared" si="23"/>
        <v>тўғри</v>
      </c>
      <c r="BX71" s="71">
        <f t="shared" si="24"/>
        <v>5</v>
      </c>
      <c r="BY71" s="15">
        <f t="shared" si="25"/>
        <v>1</v>
      </c>
      <c r="BZ71" s="15" t="str">
        <f t="shared" si="26"/>
        <v>тўғри</v>
      </c>
    </row>
    <row r="72" spans="1:78" ht="28.5" customHeight="1" x14ac:dyDescent="0.25">
      <c r="A72" s="71">
        <v>1</v>
      </c>
      <c r="B72" s="104" t="s">
        <v>216</v>
      </c>
      <c r="C72" s="104"/>
      <c r="D72" s="180" t="s">
        <v>138</v>
      </c>
      <c r="E72" s="180"/>
      <c r="F72" s="180"/>
      <c r="G72" s="180"/>
      <c r="H72" s="180"/>
      <c r="I72" s="180"/>
      <c r="J72" s="180"/>
      <c r="K72" s="180"/>
      <c r="L72" s="180"/>
      <c r="M72" s="180"/>
      <c r="N72" s="180"/>
      <c r="O72" s="181"/>
      <c r="P72" s="144"/>
      <c r="Q72" s="106"/>
      <c r="R72" s="106"/>
      <c r="S72" s="131"/>
      <c r="T72" s="131"/>
      <c r="U72" s="151"/>
      <c r="V72" s="152"/>
      <c r="W72" s="106"/>
      <c r="X72" s="106"/>
      <c r="Y72" s="104"/>
      <c r="Z72" s="104"/>
      <c r="AA72" s="104"/>
      <c r="AB72" s="104"/>
      <c r="AC72" s="104"/>
      <c r="AD72" s="104"/>
      <c r="AE72" s="104"/>
      <c r="AF72" s="104"/>
      <c r="AG72" s="104"/>
      <c r="AH72" s="104"/>
      <c r="AI72" s="104"/>
      <c r="AJ72" s="104"/>
      <c r="AK72" s="106"/>
      <c r="AL72" s="106"/>
      <c r="AM72" s="106"/>
      <c r="AN72" s="104"/>
      <c r="AO72" s="104"/>
      <c r="AP72" s="145"/>
      <c r="AQ72" s="146"/>
      <c r="AR72" s="104"/>
      <c r="AS72" s="104"/>
      <c r="AT72" s="104"/>
      <c r="AU72" s="104"/>
      <c r="AV72" s="104"/>
      <c r="AW72" s="104"/>
      <c r="AX72" s="104"/>
      <c r="AY72" s="104"/>
      <c r="AZ72" s="104"/>
      <c r="BA72" s="104"/>
      <c r="BB72" s="145"/>
      <c r="BC72" s="146"/>
      <c r="BD72" s="104"/>
      <c r="BE72" s="104"/>
      <c r="BF72" s="104"/>
      <c r="BG72" s="104"/>
      <c r="BH72" s="104"/>
      <c r="BI72" s="104"/>
      <c r="BJ72" s="104"/>
      <c r="BK72" s="104"/>
      <c r="BL72" s="104"/>
      <c r="BM72" s="104"/>
      <c r="BN72" s="145"/>
      <c r="BO72" s="148">
        <f t="shared" si="18"/>
        <v>0</v>
      </c>
      <c r="BP72" s="105"/>
      <c r="BQ72" s="105"/>
      <c r="BR72" s="105"/>
      <c r="BS72" s="71" t="e">
        <f t="shared" si="27"/>
        <v>#DIV/0!</v>
      </c>
      <c r="BT72" s="71" t="e">
        <f t="shared" si="28"/>
        <v>#DIV/0!</v>
      </c>
      <c r="BU72" s="71">
        <f t="shared" si="29"/>
        <v>0</v>
      </c>
      <c r="BV72" s="15">
        <f t="shared" si="22"/>
        <v>1</v>
      </c>
      <c r="BW72" s="15" t="str">
        <f t="shared" si="23"/>
        <v>тўғри</v>
      </c>
      <c r="BX72" s="71">
        <f t="shared" si="24"/>
        <v>0</v>
      </c>
      <c r="BY72" s="15">
        <f t="shared" si="25"/>
        <v>1</v>
      </c>
      <c r="BZ72" s="15" t="str">
        <f t="shared" si="26"/>
        <v>тўғри</v>
      </c>
    </row>
    <row r="73" spans="1:78" ht="14.25" customHeight="1" x14ac:dyDescent="0.25">
      <c r="A73" s="71">
        <v>2</v>
      </c>
      <c r="B73" s="104" t="s">
        <v>217</v>
      </c>
      <c r="C73" s="104"/>
      <c r="D73" s="149" t="s">
        <v>139</v>
      </c>
      <c r="E73" s="149"/>
      <c r="F73" s="149"/>
      <c r="G73" s="149"/>
      <c r="H73" s="149"/>
      <c r="I73" s="149"/>
      <c r="J73" s="149"/>
      <c r="K73" s="149"/>
      <c r="L73" s="149"/>
      <c r="M73" s="149"/>
      <c r="N73" s="149"/>
      <c r="O73" s="150"/>
      <c r="P73" s="144"/>
      <c r="Q73" s="106"/>
      <c r="R73" s="106"/>
      <c r="S73" s="131"/>
      <c r="T73" s="131"/>
      <c r="U73" s="151"/>
      <c r="V73" s="152"/>
      <c r="W73" s="106"/>
      <c r="X73" s="106"/>
      <c r="Y73" s="104"/>
      <c r="Z73" s="104"/>
      <c r="AA73" s="104"/>
      <c r="AB73" s="104"/>
      <c r="AC73" s="104"/>
      <c r="AD73" s="104"/>
      <c r="AE73" s="104"/>
      <c r="AF73" s="104"/>
      <c r="AG73" s="104"/>
      <c r="AH73" s="104"/>
      <c r="AI73" s="104"/>
      <c r="AJ73" s="104"/>
      <c r="AK73" s="106"/>
      <c r="AL73" s="106"/>
      <c r="AM73" s="106"/>
      <c r="AN73" s="104"/>
      <c r="AO73" s="104"/>
      <c r="AP73" s="145"/>
      <c r="AQ73" s="146"/>
      <c r="AR73" s="104"/>
      <c r="AS73" s="104"/>
      <c r="AT73" s="104"/>
      <c r="AU73" s="104"/>
      <c r="AV73" s="104"/>
      <c r="AW73" s="104"/>
      <c r="AX73" s="104"/>
      <c r="AY73" s="104"/>
      <c r="AZ73" s="104"/>
      <c r="BA73" s="104"/>
      <c r="BB73" s="145"/>
      <c r="BC73" s="146"/>
      <c r="BD73" s="104"/>
      <c r="BE73" s="104"/>
      <c r="BF73" s="104"/>
      <c r="BG73" s="104"/>
      <c r="BH73" s="104"/>
      <c r="BI73" s="104"/>
      <c r="BJ73" s="104"/>
      <c r="BK73" s="104"/>
      <c r="BL73" s="104"/>
      <c r="BM73" s="104"/>
      <c r="BN73" s="145"/>
      <c r="BO73" s="148">
        <f t="shared" si="18"/>
        <v>0</v>
      </c>
      <c r="BP73" s="105"/>
      <c r="BQ73" s="105"/>
      <c r="BR73" s="105"/>
      <c r="BS73" s="71" t="e">
        <f t="shared" si="27"/>
        <v>#DIV/0!</v>
      </c>
      <c r="BT73" s="71" t="e">
        <f t="shared" si="28"/>
        <v>#DIV/0!</v>
      </c>
      <c r="BU73" s="71">
        <f t="shared" si="29"/>
        <v>0</v>
      </c>
      <c r="BV73" s="15">
        <f t="shared" si="22"/>
        <v>1</v>
      </c>
      <c r="BW73" s="15" t="str">
        <f t="shared" si="23"/>
        <v>тўғри</v>
      </c>
      <c r="BX73" s="71">
        <f t="shared" si="24"/>
        <v>0</v>
      </c>
      <c r="BY73" s="15">
        <f t="shared" si="25"/>
        <v>1</v>
      </c>
      <c r="BZ73" s="15" t="str">
        <f t="shared" si="26"/>
        <v>тўғри</v>
      </c>
    </row>
    <row r="74" spans="1:78" ht="14.25" customHeight="1" x14ac:dyDescent="0.25">
      <c r="A74" s="85" t="s">
        <v>12</v>
      </c>
      <c r="B74" s="104"/>
      <c r="C74" s="104"/>
      <c r="D74" s="178" t="s">
        <v>131</v>
      </c>
      <c r="E74" s="178"/>
      <c r="F74" s="178"/>
      <c r="G74" s="178"/>
      <c r="H74" s="178"/>
      <c r="I74" s="178"/>
      <c r="J74" s="178"/>
      <c r="K74" s="178"/>
      <c r="L74" s="178"/>
      <c r="M74" s="178"/>
      <c r="N74" s="178"/>
      <c r="O74" s="179"/>
      <c r="P74" s="144">
        <f>SUM(V74+AN74)</f>
        <v>90</v>
      </c>
      <c r="Q74" s="106"/>
      <c r="R74" s="106"/>
      <c r="S74" s="131"/>
      <c r="T74" s="131"/>
      <c r="U74" s="151"/>
      <c r="V74" s="152">
        <f t="shared" ref="V74" si="34">SUM(AQ74+AT74+AW74+AZ74)*15</f>
        <v>30</v>
      </c>
      <c r="W74" s="106"/>
      <c r="X74" s="106"/>
      <c r="Y74" s="104">
        <v>10</v>
      </c>
      <c r="Z74" s="104"/>
      <c r="AA74" s="104"/>
      <c r="AB74" s="104">
        <v>10</v>
      </c>
      <c r="AC74" s="104"/>
      <c r="AD74" s="104"/>
      <c r="AE74" s="104"/>
      <c r="AF74" s="104"/>
      <c r="AG74" s="104"/>
      <c r="AH74" s="104">
        <v>10</v>
      </c>
      <c r="AI74" s="104"/>
      <c r="AJ74" s="104"/>
      <c r="AK74" s="106"/>
      <c r="AL74" s="106"/>
      <c r="AM74" s="106"/>
      <c r="AN74" s="104">
        <v>60</v>
      </c>
      <c r="AO74" s="104"/>
      <c r="AP74" s="145"/>
      <c r="AQ74" s="146"/>
      <c r="AR74" s="104"/>
      <c r="AS74" s="104"/>
      <c r="AT74" s="104"/>
      <c r="AU74" s="104"/>
      <c r="AV74" s="104"/>
      <c r="AW74" s="104">
        <v>2</v>
      </c>
      <c r="AX74" s="104"/>
      <c r="AY74" s="104"/>
      <c r="AZ74" s="104"/>
      <c r="BA74" s="104"/>
      <c r="BB74" s="145"/>
      <c r="BC74" s="146"/>
      <c r="BD74" s="104"/>
      <c r="BE74" s="104"/>
      <c r="BF74" s="104"/>
      <c r="BG74" s="104"/>
      <c r="BH74" s="104"/>
      <c r="BI74" s="104">
        <v>3</v>
      </c>
      <c r="BJ74" s="104"/>
      <c r="BK74" s="104"/>
      <c r="BL74" s="104"/>
      <c r="BM74" s="104"/>
      <c r="BN74" s="145"/>
      <c r="BO74" s="148">
        <f t="shared" si="18"/>
        <v>3</v>
      </c>
      <c r="BP74" s="105"/>
      <c r="BQ74" s="105"/>
      <c r="BR74" s="105"/>
      <c r="BS74" s="71">
        <f t="shared" si="27"/>
        <v>33.333333333333329</v>
      </c>
      <c r="BT74" s="71">
        <f t="shared" si="28"/>
        <v>66.666666666666657</v>
      </c>
      <c r="BU74" s="71">
        <f t="shared" si="29"/>
        <v>30</v>
      </c>
      <c r="BV74" s="15">
        <f t="shared" si="22"/>
        <v>1</v>
      </c>
      <c r="BW74" s="15" t="str">
        <f t="shared" si="23"/>
        <v>тўғри</v>
      </c>
      <c r="BX74" s="71">
        <f t="shared" si="24"/>
        <v>3</v>
      </c>
      <c r="BY74" s="15">
        <f t="shared" si="25"/>
        <v>1</v>
      </c>
      <c r="BZ74" s="15" t="str">
        <f t="shared" si="26"/>
        <v>тўғри</v>
      </c>
    </row>
    <row r="75" spans="1:78" ht="14.25" customHeight="1" x14ac:dyDescent="0.25">
      <c r="A75" s="71">
        <v>1</v>
      </c>
      <c r="B75" s="104" t="s">
        <v>32</v>
      </c>
      <c r="C75" s="104"/>
      <c r="D75" s="149" t="s">
        <v>247</v>
      </c>
      <c r="E75" s="149"/>
      <c r="F75" s="149"/>
      <c r="G75" s="149"/>
      <c r="H75" s="149"/>
      <c r="I75" s="149"/>
      <c r="J75" s="149"/>
      <c r="K75" s="149"/>
      <c r="L75" s="149"/>
      <c r="M75" s="149"/>
      <c r="N75" s="149"/>
      <c r="O75" s="150"/>
      <c r="P75" s="144"/>
      <c r="Q75" s="106"/>
      <c r="R75" s="106"/>
      <c r="S75" s="131"/>
      <c r="T75" s="131"/>
      <c r="U75" s="151"/>
      <c r="V75" s="152"/>
      <c r="W75" s="106"/>
      <c r="X75" s="106"/>
      <c r="Y75" s="104"/>
      <c r="Z75" s="104"/>
      <c r="AA75" s="104"/>
      <c r="AB75" s="104"/>
      <c r="AC75" s="104"/>
      <c r="AD75" s="104"/>
      <c r="AE75" s="104"/>
      <c r="AF75" s="104"/>
      <c r="AG75" s="104"/>
      <c r="AH75" s="104"/>
      <c r="AI75" s="104"/>
      <c r="AJ75" s="104"/>
      <c r="AK75" s="106"/>
      <c r="AL75" s="106"/>
      <c r="AM75" s="106"/>
      <c r="AN75" s="104"/>
      <c r="AO75" s="104"/>
      <c r="AP75" s="145"/>
      <c r="AQ75" s="146"/>
      <c r="AR75" s="104"/>
      <c r="AS75" s="104"/>
      <c r="AT75" s="104"/>
      <c r="AU75" s="104"/>
      <c r="AV75" s="104"/>
      <c r="AW75" s="104"/>
      <c r="AX75" s="104"/>
      <c r="AY75" s="104"/>
      <c r="AZ75" s="104"/>
      <c r="BA75" s="104"/>
      <c r="BB75" s="145"/>
      <c r="BC75" s="146"/>
      <c r="BD75" s="104"/>
      <c r="BE75" s="104"/>
      <c r="BF75" s="104"/>
      <c r="BG75" s="104"/>
      <c r="BH75" s="104"/>
      <c r="BI75" s="104"/>
      <c r="BJ75" s="104"/>
      <c r="BK75" s="104"/>
      <c r="BL75" s="104"/>
      <c r="BM75" s="104"/>
      <c r="BN75" s="145"/>
      <c r="BO75" s="148">
        <f t="shared" si="18"/>
        <v>0</v>
      </c>
      <c r="BP75" s="105"/>
      <c r="BQ75" s="105"/>
      <c r="BR75" s="105"/>
      <c r="BS75" s="71" t="e">
        <f t="shared" si="27"/>
        <v>#DIV/0!</v>
      </c>
      <c r="BT75" s="71" t="e">
        <f t="shared" si="28"/>
        <v>#DIV/0!</v>
      </c>
      <c r="BU75" s="71">
        <f t="shared" si="29"/>
        <v>0</v>
      </c>
      <c r="BV75" s="15">
        <f t="shared" si="22"/>
        <v>1</v>
      </c>
      <c r="BW75" s="15" t="str">
        <f t="shared" si="23"/>
        <v>тўғри</v>
      </c>
      <c r="BX75" s="71">
        <f t="shared" si="24"/>
        <v>0</v>
      </c>
      <c r="BY75" s="15">
        <f t="shared" si="25"/>
        <v>1</v>
      </c>
      <c r="BZ75" s="15" t="str">
        <f t="shared" si="26"/>
        <v>тўғри</v>
      </c>
    </row>
    <row r="76" spans="1:78" ht="14.25" customHeight="1" x14ac:dyDescent="0.25">
      <c r="A76" s="71">
        <v>2</v>
      </c>
      <c r="B76" s="104" t="s">
        <v>33</v>
      </c>
      <c r="C76" s="104"/>
      <c r="D76" s="149" t="s">
        <v>140</v>
      </c>
      <c r="E76" s="149"/>
      <c r="F76" s="149"/>
      <c r="G76" s="149"/>
      <c r="H76" s="149"/>
      <c r="I76" s="149"/>
      <c r="J76" s="149"/>
      <c r="K76" s="149"/>
      <c r="L76" s="149"/>
      <c r="M76" s="149"/>
      <c r="N76" s="149"/>
      <c r="O76" s="150"/>
      <c r="P76" s="144"/>
      <c r="Q76" s="106"/>
      <c r="R76" s="106"/>
      <c r="S76" s="131"/>
      <c r="T76" s="131"/>
      <c r="U76" s="151"/>
      <c r="V76" s="152"/>
      <c r="W76" s="106"/>
      <c r="X76" s="106"/>
      <c r="Y76" s="104"/>
      <c r="Z76" s="104"/>
      <c r="AA76" s="104"/>
      <c r="AB76" s="104"/>
      <c r="AC76" s="104"/>
      <c r="AD76" s="104"/>
      <c r="AE76" s="104"/>
      <c r="AF76" s="104"/>
      <c r="AG76" s="104"/>
      <c r="AH76" s="104"/>
      <c r="AI76" s="104"/>
      <c r="AJ76" s="104"/>
      <c r="AK76" s="106"/>
      <c r="AL76" s="106"/>
      <c r="AM76" s="106"/>
      <c r="AN76" s="104"/>
      <c r="AO76" s="104"/>
      <c r="AP76" s="145"/>
      <c r="AQ76" s="146"/>
      <c r="AR76" s="104"/>
      <c r="AS76" s="104"/>
      <c r="AT76" s="104"/>
      <c r="AU76" s="104"/>
      <c r="AV76" s="104"/>
      <c r="AW76" s="104"/>
      <c r="AX76" s="104"/>
      <c r="AY76" s="104"/>
      <c r="AZ76" s="104"/>
      <c r="BA76" s="104"/>
      <c r="BB76" s="145"/>
      <c r="BC76" s="146"/>
      <c r="BD76" s="104"/>
      <c r="BE76" s="104"/>
      <c r="BF76" s="104"/>
      <c r="BG76" s="104"/>
      <c r="BH76" s="104"/>
      <c r="BI76" s="104"/>
      <c r="BJ76" s="104"/>
      <c r="BK76" s="104"/>
      <c r="BL76" s="104"/>
      <c r="BM76" s="104"/>
      <c r="BN76" s="145"/>
      <c r="BO76" s="148">
        <f t="shared" si="18"/>
        <v>0</v>
      </c>
      <c r="BP76" s="105"/>
      <c r="BQ76" s="105"/>
      <c r="BR76" s="105"/>
      <c r="BS76" s="71" t="e">
        <f t="shared" si="27"/>
        <v>#DIV/0!</v>
      </c>
      <c r="BT76" s="71" t="e">
        <f t="shared" si="28"/>
        <v>#DIV/0!</v>
      </c>
      <c r="BU76" s="71">
        <f t="shared" si="29"/>
        <v>0</v>
      </c>
      <c r="BV76" s="15">
        <f t="shared" si="22"/>
        <v>1</v>
      </c>
      <c r="BW76" s="15" t="str">
        <f t="shared" si="23"/>
        <v>тўғри</v>
      </c>
      <c r="BX76" s="71">
        <f t="shared" si="24"/>
        <v>0</v>
      </c>
      <c r="BY76" s="15">
        <f t="shared" si="25"/>
        <v>1</v>
      </c>
      <c r="BZ76" s="15" t="str">
        <f t="shared" si="26"/>
        <v>тўғри</v>
      </c>
    </row>
    <row r="77" spans="1:78" ht="14.25" customHeight="1" x14ac:dyDescent="0.25">
      <c r="A77" s="71"/>
      <c r="B77" s="104"/>
      <c r="C77" s="104"/>
      <c r="D77" s="184" t="s">
        <v>133</v>
      </c>
      <c r="E77" s="184"/>
      <c r="F77" s="184"/>
      <c r="G77" s="184"/>
      <c r="H77" s="184"/>
      <c r="I77" s="184"/>
      <c r="J77" s="184"/>
      <c r="K77" s="184"/>
      <c r="L77" s="184"/>
      <c r="M77" s="184"/>
      <c r="N77" s="184"/>
      <c r="O77" s="185"/>
      <c r="P77" s="144">
        <f>SUM(V77+AN77)</f>
        <v>1800</v>
      </c>
      <c r="Q77" s="106"/>
      <c r="R77" s="106"/>
      <c r="S77" s="131">
        <f>P77/3600*100</f>
        <v>50</v>
      </c>
      <c r="T77" s="131"/>
      <c r="U77" s="151"/>
      <c r="V77" s="152">
        <f t="shared" ref="V77" si="35">SUM(AQ77+AT77+AW77+AZ77)*15</f>
        <v>690</v>
      </c>
      <c r="W77" s="106"/>
      <c r="X77" s="106"/>
      <c r="Y77" s="106">
        <f>SUM(Y67+Y57)</f>
        <v>120</v>
      </c>
      <c r="Z77" s="106"/>
      <c r="AA77" s="106"/>
      <c r="AB77" s="106">
        <f t="shared" ref="AB77" si="36">SUM(AB67+AB57)</f>
        <v>386</v>
      </c>
      <c r="AC77" s="106"/>
      <c r="AD77" s="106"/>
      <c r="AE77" s="106">
        <f t="shared" ref="AE77" si="37">SUM(AE67+AE57)</f>
        <v>120</v>
      </c>
      <c r="AF77" s="106"/>
      <c r="AG77" s="106"/>
      <c r="AH77" s="106">
        <f t="shared" ref="AH77" si="38">SUM(AH67+AH57)</f>
        <v>64</v>
      </c>
      <c r="AI77" s="106"/>
      <c r="AJ77" s="106"/>
      <c r="AK77" s="106"/>
      <c r="AL77" s="106"/>
      <c r="AM77" s="106"/>
      <c r="AN77" s="106">
        <f>SUM(AN67+AN57)</f>
        <v>1110</v>
      </c>
      <c r="AO77" s="106"/>
      <c r="AP77" s="147"/>
      <c r="AQ77" s="144">
        <f>SUM(AQ67+AQ57)</f>
        <v>18</v>
      </c>
      <c r="AR77" s="106"/>
      <c r="AS77" s="106"/>
      <c r="AT77" s="106">
        <f>SUM(AT67+AT57)</f>
        <v>10</v>
      </c>
      <c r="AU77" s="106"/>
      <c r="AV77" s="106"/>
      <c r="AW77" s="106">
        <f>SUM(AW67+AW57)</f>
        <v>12</v>
      </c>
      <c r="AX77" s="106"/>
      <c r="AY77" s="106"/>
      <c r="AZ77" s="106">
        <f>SUM(AZ67+AZ57)</f>
        <v>6</v>
      </c>
      <c r="BA77" s="106"/>
      <c r="BB77" s="147"/>
      <c r="BC77" s="144">
        <f>SUM(BC67+BC57)</f>
        <v>24</v>
      </c>
      <c r="BD77" s="106"/>
      <c r="BE77" s="106"/>
      <c r="BF77" s="106">
        <f>SUM(BF67+BF57)</f>
        <v>13</v>
      </c>
      <c r="BG77" s="106"/>
      <c r="BH77" s="106"/>
      <c r="BI77" s="106">
        <f>SUM(BI67+BI57)</f>
        <v>15</v>
      </c>
      <c r="BJ77" s="106"/>
      <c r="BK77" s="106"/>
      <c r="BL77" s="106">
        <f>SUM(BL67+BL57)</f>
        <v>8</v>
      </c>
      <c r="BM77" s="106"/>
      <c r="BN77" s="147"/>
      <c r="BO77" s="148">
        <f t="shared" si="18"/>
        <v>60</v>
      </c>
      <c r="BP77" s="105"/>
      <c r="BQ77" s="105"/>
      <c r="BR77" s="105"/>
      <c r="BS77" s="71">
        <f t="shared" si="27"/>
        <v>38.333333333333336</v>
      </c>
      <c r="BT77" s="71">
        <f t="shared" si="28"/>
        <v>61.666666666666671</v>
      </c>
      <c r="BU77" s="71">
        <f t="shared" si="29"/>
        <v>690</v>
      </c>
      <c r="BV77" s="15">
        <f t="shared" si="22"/>
        <v>1</v>
      </c>
      <c r="BW77" s="15" t="str">
        <f t="shared" si="23"/>
        <v>тўғри</v>
      </c>
      <c r="BX77" s="71">
        <f t="shared" si="24"/>
        <v>60</v>
      </c>
      <c r="BY77" s="15">
        <f t="shared" si="25"/>
        <v>1</v>
      </c>
      <c r="BZ77" s="15" t="str">
        <f>IF(BY77=1,"тўғри","хато")</f>
        <v>тўғри</v>
      </c>
    </row>
    <row r="78" spans="1:78" ht="14.25" customHeight="1" x14ac:dyDescent="0.25">
      <c r="A78" s="72" t="s">
        <v>49</v>
      </c>
      <c r="B78" s="104"/>
      <c r="C78" s="104"/>
      <c r="D78" s="182" t="s">
        <v>132</v>
      </c>
      <c r="E78" s="182"/>
      <c r="F78" s="182"/>
      <c r="G78" s="182"/>
      <c r="H78" s="182"/>
      <c r="I78" s="182"/>
      <c r="J78" s="182"/>
      <c r="K78" s="182"/>
      <c r="L78" s="182"/>
      <c r="M78" s="182"/>
      <c r="N78" s="182"/>
      <c r="O78" s="183"/>
      <c r="P78" s="144">
        <f>SUM(V78+AN78)</f>
        <v>1800</v>
      </c>
      <c r="Q78" s="106"/>
      <c r="R78" s="106"/>
      <c r="S78" s="131">
        <f>P78/3600*100</f>
        <v>50</v>
      </c>
      <c r="T78" s="131"/>
      <c r="U78" s="151"/>
      <c r="V78" s="152">
        <f>SUM(V79:X81)</f>
        <v>750</v>
      </c>
      <c r="W78" s="106"/>
      <c r="X78" s="106"/>
      <c r="Y78" s="106"/>
      <c r="Z78" s="106"/>
      <c r="AA78" s="106"/>
      <c r="AB78" s="106"/>
      <c r="AC78" s="106"/>
      <c r="AD78" s="106"/>
      <c r="AE78" s="106"/>
      <c r="AF78" s="106"/>
      <c r="AG78" s="106"/>
      <c r="AH78" s="106"/>
      <c r="AI78" s="106"/>
      <c r="AJ78" s="106"/>
      <c r="AK78" s="106"/>
      <c r="AL78" s="106"/>
      <c r="AM78" s="106"/>
      <c r="AN78" s="106">
        <f>SUM(AN79:AP81)</f>
        <v>1050</v>
      </c>
      <c r="AO78" s="106"/>
      <c r="AP78" s="147"/>
      <c r="AQ78" s="144">
        <f>SUM(AQ79:AS81)</f>
        <v>6</v>
      </c>
      <c r="AR78" s="106"/>
      <c r="AS78" s="106"/>
      <c r="AT78" s="106">
        <f>SUM(AT79:AV81)</f>
        <v>14</v>
      </c>
      <c r="AU78" s="106"/>
      <c r="AV78" s="106"/>
      <c r="AW78" s="106">
        <f>SUM(AW79:AY81)</f>
        <v>12</v>
      </c>
      <c r="AX78" s="106"/>
      <c r="AY78" s="106"/>
      <c r="AZ78" s="106">
        <f>SUM(AZ79:BB81)</f>
        <v>18</v>
      </c>
      <c r="BA78" s="106"/>
      <c r="BB78" s="147"/>
      <c r="BC78" s="144">
        <f>SUM(BC79:BE81)</f>
        <v>6</v>
      </c>
      <c r="BD78" s="106"/>
      <c r="BE78" s="106"/>
      <c r="BF78" s="106">
        <f>SUM(BF79:BH81)</f>
        <v>17</v>
      </c>
      <c r="BG78" s="106"/>
      <c r="BH78" s="106"/>
      <c r="BI78" s="106">
        <f>SUM(BI79:BK81)</f>
        <v>15</v>
      </c>
      <c r="BJ78" s="106"/>
      <c r="BK78" s="106"/>
      <c r="BL78" s="106">
        <f>SUM(BL79:BN81)</f>
        <v>22</v>
      </c>
      <c r="BM78" s="106"/>
      <c r="BN78" s="147"/>
      <c r="BO78" s="148">
        <f>SUM(P78/30)</f>
        <v>60</v>
      </c>
      <c r="BP78" s="105"/>
      <c r="BQ78" s="105"/>
      <c r="BR78" s="105"/>
      <c r="BS78" s="71">
        <f t="shared" si="27"/>
        <v>41.666666666666671</v>
      </c>
      <c r="BT78" s="71">
        <f t="shared" si="28"/>
        <v>58.333333333333336</v>
      </c>
      <c r="BU78" s="71"/>
      <c r="BV78" s="15"/>
      <c r="BW78" s="15"/>
      <c r="BX78" s="71">
        <f>SUM(BC78:BN78)</f>
        <v>60</v>
      </c>
      <c r="BY78" s="15">
        <f t="shared" si="25"/>
        <v>1</v>
      </c>
      <c r="BZ78" s="15" t="str">
        <f t="shared" ref="BZ78:BZ80" si="39">IF(BY78=1,"тўғри","хато")</f>
        <v>тўғри</v>
      </c>
    </row>
    <row r="79" spans="1:78" ht="28.5" customHeight="1" x14ac:dyDescent="0.25">
      <c r="A79" s="14" t="s">
        <v>50</v>
      </c>
      <c r="B79" s="104"/>
      <c r="C79" s="104"/>
      <c r="D79" s="180" t="s">
        <v>99</v>
      </c>
      <c r="E79" s="180"/>
      <c r="F79" s="180"/>
      <c r="G79" s="180"/>
      <c r="H79" s="180"/>
      <c r="I79" s="180"/>
      <c r="J79" s="180"/>
      <c r="K79" s="180"/>
      <c r="L79" s="180"/>
      <c r="M79" s="180"/>
      <c r="N79" s="180"/>
      <c r="O79" s="181"/>
      <c r="P79" s="144">
        <f>SUM(V79+AN79)</f>
        <v>1080</v>
      </c>
      <c r="Q79" s="106"/>
      <c r="R79" s="106"/>
      <c r="S79" s="106"/>
      <c r="T79" s="106"/>
      <c r="U79" s="147"/>
      <c r="V79" s="152">
        <f t="shared" ref="V79:V81" si="40">SUM(AQ79+AT79+AW79+AZ79)*15</f>
        <v>480</v>
      </c>
      <c r="W79" s="106"/>
      <c r="X79" s="106"/>
      <c r="Y79" s="106"/>
      <c r="Z79" s="106"/>
      <c r="AA79" s="106"/>
      <c r="AB79" s="106"/>
      <c r="AC79" s="106"/>
      <c r="AD79" s="106"/>
      <c r="AE79" s="106"/>
      <c r="AF79" s="106"/>
      <c r="AG79" s="106"/>
      <c r="AH79" s="106"/>
      <c r="AI79" s="106"/>
      <c r="AJ79" s="106"/>
      <c r="AK79" s="106"/>
      <c r="AL79" s="106"/>
      <c r="AM79" s="106"/>
      <c r="AN79" s="104">
        <v>600</v>
      </c>
      <c r="AO79" s="104"/>
      <c r="AP79" s="145"/>
      <c r="AQ79" s="146">
        <v>4</v>
      </c>
      <c r="AR79" s="104"/>
      <c r="AS79" s="104"/>
      <c r="AT79" s="104">
        <v>6</v>
      </c>
      <c r="AU79" s="104"/>
      <c r="AV79" s="104"/>
      <c r="AW79" s="104">
        <v>10</v>
      </c>
      <c r="AX79" s="104"/>
      <c r="AY79" s="104"/>
      <c r="AZ79" s="104">
        <v>12</v>
      </c>
      <c r="BA79" s="104"/>
      <c r="BB79" s="145"/>
      <c r="BC79" s="146">
        <v>4</v>
      </c>
      <c r="BD79" s="104"/>
      <c r="BE79" s="104"/>
      <c r="BF79" s="104">
        <v>6</v>
      </c>
      <c r="BG79" s="104"/>
      <c r="BH79" s="104"/>
      <c r="BI79" s="104">
        <v>12</v>
      </c>
      <c r="BJ79" s="104"/>
      <c r="BK79" s="104"/>
      <c r="BL79" s="104">
        <v>14</v>
      </c>
      <c r="BM79" s="104"/>
      <c r="BN79" s="145"/>
      <c r="BO79" s="148">
        <f t="shared" ref="BO79:BO81" si="41">SUM(P79/30)</f>
        <v>36</v>
      </c>
      <c r="BP79" s="105"/>
      <c r="BQ79" s="105"/>
      <c r="BR79" s="105"/>
      <c r="BS79" s="71">
        <f t="shared" si="27"/>
        <v>44.444444444444443</v>
      </c>
      <c r="BT79" s="71">
        <f t="shared" si="28"/>
        <v>55.555555555555557</v>
      </c>
      <c r="BU79" s="71"/>
      <c r="BV79" s="15"/>
      <c r="BW79" s="15" t="str">
        <f>IF(BV79=1,"тўғри","хато")</f>
        <v>хато</v>
      </c>
      <c r="BX79" s="71">
        <f>SUM(BC79:BN79)</f>
        <v>36</v>
      </c>
      <c r="BY79" s="15">
        <f t="shared" si="25"/>
        <v>1</v>
      </c>
      <c r="BZ79" s="15" t="str">
        <f t="shared" si="39"/>
        <v>тўғри</v>
      </c>
    </row>
    <row r="80" spans="1:78" ht="14.25" customHeight="1" x14ac:dyDescent="0.25">
      <c r="A80" s="14" t="s">
        <v>51</v>
      </c>
      <c r="B80" s="104"/>
      <c r="C80" s="104"/>
      <c r="D80" s="149" t="s">
        <v>134</v>
      </c>
      <c r="E80" s="149"/>
      <c r="F80" s="149"/>
      <c r="G80" s="149"/>
      <c r="H80" s="149"/>
      <c r="I80" s="149"/>
      <c r="J80" s="149"/>
      <c r="K80" s="149"/>
      <c r="L80" s="149"/>
      <c r="M80" s="149"/>
      <c r="N80" s="149"/>
      <c r="O80" s="150"/>
      <c r="P80" s="144">
        <f t="shared" ref="P80:P81" si="42">SUM(V80+AN80)</f>
        <v>240</v>
      </c>
      <c r="Q80" s="106"/>
      <c r="R80" s="106"/>
      <c r="S80" s="106"/>
      <c r="T80" s="106"/>
      <c r="U80" s="147"/>
      <c r="V80" s="152">
        <f t="shared" si="40"/>
        <v>90</v>
      </c>
      <c r="W80" s="106"/>
      <c r="X80" s="106"/>
      <c r="Y80" s="106"/>
      <c r="Z80" s="106"/>
      <c r="AA80" s="106"/>
      <c r="AB80" s="106"/>
      <c r="AC80" s="106"/>
      <c r="AD80" s="106"/>
      <c r="AE80" s="106"/>
      <c r="AF80" s="106"/>
      <c r="AG80" s="106"/>
      <c r="AH80" s="106"/>
      <c r="AI80" s="106"/>
      <c r="AJ80" s="106"/>
      <c r="AK80" s="106"/>
      <c r="AL80" s="106"/>
      <c r="AM80" s="106"/>
      <c r="AN80" s="104">
        <v>150</v>
      </c>
      <c r="AO80" s="104"/>
      <c r="AP80" s="145"/>
      <c r="AQ80" s="146">
        <v>2</v>
      </c>
      <c r="AR80" s="104"/>
      <c r="AS80" s="104"/>
      <c r="AT80" s="104">
        <v>2</v>
      </c>
      <c r="AU80" s="104"/>
      <c r="AV80" s="104"/>
      <c r="AW80" s="104">
        <v>2</v>
      </c>
      <c r="AX80" s="104"/>
      <c r="AY80" s="104"/>
      <c r="AZ80" s="104"/>
      <c r="BA80" s="104"/>
      <c r="BB80" s="145"/>
      <c r="BC80" s="146">
        <v>2</v>
      </c>
      <c r="BD80" s="104"/>
      <c r="BE80" s="104"/>
      <c r="BF80" s="104">
        <v>3</v>
      </c>
      <c r="BG80" s="104"/>
      <c r="BH80" s="104"/>
      <c r="BI80" s="104">
        <v>3</v>
      </c>
      <c r="BJ80" s="104"/>
      <c r="BK80" s="104"/>
      <c r="BL80" s="104"/>
      <c r="BM80" s="104"/>
      <c r="BN80" s="145"/>
      <c r="BO80" s="148">
        <f t="shared" si="41"/>
        <v>8</v>
      </c>
      <c r="BP80" s="105"/>
      <c r="BQ80" s="105"/>
      <c r="BR80" s="105"/>
      <c r="BS80" s="71">
        <f t="shared" si="27"/>
        <v>37.5</v>
      </c>
      <c r="BT80" s="71">
        <f t="shared" si="28"/>
        <v>62.5</v>
      </c>
      <c r="BU80" s="71"/>
      <c r="BV80" s="15"/>
      <c r="BW80" s="15" t="str">
        <f t="shared" ref="BW80:BW81" si="43">IF(BV80=1,"тўғри","хато")</f>
        <v>хато</v>
      </c>
      <c r="BX80" s="71">
        <f t="shared" ref="BX80:BX81" si="44">SUM(BC80:BN80)</f>
        <v>8</v>
      </c>
      <c r="BY80" s="15">
        <f t="shared" si="25"/>
        <v>1</v>
      </c>
      <c r="BZ80" s="15" t="str">
        <f t="shared" si="39"/>
        <v>тўғри</v>
      </c>
    </row>
    <row r="81" spans="1:78" ht="14.25" customHeight="1" x14ac:dyDescent="0.25">
      <c r="A81" s="14" t="s">
        <v>52</v>
      </c>
      <c r="B81" s="104"/>
      <c r="C81" s="104"/>
      <c r="D81" s="149" t="s">
        <v>135</v>
      </c>
      <c r="E81" s="149"/>
      <c r="F81" s="149"/>
      <c r="G81" s="149"/>
      <c r="H81" s="149"/>
      <c r="I81" s="149"/>
      <c r="J81" s="149"/>
      <c r="K81" s="149"/>
      <c r="L81" s="149"/>
      <c r="M81" s="149"/>
      <c r="N81" s="149"/>
      <c r="O81" s="150"/>
      <c r="P81" s="144">
        <f t="shared" si="42"/>
        <v>480</v>
      </c>
      <c r="Q81" s="106"/>
      <c r="R81" s="106"/>
      <c r="S81" s="106"/>
      <c r="T81" s="106"/>
      <c r="U81" s="147"/>
      <c r="V81" s="152">
        <f t="shared" si="40"/>
        <v>180</v>
      </c>
      <c r="W81" s="106"/>
      <c r="X81" s="106"/>
      <c r="Y81" s="106"/>
      <c r="Z81" s="106"/>
      <c r="AA81" s="106"/>
      <c r="AB81" s="106"/>
      <c r="AC81" s="106"/>
      <c r="AD81" s="106"/>
      <c r="AE81" s="106"/>
      <c r="AF81" s="106"/>
      <c r="AG81" s="106"/>
      <c r="AH81" s="106"/>
      <c r="AI81" s="106"/>
      <c r="AJ81" s="106"/>
      <c r="AK81" s="106"/>
      <c r="AL81" s="106"/>
      <c r="AM81" s="106"/>
      <c r="AN81" s="104">
        <v>300</v>
      </c>
      <c r="AO81" s="104"/>
      <c r="AP81" s="145"/>
      <c r="AQ81" s="146"/>
      <c r="AR81" s="104"/>
      <c r="AS81" s="104"/>
      <c r="AT81" s="104">
        <v>6</v>
      </c>
      <c r="AU81" s="104"/>
      <c r="AV81" s="104"/>
      <c r="AW81" s="104"/>
      <c r="AX81" s="104"/>
      <c r="AY81" s="104"/>
      <c r="AZ81" s="104">
        <v>6</v>
      </c>
      <c r="BA81" s="104"/>
      <c r="BB81" s="145"/>
      <c r="BC81" s="146"/>
      <c r="BD81" s="104"/>
      <c r="BE81" s="104"/>
      <c r="BF81" s="104">
        <v>8</v>
      </c>
      <c r="BG81" s="104"/>
      <c r="BH81" s="104"/>
      <c r="BI81" s="104"/>
      <c r="BJ81" s="104"/>
      <c r="BK81" s="104"/>
      <c r="BL81" s="104">
        <v>8</v>
      </c>
      <c r="BM81" s="104"/>
      <c r="BN81" s="145"/>
      <c r="BO81" s="148">
        <f t="shared" si="41"/>
        <v>16</v>
      </c>
      <c r="BP81" s="105"/>
      <c r="BQ81" s="105"/>
      <c r="BR81" s="105"/>
      <c r="BS81" s="71">
        <f t="shared" si="27"/>
        <v>37.5</v>
      </c>
      <c r="BT81" s="71">
        <f t="shared" si="28"/>
        <v>62.5</v>
      </c>
      <c r="BU81" s="71"/>
      <c r="BV81" s="15"/>
      <c r="BW81" s="15" t="str">
        <f t="shared" si="43"/>
        <v>хато</v>
      </c>
      <c r="BX81" s="71">
        <f t="shared" si="44"/>
        <v>16</v>
      </c>
      <c r="BY81" s="15">
        <f t="shared" si="25"/>
        <v>1</v>
      </c>
      <c r="BZ81" s="15" t="str">
        <f>IF(BY81=1,"тўғри","хато")</f>
        <v>тўғри</v>
      </c>
    </row>
    <row r="82" spans="1:78" ht="14.25" customHeight="1" x14ac:dyDescent="0.25">
      <c r="A82" s="71"/>
      <c r="B82" s="130"/>
      <c r="C82" s="130"/>
      <c r="D82" s="184" t="s">
        <v>133</v>
      </c>
      <c r="E82" s="184"/>
      <c r="F82" s="184"/>
      <c r="G82" s="184"/>
      <c r="H82" s="184"/>
      <c r="I82" s="184"/>
      <c r="J82" s="184"/>
      <c r="K82" s="184"/>
      <c r="L82" s="184"/>
      <c r="M82" s="184"/>
      <c r="N82" s="184"/>
      <c r="O82" s="185"/>
      <c r="P82" s="144">
        <f>SUM(P78,P77)</f>
        <v>3600</v>
      </c>
      <c r="Q82" s="106"/>
      <c r="R82" s="106"/>
      <c r="S82" s="131">
        <f>P82/3600*100</f>
        <v>100</v>
      </c>
      <c r="T82" s="131"/>
      <c r="U82" s="151"/>
      <c r="V82" s="152">
        <f>SUM(V78+V76)</f>
        <v>750</v>
      </c>
      <c r="W82" s="106"/>
      <c r="X82" s="106"/>
      <c r="Y82" s="106"/>
      <c r="Z82" s="106"/>
      <c r="AA82" s="106"/>
      <c r="AB82" s="106"/>
      <c r="AC82" s="106"/>
      <c r="AD82" s="106"/>
      <c r="AE82" s="106"/>
      <c r="AF82" s="106"/>
      <c r="AG82" s="106"/>
      <c r="AH82" s="106"/>
      <c r="AI82" s="106"/>
      <c r="AJ82" s="106"/>
      <c r="AK82" s="106"/>
      <c r="AL82" s="106"/>
      <c r="AM82" s="106"/>
      <c r="AN82" s="106">
        <f>SUM(AN78+AN77)</f>
        <v>2160</v>
      </c>
      <c r="AO82" s="106"/>
      <c r="AP82" s="147"/>
      <c r="AQ82" s="144">
        <f>SUM(AQ78+AQ77)</f>
        <v>24</v>
      </c>
      <c r="AR82" s="106"/>
      <c r="AS82" s="106"/>
      <c r="AT82" s="106">
        <f>SUM(AT78+AT77)</f>
        <v>24</v>
      </c>
      <c r="AU82" s="106"/>
      <c r="AV82" s="106"/>
      <c r="AW82" s="106">
        <f>SUM(AW78+AW77)</f>
        <v>24</v>
      </c>
      <c r="AX82" s="106"/>
      <c r="AY82" s="106"/>
      <c r="AZ82" s="106">
        <f>SUM(AZ78+AZ77)</f>
        <v>24</v>
      </c>
      <c r="BA82" s="106"/>
      <c r="BB82" s="147"/>
      <c r="BC82" s="144">
        <f>SUM(BC78+BC77)</f>
        <v>30</v>
      </c>
      <c r="BD82" s="106"/>
      <c r="BE82" s="106"/>
      <c r="BF82" s="106">
        <f>SUM(BF78+BF77)</f>
        <v>30</v>
      </c>
      <c r="BG82" s="106"/>
      <c r="BH82" s="106"/>
      <c r="BI82" s="106">
        <f>SUM(BI78+BI77)</f>
        <v>30</v>
      </c>
      <c r="BJ82" s="106"/>
      <c r="BK82" s="106"/>
      <c r="BL82" s="106">
        <f>SUM(BL78+BL77)</f>
        <v>30</v>
      </c>
      <c r="BM82" s="106"/>
      <c r="BN82" s="147"/>
      <c r="BO82" s="148">
        <f>SUM(P82/30)</f>
        <v>120</v>
      </c>
      <c r="BP82" s="105"/>
      <c r="BQ82" s="105"/>
      <c r="BR82" s="105"/>
      <c r="BS82" s="71">
        <f t="shared" si="19"/>
        <v>20.833333333333336</v>
      </c>
      <c r="BT82" s="71">
        <f t="shared" si="20"/>
        <v>60</v>
      </c>
      <c r="BU82" s="71"/>
      <c r="BV82" s="15"/>
      <c r="BW82" s="15"/>
      <c r="BX82" s="71">
        <f t="shared" si="24"/>
        <v>120</v>
      </c>
      <c r="BY82" s="15">
        <f t="shared" si="25"/>
        <v>1</v>
      </c>
      <c r="BZ82" s="15" t="str">
        <f>IF(BY82=1,"тўғри","хато")</f>
        <v>тўғри</v>
      </c>
    </row>
    <row r="83" spans="1:78" ht="14.25" customHeight="1" x14ac:dyDescent="0.25">
      <c r="A83" s="1"/>
      <c r="B83" s="16"/>
      <c r="C83" s="16"/>
      <c r="D83" s="17"/>
      <c r="E83" s="17"/>
      <c r="F83" s="17"/>
      <c r="G83" s="17"/>
      <c r="H83" s="17"/>
      <c r="I83" s="17"/>
      <c r="J83" s="17"/>
      <c r="K83" s="17"/>
      <c r="L83" s="17"/>
      <c r="M83" s="17"/>
      <c r="N83" s="17"/>
      <c r="O83" s="17"/>
      <c r="P83" s="18"/>
      <c r="Q83" s="18"/>
      <c r="R83" s="18"/>
      <c r="S83" s="18"/>
      <c r="T83" s="18"/>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
      <c r="BC83" s="1"/>
      <c r="BD83" s="1"/>
      <c r="BE83" s="1"/>
      <c r="BF83" s="1"/>
      <c r="BG83" s="1"/>
      <c r="BH83" s="1"/>
      <c r="BI83" s="1"/>
      <c r="BJ83" s="1"/>
      <c r="BK83" s="1"/>
      <c r="BL83" s="1"/>
      <c r="BM83" s="1"/>
      <c r="BN83" s="1"/>
      <c r="BO83" s="20"/>
      <c r="BP83" s="20"/>
      <c r="BQ83" s="20"/>
      <c r="BR83" s="20"/>
    </row>
    <row r="84" spans="1:78" ht="14.25" customHeight="1" thickBot="1" x14ac:dyDescent="0.3">
      <c r="A84" s="1"/>
      <c r="B84" s="16"/>
      <c r="C84" s="16"/>
      <c r="D84" s="17"/>
      <c r="E84" s="17"/>
      <c r="F84" s="17"/>
      <c r="G84" s="17"/>
      <c r="H84" s="17"/>
      <c r="I84" s="17"/>
      <c r="J84" s="17"/>
      <c r="K84" s="17"/>
      <c r="L84" s="17"/>
      <c r="M84" s="17"/>
      <c r="N84" s="17"/>
      <c r="O84" s="17"/>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
      <c r="BC84" s="1"/>
      <c r="BD84" s="1"/>
      <c r="BE84" s="1"/>
      <c r="BF84" s="1"/>
      <c r="BG84" s="1"/>
      <c r="BH84" s="1"/>
      <c r="BI84" s="1"/>
      <c r="BJ84" s="1"/>
      <c r="BK84" s="1"/>
      <c r="BL84" s="1"/>
      <c r="BM84" s="1"/>
      <c r="BN84" s="1"/>
      <c r="BO84" s="20"/>
      <c r="BP84" s="20"/>
      <c r="BQ84" s="20"/>
      <c r="BR84" s="20"/>
    </row>
    <row r="85" spans="1:78" s="24" customFormat="1" ht="14.25" customHeight="1" x14ac:dyDescent="0.35">
      <c r="A85" s="21"/>
      <c r="B85" s="16"/>
      <c r="C85" s="16"/>
      <c r="D85" s="74"/>
      <c r="E85" s="74"/>
      <c r="F85" s="74"/>
      <c r="G85" s="74"/>
      <c r="H85" s="74"/>
      <c r="I85" s="74"/>
      <c r="J85" s="74"/>
      <c r="K85" s="74"/>
      <c r="L85" s="74"/>
      <c r="M85" s="74"/>
      <c r="N85" s="74"/>
      <c r="O85" s="74"/>
      <c r="P85" s="22"/>
      <c r="Q85" s="22"/>
      <c r="R85" s="22"/>
      <c r="S85" s="22"/>
      <c r="T85" s="22"/>
      <c r="U85" s="22"/>
      <c r="V85" s="191" t="s">
        <v>129</v>
      </c>
      <c r="W85" s="192"/>
      <c r="X85" s="192"/>
      <c r="Y85" s="192"/>
      <c r="Z85" s="192"/>
      <c r="AA85" s="192"/>
      <c r="AB85" s="192"/>
      <c r="AC85" s="192"/>
      <c r="AD85" s="192"/>
      <c r="AE85" s="192"/>
      <c r="AF85" s="192"/>
      <c r="AG85" s="192"/>
      <c r="AH85" s="192"/>
      <c r="AI85" s="192"/>
      <c r="AJ85" s="192"/>
      <c r="AK85" s="192"/>
      <c r="AL85" s="192"/>
      <c r="AM85" s="192"/>
      <c r="AN85" s="192"/>
      <c r="AO85" s="192"/>
      <c r="AP85" s="192"/>
      <c r="AQ85" s="192"/>
      <c r="AR85" s="192"/>
      <c r="AS85" s="192"/>
      <c r="AT85" s="192"/>
      <c r="AU85" s="192"/>
      <c r="AV85" s="192"/>
      <c r="AW85" s="192"/>
      <c r="AX85" s="192"/>
      <c r="AY85" s="192"/>
      <c r="AZ85" s="193"/>
      <c r="BA85" s="22"/>
      <c r="BB85" s="22"/>
      <c r="BC85" s="22"/>
      <c r="BD85" s="22"/>
      <c r="BE85" s="22"/>
      <c r="BF85" s="22"/>
      <c r="BG85" s="22"/>
      <c r="BH85" s="22"/>
      <c r="BI85" s="22"/>
      <c r="BJ85" s="22"/>
      <c r="BK85" s="22"/>
      <c r="BL85" s="22"/>
      <c r="BM85" s="22"/>
      <c r="BN85" s="22"/>
      <c r="BO85" s="23"/>
      <c r="BP85" s="23"/>
      <c r="BQ85" s="23"/>
      <c r="BR85" s="23"/>
      <c r="BS85" s="1"/>
      <c r="BT85" s="1"/>
      <c r="BU85" s="1"/>
      <c r="BV85" s="1"/>
      <c r="BW85" s="1"/>
      <c r="BX85" s="1"/>
      <c r="BY85" s="1"/>
      <c r="BZ85" s="1"/>
    </row>
    <row r="86" spans="1:78" s="24" customFormat="1" ht="14.25" customHeight="1" x14ac:dyDescent="0.35">
      <c r="A86" s="21"/>
      <c r="B86" s="16"/>
      <c r="C86" s="16"/>
      <c r="D86" s="74"/>
      <c r="E86" s="74"/>
      <c r="F86" s="74"/>
      <c r="G86" s="74"/>
      <c r="H86" s="74"/>
      <c r="I86" s="74"/>
      <c r="J86" s="74"/>
      <c r="K86" s="74"/>
      <c r="L86" s="74"/>
      <c r="M86" s="74"/>
      <c r="N86" s="74"/>
      <c r="O86" s="74"/>
      <c r="P86" s="22"/>
      <c r="Q86" s="22"/>
      <c r="R86" s="22"/>
      <c r="S86" s="22"/>
      <c r="T86" s="22"/>
      <c r="U86" s="22"/>
      <c r="V86" s="194"/>
      <c r="W86" s="195"/>
      <c r="X86" s="195"/>
      <c r="Y86" s="195"/>
      <c r="Z86" s="195"/>
      <c r="AA86" s="195"/>
      <c r="AB86" s="195"/>
      <c r="AC86" s="195"/>
      <c r="AD86" s="195"/>
      <c r="AE86" s="195"/>
      <c r="AF86" s="195"/>
      <c r="AG86" s="195"/>
      <c r="AH86" s="195"/>
      <c r="AI86" s="195"/>
      <c r="AJ86" s="195"/>
      <c r="AK86" s="195"/>
      <c r="AL86" s="195"/>
      <c r="AM86" s="195"/>
      <c r="AN86" s="195"/>
      <c r="AO86" s="195"/>
      <c r="AP86" s="195"/>
      <c r="AQ86" s="195"/>
      <c r="AR86" s="195"/>
      <c r="AS86" s="195"/>
      <c r="AT86" s="195"/>
      <c r="AU86" s="195"/>
      <c r="AV86" s="195"/>
      <c r="AW86" s="195"/>
      <c r="AX86" s="195"/>
      <c r="AY86" s="195"/>
      <c r="AZ86" s="196"/>
      <c r="BA86" s="22"/>
      <c r="BB86" s="22"/>
      <c r="BC86" s="22"/>
      <c r="BD86" s="22"/>
      <c r="BE86" s="22"/>
      <c r="BF86" s="22"/>
      <c r="BG86" s="22"/>
      <c r="BH86" s="22"/>
      <c r="BI86" s="22"/>
      <c r="BJ86" s="22"/>
      <c r="BK86" s="22"/>
      <c r="BL86" s="22"/>
      <c r="BM86" s="22"/>
      <c r="BN86" s="22"/>
      <c r="BO86" s="23"/>
      <c r="BP86" s="23"/>
      <c r="BQ86" s="23"/>
      <c r="BR86" s="23"/>
      <c r="BS86" s="1"/>
      <c r="BT86" s="1"/>
      <c r="BU86" s="1"/>
      <c r="BV86" s="1"/>
      <c r="BW86" s="1"/>
      <c r="BX86" s="1"/>
      <c r="BY86" s="1"/>
      <c r="BZ86" s="1"/>
    </row>
    <row r="87" spans="1:78" s="24" customFormat="1" ht="14.25" customHeight="1" x14ac:dyDescent="0.35">
      <c r="A87" s="21"/>
      <c r="B87" s="16"/>
      <c r="C87" s="16"/>
      <c r="D87" s="74"/>
      <c r="E87" s="74"/>
      <c r="F87" s="74"/>
      <c r="G87" s="74"/>
      <c r="H87" s="74"/>
      <c r="I87" s="74"/>
      <c r="J87" s="74"/>
      <c r="K87" s="74"/>
      <c r="L87" s="74"/>
      <c r="M87" s="74"/>
      <c r="N87" s="74"/>
      <c r="O87" s="74"/>
      <c r="P87" s="22"/>
      <c r="Q87" s="22"/>
      <c r="R87" s="22"/>
      <c r="S87" s="22"/>
      <c r="T87" s="22"/>
      <c r="U87" s="22"/>
      <c r="V87" s="197" t="s">
        <v>141</v>
      </c>
      <c r="W87" s="198"/>
      <c r="X87" s="198"/>
      <c r="Y87" s="198"/>
      <c r="Z87" s="198"/>
      <c r="AA87" s="198"/>
      <c r="AB87" s="198"/>
      <c r="AC87" s="198"/>
      <c r="AD87" s="198"/>
      <c r="AE87" s="198"/>
      <c r="AF87" s="198"/>
      <c r="AG87" s="198"/>
      <c r="AH87" s="198"/>
      <c r="AI87" s="198"/>
      <c r="AJ87" s="198"/>
      <c r="AK87" s="198"/>
      <c r="AL87" s="198"/>
      <c r="AM87" s="198"/>
      <c r="AN87" s="198"/>
      <c r="AO87" s="198"/>
      <c r="AP87" s="198"/>
      <c r="AQ87" s="198"/>
      <c r="AR87" s="198"/>
      <c r="AS87" s="198"/>
      <c r="AT87" s="198"/>
      <c r="AU87" s="198"/>
      <c r="AV87" s="198"/>
      <c r="AW87" s="198"/>
      <c r="AX87" s="198"/>
      <c r="AY87" s="198"/>
      <c r="AZ87" s="199"/>
      <c r="BA87" s="22"/>
      <c r="BB87" s="22"/>
      <c r="BC87" s="22"/>
      <c r="BD87" s="22"/>
      <c r="BE87" s="22"/>
      <c r="BF87" s="22"/>
      <c r="BG87" s="22"/>
      <c r="BH87" s="22"/>
      <c r="BI87" s="22"/>
      <c r="BJ87" s="22"/>
      <c r="BK87" s="22"/>
      <c r="BL87" s="22"/>
      <c r="BM87" s="22"/>
      <c r="BN87" s="22"/>
      <c r="BO87" s="23"/>
      <c r="BP87" s="23"/>
      <c r="BQ87" s="23"/>
      <c r="BR87" s="23"/>
      <c r="BS87" s="1"/>
      <c r="BT87" s="1"/>
      <c r="BU87" s="1"/>
      <c r="BV87" s="1"/>
      <c r="BW87" s="1"/>
      <c r="BX87" s="1"/>
      <c r="BY87" s="1"/>
      <c r="BZ87" s="1"/>
    </row>
    <row r="88" spans="1:78" ht="14.25" customHeight="1" thickBot="1" x14ac:dyDescent="0.3">
      <c r="A88" s="1"/>
      <c r="B88" s="16"/>
      <c r="C88" s="16"/>
      <c r="D88" s="18"/>
      <c r="E88" s="18"/>
      <c r="F88" s="18"/>
      <c r="G88" s="18"/>
      <c r="H88" s="18"/>
      <c r="I88" s="18"/>
      <c r="J88" s="18"/>
      <c r="K88" s="18"/>
      <c r="L88" s="18"/>
      <c r="M88" s="18"/>
      <c r="N88" s="18"/>
      <c r="O88" s="18"/>
      <c r="P88" s="25"/>
      <c r="Q88" s="25"/>
      <c r="R88" s="25"/>
      <c r="S88" s="25"/>
      <c r="T88" s="25"/>
      <c r="U88" s="25"/>
      <c r="V88" s="200"/>
      <c r="W88" s="201"/>
      <c r="X88" s="201"/>
      <c r="Y88" s="201"/>
      <c r="Z88" s="201"/>
      <c r="AA88" s="201"/>
      <c r="AB88" s="201"/>
      <c r="AC88" s="201"/>
      <c r="AD88" s="201"/>
      <c r="AE88" s="201"/>
      <c r="AF88" s="201"/>
      <c r="AG88" s="201"/>
      <c r="AH88" s="201"/>
      <c r="AI88" s="201"/>
      <c r="AJ88" s="201"/>
      <c r="AK88" s="201"/>
      <c r="AL88" s="201"/>
      <c r="AM88" s="201"/>
      <c r="AN88" s="201"/>
      <c r="AO88" s="201"/>
      <c r="AP88" s="201"/>
      <c r="AQ88" s="201"/>
      <c r="AR88" s="201"/>
      <c r="AS88" s="201"/>
      <c r="AT88" s="201"/>
      <c r="AU88" s="201"/>
      <c r="AV88" s="201"/>
      <c r="AW88" s="201"/>
      <c r="AX88" s="201"/>
      <c r="AY88" s="201"/>
      <c r="AZ88" s="202"/>
      <c r="BA88" s="25"/>
      <c r="BB88" s="25"/>
      <c r="BC88" s="25"/>
      <c r="BD88" s="25"/>
      <c r="BE88" s="25"/>
      <c r="BF88" s="25"/>
      <c r="BG88" s="25"/>
      <c r="BH88" s="25"/>
      <c r="BI88" s="25"/>
      <c r="BJ88" s="25"/>
      <c r="BK88" s="25"/>
      <c r="BL88" s="25"/>
      <c r="BM88" s="25"/>
      <c r="BN88" s="25"/>
      <c r="BO88" s="26"/>
      <c r="BP88" s="26"/>
      <c r="BQ88" s="26"/>
      <c r="BR88" s="26"/>
    </row>
    <row r="89" spans="1:78" ht="14.25" customHeight="1" x14ac:dyDescent="0.25">
      <c r="A89" s="1"/>
      <c r="B89" s="10"/>
      <c r="C89" s="10"/>
      <c r="D89" s="18"/>
      <c r="E89" s="18"/>
      <c r="F89" s="18"/>
      <c r="G89" s="18"/>
      <c r="H89" s="18"/>
      <c r="I89" s="18"/>
      <c r="J89" s="18"/>
      <c r="K89" s="18"/>
      <c r="L89" s="18"/>
      <c r="M89" s="18"/>
      <c r="N89" s="18"/>
      <c r="O89" s="18"/>
      <c r="P89" s="25"/>
      <c r="Q89" s="25"/>
      <c r="R89" s="25"/>
      <c r="S89" s="25"/>
      <c r="T89" s="25"/>
      <c r="U89" s="25"/>
      <c r="V89" s="80"/>
      <c r="W89" s="80"/>
      <c r="X89" s="80"/>
      <c r="Y89" s="80"/>
      <c r="Z89" s="80"/>
      <c r="AA89" s="80"/>
      <c r="AB89" s="80"/>
      <c r="AC89" s="80"/>
      <c r="AD89" s="80"/>
      <c r="AE89" s="80"/>
      <c r="AF89" s="80"/>
      <c r="AG89" s="80"/>
      <c r="AH89" s="80"/>
      <c r="AI89" s="80"/>
      <c r="AJ89" s="80"/>
      <c r="AK89" s="80"/>
      <c r="AL89" s="80"/>
      <c r="AM89" s="80"/>
      <c r="AN89" s="80"/>
      <c r="AO89" s="80"/>
      <c r="AP89" s="80"/>
      <c r="AQ89" s="80"/>
      <c r="AR89" s="80"/>
      <c r="AS89" s="80"/>
      <c r="AT89" s="80"/>
      <c r="AU89" s="80"/>
      <c r="AV89" s="80"/>
      <c r="AW89" s="80"/>
      <c r="AX89" s="80"/>
      <c r="AY89" s="80"/>
      <c r="AZ89" s="80"/>
      <c r="BA89" s="25"/>
      <c r="BB89" s="25"/>
      <c r="BC89" s="25"/>
      <c r="BD89" s="25"/>
      <c r="BE89" s="25"/>
      <c r="BF89" s="25"/>
      <c r="BG89" s="25"/>
      <c r="BH89" s="25"/>
      <c r="BI89" s="25"/>
      <c r="BJ89" s="25"/>
      <c r="BK89" s="25"/>
      <c r="BL89" s="25"/>
      <c r="BM89" s="25"/>
      <c r="BN89" s="25"/>
      <c r="BO89" s="26"/>
      <c r="BP89" s="26"/>
      <c r="BQ89" s="26"/>
      <c r="BR89" s="26"/>
    </row>
    <row r="90" spans="1:78" ht="14.25" customHeight="1" x14ac:dyDescent="0.25">
      <c r="A90" s="27" t="s">
        <v>149</v>
      </c>
      <c r="B90" s="28"/>
      <c r="C90" s="28"/>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c r="AZ90" s="29"/>
      <c r="BA90" s="29"/>
      <c r="BB90" s="29"/>
      <c r="BC90" s="29"/>
      <c r="BD90" s="29"/>
      <c r="BE90" s="29"/>
      <c r="BF90" s="29"/>
      <c r="BG90" s="29"/>
      <c r="BH90" s="29"/>
      <c r="BI90" s="29"/>
      <c r="BJ90" s="29"/>
      <c r="BK90" s="29"/>
      <c r="BL90" s="29"/>
      <c r="BM90" s="29"/>
      <c r="BN90" s="29"/>
      <c r="BO90" s="30"/>
      <c r="BP90" s="30"/>
    </row>
    <row r="91" spans="1:78" ht="14.25" customHeight="1" x14ac:dyDescent="0.25">
      <c r="A91" s="31" t="s">
        <v>13</v>
      </c>
      <c r="B91" s="207" t="s">
        <v>144</v>
      </c>
      <c r="C91" s="207"/>
      <c r="D91" s="207"/>
      <c r="E91" s="207"/>
      <c r="F91" s="207"/>
      <c r="G91" s="207"/>
      <c r="H91" s="207"/>
      <c r="I91" s="207"/>
      <c r="J91" s="207"/>
      <c r="K91" s="207"/>
      <c r="L91" s="207"/>
      <c r="M91" s="207"/>
      <c r="N91" s="207"/>
      <c r="O91" s="207"/>
      <c r="P91" s="207"/>
      <c r="Q91" s="207"/>
      <c r="R91" s="207"/>
      <c r="S91" s="207"/>
      <c r="T91" s="207"/>
      <c r="U91" s="207"/>
      <c r="V91" s="207"/>
      <c r="W91" s="207"/>
      <c r="X91" s="207"/>
      <c r="Y91" s="207"/>
      <c r="Z91" s="207"/>
      <c r="AA91" s="207"/>
      <c r="AB91" s="207"/>
      <c r="AC91" s="207"/>
      <c r="AD91" s="207"/>
      <c r="AE91" s="207"/>
      <c r="AF91" s="207"/>
      <c r="AG91" s="207"/>
      <c r="AH91" s="207"/>
      <c r="AI91" s="207"/>
      <c r="AJ91" s="207"/>
      <c r="AK91" s="207"/>
      <c r="AL91" s="207"/>
      <c r="AM91" s="207"/>
      <c r="AN91" s="207"/>
      <c r="AO91" s="207"/>
      <c r="AP91" s="207"/>
      <c r="AQ91" s="207"/>
      <c r="AR91" s="207"/>
      <c r="AS91" s="207"/>
      <c r="AT91" s="207"/>
      <c r="AU91" s="207"/>
      <c r="AV91" s="207"/>
      <c r="AW91" s="207"/>
      <c r="AX91" s="207"/>
      <c r="AY91" s="207"/>
      <c r="AZ91" s="207"/>
      <c r="BA91" s="207"/>
      <c r="BB91" s="207"/>
      <c r="BC91" s="207"/>
      <c r="BD91" s="207"/>
      <c r="BE91" s="207"/>
      <c r="BF91" s="207"/>
      <c r="BG91" s="207"/>
      <c r="BH91" s="207"/>
      <c r="BI91" s="207"/>
      <c r="BJ91" s="207"/>
      <c r="BK91" s="207"/>
      <c r="BL91" s="207"/>
      <c r="BM91" s="207"/>
      <c r="BN91" s="207"/>
      <c r="BO91" s="207"/>
      <c r="BP91" s="207"/>
      <c r="BQ91" s="207"/>
    </row>
    <row r="92" spans="1:78" ht="14.25" customHeight="1" x14ac:dyDescent="0.25">
      <c r="A92" s="31" t="s">
        <v>14</v>
      </c>
      <c r="B92" s="189" t="s">
        <v>145</v>
      </c>
      <c r="C92" s="189"/>
      <c r="D92" s="189"/>
      <c r="E92" s="189"/>
      <c r="F92" s="189"/>
      <c r="G92" s="189"/>
      <c r="H92" s="189"/>
      <c r="I92" s="189"/>
      <c r="J92" s="189"/>
      <c r="K92" s="189"/>
      <c r="L92" s="189"/>
      <c r="M92" s="189"/>
      <c r="N92" s="189"/>
      <c r="O92" s="189"/>
      <c r="P92" s="189"/>
      <c r="Q92" s="189"/>
      <c r="R92" s="189"/>
      <c r="S92" s="189"/>
      <c r="T92" s="189"/>
      <c r="U92" s="189"/>
      <c r="V92" s="189"/>
      <c r="W92" s="189"/>
      <c r="X92" s="189"/>
      <c r="Y92" s="189"/>
      <c r="Z92" s="189"/>
      <c r="AA92" s="189"/>
      <c r="AB92" s="189"/>
      <c r="AC92" s="189"/>
      <c r="AD92" s="189"/>
      <c r="AE92" s="189"/>
      <c r="AF92" s="189"/>
      <c r="AG92" s="189"/>
      <c r="AH92" s="189"/>
      <c r="AI92" s="189"/>
      <c r="AJ92" s="189"/>
      <c r="AK92" s="189"/>
      <c r="AL92" s="189"/>
      <c r="AM92" s="189"/>
      <c r="AN92" s="189"/>
      <c r="AO92" s="189"/>
      <c r="AP92" s="189"/>
      <c r="AQ92" s="189"/>
      <c r="AR92" s="189"/>
      <c r="AS92" s="189"/>
      <c r="AT92" s="189"/>
      <c r="AU92" s="189"/>
      <c r="AV92" s="189"/>
      <c r="AW92" s="189"/>
      <c r="AX92" s="189"/>
      <c r="AY92" s="189"/>
      <c r="AZ92" s="189"/>
      <c r="BA92" s="189"/>
      <c r="BB92" s="189"/>
      <c r="BC92" s="189"/>
      <c r="BD92" s="189"/>
      <c r="BE92" s="189"/>
      <c r="BF92" s="189"/>
      <c r="BG92" s="189"/>
      <c r="BH92" s="189"/>
      <c r="BI92" s="189"/>
      <c r="BJ92" s="189"/>
      <c r="BK92" s="189"/>
      <c r="BL92" s="189"/>
      <c r="BM92" s="189"/>
      <c r="BN92" s="189"/>
      <c r="BO92" s="189"/>
      <c r="BP92" s="189"/>
      <c r="BQ92" s="190"/>
    </row>
    <row r="93" spans="1:78" ht="14.25" customHeight="1" x14ac:dyDescent="0.25">
      <c r="A93" s="31" t="s">
        <v>15</v>
      </c>
      <c r="B93" s="189" t="s">
        <v>146</v>
      </c>
      <c r="C93" s="189"/>
      <c r="D93" s="189"/>
      <c r="E93" s="189"/>
      <c r="F93" s="189"/>
      <c r="G93" s="189"/>
      <c r="H93" s="189"/>
      <c r="I93" s="189"/>
      <c r="J93" s="189"/>
      <c r="K93" s="189"/>
      <c r="L93" s="189"/>
      <c r="M93" s="189"/>
      <c r="N93" s="189"/>
      <c r="O93" s="189"/>
      <c r="P93" s="189"/>
      <c r="Q93" s="189"/>
      <c r="R93" s="189"/>
      <c r="S93" s="189"/>
      <c r="T93" s="189"/>
      <c r="U93" s="189"/>
      <c r="V93" s="189"/>
      <c r="W93" s="189"/>
      <c r="X93" s="189"/>
      <c r="Y93" s="189"/>
      <c r="Z93" s="189"/>
      <c r="AA93" s="189"/>
      <c r="AB93" s="189"/>
      <c r="AC93" s="189"/>
      <c r="AD93" s="189"/>
      <c r="AE93" s="189"/>
      <c r="AF93" s="189"/>
      <c r="AG93" s="189"/>
      <c r="AH93" s="189"/>
      <c r="AI93" s="189"/>
      <c r="AJ93" s="189"/>
      <c r="AK93" s="189"/>
      <c r="AL93" s="189"/>
      <c r="AM93" s="189"/>
      <c r="AN93" s="189"/>
      <c r="AO93" s="189"/>
      <c r="AP93" s="189"/>
      <c r="AQ93" s="189"/>
      <c r="AR93" s="189"/>
      <c r="AS93" s="189"/>
      <c r="AT93" s="189"/>
      <c r="AU93" s="189"/>
      <c r="AV93" s="189"/>
      <c r="AW93" s="189"/>
      <c r="AX93" s="189"/>
      <c r="AY93" s="189"/>
      <c r="AZ93" s="189"/>
      <c r="BA93" s="189"/>
      <c r="BB93" s="189"/>
      <c r="BC93" s="189"/>
      <c r="BD93" s="189"/>
      <c r="BE93" s="189"/>
      <c r="BF93" s="189"/>
      <c r="BG93" s="189"/>
      <c r="BH93" s="189"/>
      <c r="BI93" s="189"/>
      <c r="BJ93" s="189"/>
      <c r="BK93" s="189"/>
      <c r="BL93" s="189"/>
      <c r="BM93" s="189"/>
      <c r="BN93" s="189"/>
      <c r="BO93" s="189"/>
      <c r="BP93" s="189"/>
      <c r="BQ93" s="190"/>
    </row>
    <row r="94" spans="1:78" ht="14.25" customHeight="1" x14ac:dyDescent="0.25">
      <c r="A94" s="31" t="s">
        <v>16</v>
      </c>
      <c r="B94" s="189" t="s">
        <v>147</v>
      </c>
      <c r="C94" s="189"/>
      <c r="D94" s="189"/>
      <c r="E94" s="189"/>
      <c r="F94" s="189"/>
      <c r="G94" s="189"/>
      <c r="H94" s="189"/>
      <c r="I94" s="189"/>
      <c r="J94" s="189"/>
      <c r="K94" s="189"/>
      <c r="L94" s="189"/>
      <c r="M94" s="189"/>
      <c r="N94" s="189"/>
      <c r="O94" s="189"/>
      <c r="P94" s="189"/>
      <c r="Q94" s="189"/>
      <c r="R94" s="189"/>
      <c r="S94" s="189"/>
      <c r="T94" s="189"/>
      <c r="U94" s="189"/>
      <c r="V94" s="189"/>
      <c r="W94" s="189"/>
      <c r="X94" s="189"/>
      <c r="Y94" s="189"/>
      <c r="Z94" s="189"/>
      <c r="AA94" s="189"/>
      <c r="AB94" s="189"/>
      <c r="AC94" s="189"/>
      <c r="AD94" s="189"/>
      <c r="AE94" s="189"/>
      <c r="AF94" s="189"/>
      <c r="AG94" s="189"/>
      <c r="AH94" s="189"/>
      <c r="AI94" s="189"/>
      <c r="AJ94" s="189"/>
      <c r="AK94" s="189"/>
      <c r="AL94" s="189"/>
      <c r="AM94" s="189"/>
      <c r="AN94" s="189"/>
      <c r="AO94" s="189"/>
      <c r="AP94" s="189"/>
      <c r="AQ94" s="189"/>
      <c r="AR94" s="189"/>
      <c r="AS94" s="189"/>
      <c r="AT94" s="189"/>
      <c r="AU94" s="189"/>
      <c r="AV94" s="189"/>
      <c r="AW94" s="189"/>
      <c r="AX94" s="189"/>
      <c r="AY94" s="189"/>
      <c r="AZ94" s="189"/>
      <c r="BA94" s="189"/>
      <c r="BB94" s="189"/>
      <c r="BC94" s="189"/>
      <c r="BD94" s="189"/>
      <c r="BE94" s="189"/>
      <c r="BF94" s="189"/>
      <c r="BG94" s="189"/>
      <c r="BH94" s="189"/>
      <c r="BI94" s="189"/>
      <c r="BJ94" s="189"/>
      <c r="BK94" s="189"/>
      <c r="BL94" s="189"/>
      <c r="BM94" s="189"/>
      <c r="BN94" s="189"/>
      <c r="BO94" s="189"/>
      <c r="BP94" s="189"/>
      <c r="BQ94" s="190"/>
    </row>
    <row r="95" spans="1:78" ht="14.25" customHeight="1" x14ac:dyDescent="0.25">
      <c r="A95" s="31" t="s">
        <v>17</v>
      </c>
      <c r="B95" s="189" t="s">
        <v>148</v>
      </c>
      <c r="C95" s="189"/>
      <c r="D95" s="189"/>
      <c r="E95" s="189"/>
      <c r="F95" s="189"/>
      <c r="G95" s="189"/>
      <c r="H95" s="189"/>
      <c r="I95" s="189"/>
      <c r="J95" s="189"/>
      <c r="K95" s="189"/>
      <c r="L95" s="189"/>
      <c r="M95" s="189"/>
      <c r="N95" s="189"/>
      <c r="O95" s="189"/>
      <c r="P95" s="189"/>
      <c r="Q95" s="189"/>
      <c r="R95" s="189"/>
      <c r="S95" s="189"/>
      <c r="T95" s="189"/>
      <c r="U95" s="189"/>
      <c r="V95" s="189"/>
      <c r="W95" s="189"/>
      <c r="X95" s="189"/>
      <c r="Y95" s="189"/>
      <c r="Z95" s="189"/>
      <c r="AA95" s="189"/>
      <c r="AB95" s="189"/>
      <c r="AC95" s="189"/>
      <c r="AD95" s="189"/>
      <c r="AE95" s="189"/>
      <c r="AF95" s="189"/>
      <c r="AG95" s="189"/>
      <c r="AH95" s="189"/>
      <c r="AI95" s="189"/>
      <c r="AJ95" s="189"/>
      <c r="AK95" s="189"/>
      <c r="AL95" s="189"/>
      <c r="AM95" s="189"/>
      <c r="AN95" s="189"/>
      <c r="AO95" s="189"/>
      <c r="AP95" s="189"/>
      <c r="AQ95" s="189"/>
      <c r="AR95" s="189"/>
      <c r="AS95" s="189"/>
      <c r="AT95" s="189"/>
      <c r="AU95" s="189"/>
      <c r="AV95" s="189"/>
      <c r="AW95" s="189"/>
      <c r="AX95" s="189"/>
      <c r="AY95" s="189"/>
      <c r="AZ95" s="189"/>
      <c r="BA95" s="189"/>
      <c r="BB95" s="189"/>
      <c r="BC95" s="189"/>
      <c r="BD95" s="189"/>
      <c r="BE95" s="189"/>
      <c r="BF95" s="189"/>
      <c r="BG95" s="189"/>
      <c r="BH95" s="189"/>
      <c r="BI95" s="189"/>
      <c r="BJ95" s="189"/>
      <c r="BK95" s="189"/>
      <c r="BL95" s="189"/>
      <c r="BM95" s="189"/>
      <c r="BN95" s="189"/>
      <c r="BO95" s="189"/>
      <c r="BP95" s="190"/>
      <c r="BQ95" s="190"/>
    </row>
    <row r="96" spans="1:78" ht="14.25" customHeight="1" x14ac:dyDescent="0.25">
      <c r="A96" s="31" t="s">
        <v>18</v>
      </c>
      <c r="B96" s="188" t="s">
        <v>162</v>
      </c>
      <c r="C96" s="188"/>
      <c r="D96" s="188"/>
      <c r="E96" s="188"/>
      <c r="F96" s="188"/>
      <c r="G96" s="188"/>
      <c r="H96" s="188"/>
      <c r="I96" s="188"/>
      <c r="J96" s="188"/>
      <c r="K96" s="188"/>
      <c r="L96" s="188"/>
      <c r="M96" s="188"/>
      <c r="N96" s="188"/>
      <c r="O96" s="188"/>
      <c r="P96" s="188"/>
      <c r="Q96" s="188"/>
      <c r="R96" s="188"/>
      <c r="S96" s="188"/>
      <c r="T96" s="188"/>
      <c r="U96" s="188"/>
      <c r="V96" s="188"/>
      <c r="W96" s="188"/>
      <c r="X96" s="188"/>
      <c r="Y96" s="188"/>
      <c r="Z96" s="188"/>
      <c r="AA96" s="188"/>
      <c r="AB96" s="188"/>
      <c r="AC96" s="188"/>
      <c r="AD96" s="188"/>
      <c r="AE96" s="188"/>
      <c r="AF96" s="188"/>
      <c r="AG96" s="188"/>
      <c r="AH96" s="188"/>
      <c r="AI96" s="188"/>
      <c r="AJ96" s="188"/>
      <c r="AK96" s="188"/>
      <c r="AL96" s="188"/>
      <c r="AM96" s="188"/>
      <c r="AN96" s="188"/>
      <c r="AO96" s="188"/>
      <c r="AP96" s="188"/>
      <c r="AQ96" s="188"/>
      <c r="AR96" s="188"/>
      <c r="AS96" s="188"/>
      <c r="AT96" s="188"/>
      <c r="AU96" s="188"/>
      <c r="AV96" s="188"/>
      <c r="AW96" s="188"/>
      <c r="AX96" s="188"/>
      <c r="AY96" s="188"/>
      <c r="AZ96" s="188"/>
      <c r="BA96" s="188"/>
      <c r="BB96" s="188"/>
      <c r="BC96" s="188"/>
      <c r="BD96" s="188"/>
      <c r="BE96" s="188"/>
      <c r="BF96" s="188"/>
      <c r="BG96" s="188"/>
      <c r="BH96" s="188"/>
      <c r="BI96" s="188"/>
      <c r="BJ96" s="188"/>
      <c r="BK96" s="188"/>
      <c r="BL96" s="188"/>
      <c r="BM96" s="188"/>
      <c r="BN96" s="188"/>
      <c r="BO96" s="188"/>
      <c r="BP96" s="188"/>
    </row>
    <row r="97" spans="1:70" ht="14.25" customHeight="1" x14ac:dyDescent="0.25">
      <c r="A97" s="31"/>
      <c r="B97" s="188" t="s">
        <v>172</v>
      </c>
      <c r="C97" s="188"/>
      <c r="D97" s="188"/>
      <c r="E97" s="188"/>
      <c r="F97" s="188"/>
      <c r="G97" s="188"/>
      <c r="H97" s="188"/>
      <c r="I97" s="188"/>
      <c r="J97" s="188"/>
      <c r="K97" s="188"/>
      <c r="L97" s="188"/>
      <c r="M97" s="188"/>
      <c r="N97" s="188"/>
      <c r="O97" s="188"/>
      <c r="P97" s="188"/>
      <c r="Q97" s="188"/>
      <c r="R97" s="188"/>
      <c r="S97" s="188"/>
      <c r="T97" s="188"/>
      <c r="U97" s="188"/>
      <c r="V97" s="188"/>
      <c r="W97" s="188"/>
      <c r="X97" s="188"/>
      <c r="Y97" s="188"/>
      <c r="Z97" s="188"/>
      <c r="AA97" s="188"/>
      <c r="AB97" s="188"/>
      <c r="AC97" s="188"/>
      <c r="AD97" s="188"/>
      <c r="AE97" s="188"/>
      <c r="AF97" s="188"/>
      <c r="AG97" s="188"/>
      <c r="AH97" s="188"/>
      <c r="AI97" s="188"/>
      <c r="AJ97" s="188"/>
      <c r="AK97" s="188"/>
      <c r="AL97" s="188"/>
      <c r="AM97" s="188"/>
      <c r="AN97" s="188"/>
      <c r="AO97" s="188"/>
      <c r="AP97" s="188"/>
      <c r="AQ97" s="188"/>
      <c r="AR97" s="188"/>
      <c r="AS97" s="188"/>
      <c r="AT97" s="188"/>
      <c r="AU97" s="188"/>
      <c r="AV97" s="188"/>
      <c r="AW97" s="188"/>
      <c r="AX97" s="188"/>
      <c r="AY97" s="188"/>
      <c r="AZ97" s="188"/>
      <c r="BA97" s="188"/>
      <c r="BB97" s="188"/>
      <c r="BC97" s="188"/>
      <c r="BD97" s="188"/>
      <c r="BE97" s="188"/>
      <c r="BF97" s="188"/>
      <c r="BG97" s="188"/>
      <c r="BH97" s="188"/>
      <c r="BI97" s="188"/>
      <c r="BJ97" s="188"/>
      <c r="BK97" s="188"/>
      <c r="BL97" s="188"/>
      <c r="BM97" s="188"/>
      <c r="BN97" s="188"/>
      <c r="BO97" s="188"/>
      <c r="BP97" s="188"/>
    </row>
    <row r="98" spans="1:70" ht="14.25" customHeight="1" x14ac:dyDescent="0.25">
      <c r="A98" s="31" t="s">
        <v>19</v>
      </c>
      <c r="B98" s="188" t="s">
        <v>158</v>
      </c>
      <c r="C98" s="188"/>
      <c r="D98" s="188"/>
      <c r="E98" s="188"/>
      <c r="F98" s="188"/>
      <c r="G98" s="188"/>
      <c r="H98" s="188"/>
      <c r="I98" s="188"/>
      <c r="J98" s="188"/>
      <c r="K98" s="188"/>
      <c r="L98" s="188"/>
      <c r="M98" s="188"/>
      <c r="N98" s="188"/>
      <c r="O98" s="188"/>
      <c r="P98" s="188"/>
      <c r="Q98" s="188"/>
      <c r="R98" s="188"/>
      <c r="S98" s="188"/>
      <c r="T98" s="188"/>
      <c r="U98" s="188"/>
      <c r="V98" s="188"/>
      <c r="W98" s="188"/>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88"/>
      <c r="AX98" s="188"/>
      <c r="AY98" s="188"/>
      <c r="AZ98" s="188"/>
      <c r="BA98" s="188"/>
      <c r="BB98" s="188"/>
      <c r="BC98" s="188"/>
      <c r="BD98" s="188"/>
      <c r="BE98" s="188"/>
      <c r="BF98" s="188"/>
      <c r="BG98" s="188"/>
      <c r="BH98" s="188"/>
      <c r="BI98" s="188"/>
      <c r="BJ98" s="188"/>
      <c r="BK98" s="188"/>
      <c r="BL98" s="188"/>
      <c r="BM98" s="188"/>
      <c r="BN98" s="188"/>
      <c r="BO98" s="188"/>
      <c r="BP98" s="188"/>
    </row>
    <row r="99" spans="1:70" ht="14.25" customHeight="1" x14ac:dyDescent="0.25">
      <c r="A99" s="31" t="s">
        <v>20</v>
      </c>
      <c r="B99" s="188" t="s">
        <v>167</v>
      </c>
      <c r="C99" s="188"/>
      <c r="D99" s="188"/>
      <c r="E99" s="188"/>
      <c r="F99" s="188"/>
      <c r="G99" s="188"/>
      <c r="H99" s="188"/>
      <c r="I99" s="188"/>
      <c r="J99" s="188"/>
      <c r="K99" s="188"/>
      <c r="L99" s="188"/>
      <c r="M99" s="188"/>
      <c r="N99" s="188"/>
      <c r="O99" s="188"/>
      <c r="P99" s="188"/>
      <c r="Q99" s="188"/>
      <c r="R99" s="188"/>
      <c r="S99" s="188"/>
      <c r="T99" s="188"/>
      <c r="U99" s="188"/>
      <c r="V99" s="188"/>
      <c r="W99" s="188"/>
      <c r="X99" s="188"/>
      <c r="Y99" s="188"/>
      <c r="Z99" s="188"/>
      <c r="AA99" s="188"/>
      <c r="AB99" s="188"/>
      <c r="AC99" s="188"/>
      <c r="AD99" s="188"/>
      <c r="AE99" s="188"/>
      <c r="AF99" s="188"/>
      <c r="AG99" s="188"/>
      <c r="AH99" s="188"/>
      <c r="AI99" s="188"/>
      <c r="AJ99" s="188"/>
      <c r="AK99" s="188"/>
      <c r="AL99" s="188"/>
      <c r="AM99" s="188"/>
      <c r="AN99" s="188"/>
      <c r="AO99" s="188"/>
      <c r="AP99" s="188"/>
      <c r="AQ99" s="188"/>
      <c r="AR99" s="188"/>
      <c r="AS99" s="188"/>
      <c r="AT99" s="188"/>
      <c r="AU99" s="188"/>
      <c r="AV99" s="188"/>
      <c r="AW99" s="188"/>
      <c r="AX99" s="188"/>
      <c r="AY99" s="188"/>
      <c r="AZ99" s="188"/>
      <c r="BA99" s="188"/>
      <c r="BB99" s="188"/>
      <c r="BC99" s="188"/>
      <c r="BD99" s="188"/>
      <c r="BE99" s="188"/>
      <c r="BF99" s="188"/>
      <c r="BG99" s="188"/>
      <c r="BH99" s="188"/>
      <c r="BI99" s="188"/>
      <c r="BJ99" s="188"/>
      <c r="BK99" s="188"/>
      <c r="BL99" s="188"/>
      <c r="BM99" s="188"/>
      <c r="BN99" s="188"/>
      <c r="BO99" s="188"/>
      <c r="BP99" s="188"/>
    </row>
    <row r="100" spans="1:70" ht="14.25" customHeight="1" x14ac:dyDescent="0.25">
      <c r="A100" s="31"/>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row>
    <row r="101" spans="1:70" ht="14.25" customHeight="1" x14ac:dyDescent="0.25">
      <c r="A101" s="31"/>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row>
    <row r="102" spans="1:70" ht="14.25" customHeight="1" x14ac:dyDescent="0.25">
      <c r="A102" s="143"/>
      <c r="B102" s="143"/>
      <c r="C102" s="143"/>
      <c r="D102" s="143"/>
      <c r="E102" s="143"/>
      <c r="F102" s="143"/>
      <c r="G102" s="143"/>
      <c r="H102" s="143"/>
      <c r="I102" s="143"/>
      <c r="J102" s="143"/>
      <c r="K102" s="143"/>
      <c r="L102" s="143"/>
      <c r="M102" s="143"/>
      <c r="N102" s="143"/>
      <c r="O102" s="143"/>
      <c r="P102" s="143"/>
      <c r="Q102" s="143"/>
      <c r="R102" s="143"/>
      <c r="S102" s="143"/>
      <c r="T102" s="143"/>
      <c r="U102" s="143"/>
      <c r="V102" s="143"/>
      <c r="W102" s="143"/>
      <c r="X102" s="143"/>
      <c r="Y102" s="32"/>
      <c r="Z102" s="32"/>
      <c r="AA102" s="32"/>
      <c r="AB102" s="32"/>
      <c r="AC102" s="32"/>
      <c r="AD102" s="32"/>
      <c r="AE102" s="32"/>
      <c r="AF102" s="32"/>
      <c r="AG102" s="32"/>
      <c r="AH102" s="32"/>
      <c r="AI102" s="32"/>
      <c r="AJ102" s="142" t="s">
        <v>71</v>
      </c>
      <c r="AK102" s="142"/>
      <c r="AL102" s="142"/>
      <c r="AM102" s="142"/>
      <c r="AN102" s="142"/>
      <c r="AO102" s="142"/>
      <c r="AP102" s="142"/>
      <c r="AQ102" s="142"/>
      <c r="AR102" s="142"/>
      <c r="AS102" s="142"/>
      <c r="AT102" s="142"/>
      <c r="AU102" s="142"/>
      <c r="AV102" s="142"/>
      <c r="AW102" s="142"/>
      <c r="AX102" s="142"/>
      <c r="AY102" s="142"/>
      <c r="AZ102" s="142"/>
      <c r="BA102" s="142"/>
      <c r="BB102" s="142"/>
      <c r="BC102" s="142"/>
      <c r="BD102" s="142"/>
      <c r="BE102" s="142"/>
      <c r="BF102" s="142"/>
      <c r="BG102" s="142"/>
      <c r="BH102" s="142"/>
      <c r="BI102" s="142"/>
      <c r="BJ102" s="142"/>
      <c r="BK102" s="142"/>
      <c r="BL102" s="142"/>
      <c r="BM102" s="142"/>
      <c r="BN102" s="142"/>
      <c r="BO102" s="142"/>
      <c r="BP102" s="142"/>
      <c r="BQ102" s="142"/>
      <c r="BR102" s="142"/>
    </row>
    <row r="103" spans="1:70" ht="14.25" customHeight="1" x14ac:dyDescent="0.25">
      <c r="A103" s="33"/>
      <c r="B103" s="34"/>
      <c r="C103" s="34"/>
      <c r="D103" s="33"/>
      <c r="E103" s="33"/>
      <c r="F103" s="33"/>
      <c r="G103" s="33"/>
      <c r="H103" s="33"/>
      <c r="I103" s="33"/>
      <c r="J103" s="33"/>
      <c r="K103" s="33"/>
      <c r="L103" s="33"/>
      <c r="M103" s="33"/>
      <c r="N103" s="33"/>
      <c r="O103" s="33"/>
      <c r="P103" s="33"/>
      <c r="Q103" s="33"/>
      <c r="R103" s="33"/>
      <c r="S103" s="33"/>
      <c r="T103" s="35"/>
      <c r="U103" s="35"/>
      <c r="V103" s="35"/>
      <c r="W103" s="35"/>
      <c r="X103" s="35"/>
      <c r="Y103" s="36"/>
      <c r="Z103" s="36"/>
      <c r="AA103" s="36"/>
      <c r="AB103" s="36"/>
      <c r="AC103" s="36"/>
      <c r="AD103" s="36"/>
      <c r="AE103" s="36"/>
      <c r="AF103" s="36"/>
      <c r="AG103" s="36"/>
      <c r="AH103" s="36"/>
      <c r="AI103" s="36"/>
      <c r="AJ103" s="142"/>
      <c r="AK103" s="142"/>
      <c r="AL103" s="142"/>
      <c r="AM103" s="142"/>
      <c r="AN103" s="142"/>
      <c r="AO103" s="142"/>
      <c r="AP103" s="142"/>
      <c r="AQ103" s="142"/>
      <c r="AR103" s="142"/>
      <c r="AS103" s="142"/>
      <c r="AT103" s="142"/>
      <c r="AU103" s="142"/>
      <c r="AV103" s="142"/>
      <c r="AW103" s="142"/>
      <c r="AX103" s="142"/>
      <c r="AY103" s="142"/>
      <c r="AZ103" s="142"/>
      <c r="BA103" s="142"/>
      <c r="BB103" s="142"/>
      <c r="BC103" s="142"/>
      <c r="BD103" s="142"/>
      <c r="BE103" s="142"/>
      <c r="BF103" s="142"/>
      <c r="BG103" s="142"/>
      <c r="BH103" s="142"/>
      <c r="BI103" s="142"/>
      <c r="BJ103" s="142"/>
      <c r="BK103" s="142"/>
      <c r="BL103" s="142"/>
      <c r="BM103" s="142"/>
      <c r="BN103" s="142"/>
      <c r="BO103" s="142"/>
      <c r="BP103" s="142"/>
      <c r="BQ103" s="142"/>
      <c r="BR103" s="142"/>
    </row>
    <row r="104" spans="1:70" ht="14.25" customHeight="1" x14ac:dyDescent="0.25">
      <c r="A104" s="33"/>
      <c r="B104" s="34"/>
      <c r="C104" s="34"/>
      <c r="D104" s="33"/>
      <c r="E104" s="33"/>
      <c r="F104" s="33"/>
      <c r="G104" s="33"/>
      <c r="H104" s="33"/>
      <c r="I104" s="33"/>
      <c r="J104" s="33"/>
      <c r="K104" s="33"/>
      <c r="L104" s="33"/>
      <c r="M104" s="33"/>
      <c r="N104" s="33"/>
      <c r="O104" s="33"/>
      <c r="P104" s="33"/>
      <c r="Q104" s="33"/>
      <c r="R104" s="33"/>
      <c r="S104" s="33"/>
      <c r="T104" s="35"/>
      <c r="U104" s="35"/>
      <c r="V104" s="35"/>
      <c r="W104" s="35"/>
      <c r="X104" s="35"/>
      <c r="Y104" s="36"/>
      <c r="Z104" s="36"/>
      <c r="AA104" s="36"/>
      <c r="AB104" s="36"/>
      <c r="AC104" s="36"/>
      <c r="AD104" s="36"/>
      <c r="AE104" s="36"/>
      <c r="AF104" s="36"/>
      <c r="AG104" s="36"/>
      <c r="AH104" s="36"/>
      <c r="AI104" s="36"/>
      <c r="AJ104" s="142"/>
      <c r="AK104" s="142"/>
      <c r="AL104" s="142"/>
      <c r="AM104" s="142"/>
      <c r="AN104" s="142"/>
      <c r="AO104" s="142"/>
      <c r="AP104" s="142"/>
      <c r="AQ104" s="142"/>
      <c r="AR104" s="142"/>
      <c r="AS104" s="142"/>
      <c r="AT104" s="142"/>
      <c r="AU104" s="142"/>
      <c r="AV104" s="142"/>
      <c r="AW104" s="142"/>
      <c r="AX104" s="142"/>
      <c r="AY104" s="142"/>
      <c r="AZ104" s="142"/>
      <c r="BA104" s="142"/>
      <c r="BB104" s="142"/>
      <c r="BC104" s="142"/>
      <c r="BD104" s="142"/>
      <c r="BE104" s="142"/>
      <c r="BF104" s="142"/>
      <c r="BG104" s="142"/>
      <c r="BH104" s="142"/>
      <c r="BI104" s="142"/>
      <c r="BJ104" s="142"/>
      <c r="BK104" s="142"/>
      <c r="BL104" s="142"/>
      <c r="BM104" s="142"/>
      <c r="BN104" s="142"/>
      <c r="BO104" s="142"/>
      <c r="BP104" s="142"/>
      <c r="BQ104" s="142"/>
      <c r="BR104" s="142"/>
    </row>
    <row r="105" spans="1:70" ht="14.25" customHeight="1" x14ac:dyDescent="0.2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6"/>
      <c r="AG105" s="36"/>
      <c r="AH105" s="36"/>
      <c r="AI105" s="36"/>
      <c r="AJ105" s="142"/>
      <c r="AK105" s="142"/>
      <c r="AL105" s="142"/>
      <c r="AM105" s="142"/>
      <c r="AN105" s="142"/>
      <c r="AO105" s="142"/>
      <c r="AP105" s="142"/>
      <c r="AQ105" s="142"/>
      <c r="AR105" s="142"/>
      <c r="AS105" s="142"/>
      <c r="AT105" s="142"/>
      <c r="AU105" s="142"/>
      <c r="AV105" s="142"/>
      <c r="AW105" s="142"/>
      <c r="AX105" s="142"/>
      <c r="AY105" s="142"/>
      <c r="AZ105" s="142"/>
      <c r="BA105" s="142"/>
      <c r="BB105" s="142"/>
      <c r="BC105" s="142"/>
      <c r="BD105" s="142"/>
      <c r="BE105" s="142"/>
      <c r="BF105" s="142"/>
      <c r="BG105" s="142"/>
      <c r="BH105" s="142"/>
      <c r="BI105" s="142"/>
      <c r="BJ105" s="142"/>
      <c r="BK105" s="142"/>
      <c r="BL105" s="142"/>
      <c r="BM105" s="142"/>
      <c r="BN105" s="142"/>
      <c r="BO105" s="142"/>
      <c r="BP105" s="142"/>
      <c r="BQ105" s="142"/>
      <c r="BR105" s="142"/>
    </row>
    <row r="106" spans="1:70" ht="14.25" customHeight="1" x14ac:dyDescent="0.25">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6"/>
      <c r="AG106" s="36"/>
      <c r="AH106" s="36"/>
      <c r="AI106" s="36"/>
      <c r="AJ106" s="142"/>
      <c r="AK106" s="142"/>
      <c r="AL106" s="142"/>
      <c r="AM106" s="142"/>
      <c r="AN106" s="142"/>
      <c r="AO106" s="142"/>
      <c r="AP106" s="142"/>
      <c r="AQ106" s="142"/>
      <c r="AR106" s="142"/>
      <c r="AS106" s="142"/>
      <c r="AT106" s="142"/>
      <c r="AU106" s="142"/>
      <c r="AV106" s="142"/>
      <c r="AW106" s="142"/>
      <c r="AX106" s="142"/>
      <c r="AY106" s="142"/>
      <c r="AZ106" s="142"/>
      <c r="BA106" s="142"/>
      <c r="BB106" s="142"/>
      <c r="BC106" s="142"/>
      <c r="BD106" s="142"/>
      <c r="BE106" s="142"/>
      <c r="BF106" s="142"/>
      <c r="BG106" s="142"/>
      <c r="BH106" s="142"/>
      <c r="BI106" s="142"/>
      <c r="BJ106" s="142"/>
      <c r="BK106" s="142"/>
      <c r="BL106" s="142"/>
      <c r="BM106" s="142"/>
      <c r="BN106" s="142"/>
      <c r="BO106" s="142"/>
      <c r="BP106" s="142"/>
      <c r="BQ106" s="142"/>
      <c r="BR106" s="142"/>
    </row>
    <row r="107" spans="1:70" ht="14.25" customHeight="1" x14ac:dyDescent="0.25">
      <c r="A107" s="38"/>
      <c r="B107" s="16"/>
      <c r="C107" s="16"/>
      <c r="D107" s="38"/>
      <c r="E107" s="38"/>
      <c r="F107" s="38"/>
      <c r="G107" s="38"/>
      <c r="H107" s="38"/>
      <c r="I107" s="38"/>
      <c r="J107" s="38"/>
      <c r="K107" s="38"/>
      <c r="L107" s="38"/>
      <c r="M107" s="38"/>
      <c r="N107" s="38"/>
      <c r="O107" s="38"/>
      <c r="P107" s="38"/>
      <c r="Q107" s="38"/>
      <c r="R107" s="38"/>
      <c r="S107" s="38"/>
      <c r="T107" s="39"/>
      <c r="U107" s="39"/>
      <c r="V107" s="39"/>
      <c r="W107" s="39"/>
      <c r="X107" s="39"/>
      <c r="Y107" s="38"/>
      <c r="Z107" s="38"/>
      <c r="AA107" s="38"/>
      <c r="AB107" s="38"/>
      <c r="AC107" s="38"/>
      <c r="AD107" s="38"/>
      <c r="AE107" s="38"/>
      <c r="AF107" s="36"/>
      <c r="AG107" s="36"/>
      <c r="AH107" s="36"/>
      <c r="AI107" s="36"/>
      <c r="AJ107" s="142"/>
      <c r="AK107" s="142"/>
      <c r="AL107" s="142"/>
      <c r="AM107" s="142"/>
      <c r="AN107" s="142"/>
      <c r="AO107" s="142"/>
      <c r="AP107" s="142"/>
      <c r="AQ107" s="142"/>
      <c r="AR107" s="142"/>
      <c r="AS107" s="142"/>
      <c r="AT107" s="142"/>
      <c r="AU107" s="142"/>
      <c r="AV107" s="142"/>
      <c r="AW107" s="142"/>
      <c r="AX107" s="142"/>
      <c r="AY107" s="142"/>
      <c r="AZ107" s="142"/>
      <c r="BA107" s="142"/>
      <c r="BB107" s="142"/>
      <c r="BC107" s="142"/>
      <c r="BD107" s="142"/>
      <c r="BE107" s="142"/>
      <c r="BF107" s="142"/>
      <c r="BG107" s="142"/>
      <c r="BH107" s="142"/>
      <c r="BI107" s="142"/>
      <c r="BJ107" s="142"/>
      <c r="BK107" s="142"/>
      <c r="BL107" s="142"/>
      <c r="BM107" s="142"/>
      <c r="BN107" s="142"/>
      <c r="BO107" s="142"/>
      <c r="BP107" s="142"/>
      <c r="BQ107" s="142"/>
      <c r="BR107" s="142"/>
    </row>
    <row r="108" spans="1:70" ht="14.25" customHeight="1" x14ac:dyDescent="0.25">
      <c r="A108" s="70"/>
      <c r="B108" s="16"/>
      <c r="C108" s="16"/>
      <c r="D108" s="70"/>
      <c r="E108" s="70"/>
      <c r="F108" s="70"/>
      <c r="G108" s="70"/>
      <c r="H108" s="70"/>
      <c r="I108" s="70"/>
      <c r="J108" s="70"/>
      <c r="K108" s="70"/>
      <c r="L108" s="70"/>
      <c r="M108" s="70"/>
      <c r="N108" s="70"/>
      <c r="O108" s="70"/>
      <c r="P108" s="70"/>
      <c r="Q108" s="70"/>
      <c r="R108" s="70"/>
      <c r="S108" s="70"/>
      <c r="T108" s="40"/>
      <c r="U108" s="40"/>
      <c r="V108" s="40"/>
      <c r="W108" s="40"/>
      <c r="X108" s="40"/>
      <c r="Y108" s="38"/>
      <c r="Z108" s="38"/>
      <c r="AA108" s="38"/>
      <c r="AB108" s="38"/>
      <c r="AC108" s="38"/>
      <c r="AD108" s="38"/>
      <c r="AE108" s="38"/>
      <c r="AF108" s="36"/>
      <c r="AG108" s="36"/>
      <c r="AH108" s="36"/>
      <c r="AI108" s="36"/>
      <c r="AJ108" s="142"/>
      <c r="AK108" s="142"/>
      <c r="AL108" s="142"/>
      <c r="AM108" s="142"/>
      <c r="AN108" s="142"/>
      <c r="AO108" s="142"/>
      <c r="AP108" s="142"/>
      <c r="AQ108" s="142"/>
      <c r="AR108" s="142"/>
      <c r="AS108" s="142"/>
      <c r="AT108" s="142"/>
      <c r="AU108" s="142"/>
      <c r="AV108" s="142"/>
      <c r="AW108" s="142"/>
      <c r="AX108" s="142"/>
      <c r="AY108" s="142"/>
      <c r="AZ108" s="142"/>
      <c r="BA108" s="142"/>
      <c r="BB108" s="142"/>
      <c r="BC108" s="142"/>
      <c r="BD108" s="142"/>
      <c r="BE108" s="142"/>
      <c r="BF108" s="142"/>
      <c r="BG108" s="142"/>
      <c r="BH108" s="142"/>
      <c r="BI108" s="142"/>
      <c r="BJ108" s="142"/>
      <c r="BK108" s="142"/>
      <c r="BL108" s="142"/>
      <c r="BM108" s="142"/>
      <c r="BN108" s="142"/>
      <c r="BO108" s="142"/>
      <c r="BP108" s="142"/>
      <c r="BQ108" s="142"/>
      <c r="BR108" s="142"/>
    </row>
    <row r="109" spans="1:70" ht="14.25" customHeight="1" x14ac:dyDescent="0.3">
      <c r="A109" s="70"/>
      <c r="B109" s="16"/>
      <c r="C109" s="16"/>
      <c r="D109" s="70"/>
      <c r="E109" s="70"/>
      <c r="F109" s="70"/>
      <c r="G109" s="70"/>
      <c r="H109" s="70"/>
      <c r="I109" s="70"/>
      <c r="J109" s="70"/>
      <c r="K109" s="70"/>
      <c r="L109" s="70"/>
      <c r="M109" s="70"/>
      <c r="N109" s="70"/>
      <c r="O109" s="70"/>
      <c r="P109" s="70"/>
      <c r="Q109" s="70"/>
      <c r="R109" s="70"/>
      <c r="S109" s="70"/>
      <c r="T109" s="40"/>
      <c r="U109" s="40"/>
      <c r="V109" s="40"/>
      <c r="W109" s="40"/>
      <c r="X109" s="40"/>
      <c r="Y109" s="38"/>
      <c r="Z109" s="38"/>
      <c r="AA109" s="38"/>
      <c r="AB109" s="38"/>
      <c r="AC109" s="38"/>
      <c r="AD109" s="38"/>
      <c r="AE109" s="38"/>
      <c r="AF109" s="36"/>
      <c r="AG109" s="36"/>
      <c r="AH109" s="36"/>
      <c r="AI109" s="36"/>
      <c r="AJ109" s="36"/>
      <c r="AK109" s="41"/>
      <c r="AL109" s="69"/>
      <c r="AM109" s="69"/>
      <c r="AN109" s="69"/>
      <c r="AO109" s="69"/>
      <c r="AP109" s="69"/>
      <c r="AQ109" s="69"/>
      <c r="AR109" s="69"/>
      <c r="AS109" s="69"/>
      <c r="AT109" s="69"/>
      <c r="AU109" s="69"/>
      <c r="AV109" s="69"/>
      <c r="AW109" s="69"/>
      <c r="AX109" s="69"/>
      <c r="AY109" s="69"/>
      <c r="AZ109" s="69"/>
      <c r="BA109" s="69"/>
      <c r="BB109" s="69"/>
      <c r="BC109" s="69"/>
      <c r="BD109" s="69"/>
      <c r="BE109" s="69"/>
      <c r="BF109" s="69"/>
      <c r="BG109" s="69"/>
      <c r="BH109" s="69"/>
      <c r="BI109" s="69"/>
      <c r="BJ109" s="69"/>
      <c r="BK109" s="69"/>
      <c r="BL109" s="69"/>
      <c r="BM109" s="69"/>
      <c r="BN109" s="69"/>
      <c r="BO109" s="69"/>
      <c r="BP109" s="69"/>
    </row>
    <row r="110" spans="1:70" ht="14.25" customHeight="1" x14ac:dyDescent="0.3">
      <c r="A110" s="70"/>
      <c r="B110" s="16"/>
      <c r="C110" s="16"/>
      <c r="D110" s="70"/>
      <c r="E110" s="70"/>
      <c r="F110" s="70"/>
      <c r="G110" s="70"/>
      <c r="H110" s="70"/>
      <c r="I110" s="70"/>
      <c r="J110" s="70"/>
      <c r="K110" s="70"/>
      <c r="L110" s="70"/>
      <c r="M110" s="70"/>
      <c r="N110" s="70"/>
      <c r="O110" s="70"/>
      <c r="P110" s="70"/>
      <c r="Q110" s="70"/>
      <c r="R110" s="70"/>
      <c r="S110" s="70"/>
      <c r="T110" s="40"/>
      <c r="U110" s="40"/>
      <c r="V110" s="40"/>
      <c r="W110" s="40"/>
      <c r="X110" s="40"/>
      <c r="Y110" s="38"/>
      <c r="Z110" s="38"/>
      <c r="AA110" s="38"/>
      <c r="AB110" s="38"/>
      <c r="AC110" s="38"/>
      <c r="AD110" s="38"/>
      <c r="AE110" s="38"/>
      <c r="AF110" s="36"/>
      <c r="AG110" s="36"/>
      <c r="AH110" s="36"/>
      <c r="AI110" s="36"/>
      <c r="AJ110" s="36"/>
      <c r="AK110" s="41"/>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c r="BI110" s="69"/>
      <c r="BJ110" s="69"/>
      <c r="BK110" s="69"/>
      <c r="BL110" s="69"/>
      <c r="BM110" s="69"/>
      <c r="BN110" s="69"/>
      <c r="BO110" s="69"/>
      <c r="BP110" s="69"/>
    </row>
    <row r="111" spans="1:70" ht="14.25" customHeight="1" x14ac:dyDescent="0.25">
      <c r="A111" s="141" t="s">
        <v>67</v>
      </c>
      <c r="B111" s="141"/>
      <c r="C111" s="141"/>
      <c r="D111" s="141"/>
      <c r="E111" s="141"/>
      <c r="F111" s="141"/>
      <c r="G111" s="141"/>
      <c r="H111" s="141"/>
      <c r="I111" s="141"/>
      <c r="J111" s="141"/>
      <c r="K111" s="141"/>
      <c r="L111" s="141"/>
      <c r="M111" s="141"/>
      <c r="N111" s="141"/>
      <c r="O111" s="141"/>
      <c r="P111" s="142" t="s">
        <v>21</v>
      </c>
      <c r="Q111" s="142"/>
      <c r="R111" s="142"/>
      <c r="S111" s="142"/>
      <c r="T111" s="142"/>
      <c r="U111" s="142"/>
      <c r="V111" s="142"/>
      <c r="W111" s="142"/>
      <c r="X111" s="142"/>
      <c r="Y111" s="141" t="s">
        <v>68</v>
      </c>
      <c r="Z111" s="141"/>
      <c r="AA111" s="141"/>
      <c r="AB111" s="141"/>
      <c r="AC111" s="141"/>
      <c r="AD111" s="141"/>
      <c r="AE111" s="141"/>
      <c r="AF111" s="42"/>
      <c r="AG111" s="42"/>
      <c r="AH111" s="43"/>
      <c r="AI111" s="43"/>
      <c r="AJ111" s="203" t="s">
        <v>238</v>
      </c>
      <c r="AK111" s="203"/>
      <c r="AL111" s="203"/>
      <c r="AM111" s="203"/>
      <c r="AN111" s="203"/>
      <c r="AO111" s="203"/>
      <c r="AP111" s="203"/>
      <c r="AQ111" s="203"/>
      <c r="AR111" s="203"/>
      <c r="AS111" s="203"/>
      <c r="AT111" s="203"/>
      <c r="AU111" s="203"/>
      <c r="AV111" s="203"/>
      <c r="AW111" s="203"/>
      <c r="AX111" s="203"/>
      <c r="AY111" s="142" t="s">
        <v>21</v>
      </c>
      <c r="AZ111" s="142"/>
      <c r="BA111" s="142"/>
      <c r="BB111" s="142"/>
      <c r="BC111" s="142"/>
      <c r="BD111" s="142"/>
      <c r="BE111" s="142"/>
      <c r="BF111" s="142"/>
      <c r="BG111" s="142"/>
      <c r="BH111" s="203" t="s">
        <v>244</v>
      </c>
      <c r="BI111" s="203"/>
      <c r="BJ111" s="203"/>
      <c r="BK111" s="203"/>
      <c r="BL111" s="203"/>
      <c r="BM111" s="203"/>
      <c r="BN111" s="203"/>
      <c r="BO111" s="203"/>
      <c r="BP111" s="203"/>
      <c r="BQ111" s="203"/>
      <c r="BR111" s="203"/>
    </row>
    <row r="112" spans="1:70" ht="14.25" customHeight="1" x14ac:dyDescent="0.25">
      <c r="A112" s="141"/>
      <c r="B112" s="141"/>
      <c r="C112" s="141"/>
      <c r="D112" s="141"/>
      <c r="E112" s="141"/>
      <c r="F112" s="141"/>
      <c r="G112" s="141"/>
      <c r="H112" s="141"/>
      <c r="I112" s="141"/>
      <c r="J112" s="141"/>
      <c r="K112" s="141"/>
      <c r="L112" s="141"/>
      <c r="M112" s="141"/>
      <c r="N112" s="141"/>
      <c r="O112" s="141"/>
      <c r="P112" s="142"/>
      <c r="Q112" s="142"/>
      <c r="R112" s="142"/>
      <c r="S112" s="142"/>
      <c r="T112" s="142"/>
      <c r="U112" s="142"/>
      <c r="V112" s="142"/>
      <c r="W112" s="142"/>
      <c r="X112" s="142"/>
      <c r="Y112" s="141"/>
      <c r="Z112" s="141"/>
      <c r="AA112" s="141"/>
      <c r="AB112" s="141"/>
      <c r="AC112" s="141"/>
      <c r="AD112" s="141"/>
      <c r="AE112" s="141"/>
      <c r="AF112" s="42"/>
      <c r="AG112" s="42"/>
      <c r="AH112" s="43"/>
      <c r="AI112" s="43"/>
      <c r="AJ112" s="203"/>
      <c r="AK112" s="203"/>
      <c r="AL112" s="203"/>
      <c r="AM112" s="203"/>
      <c r="AN112" s="203"/>
      <c r="AO112" s="203"/>
      <c r="AP112" s="203"/>
      <c r="AQ112" s="203"/>
      <c r="AR112" s="203"/>
      <c r="AS112" s="203"/>
      <c r="AT112" s="203"/>
      <c r="AU112" s="203"/>
      <c r="AV112" s="203"/>
      <c r="AW112" s="203"/>
      <c r="AX112" s="203"/>
      <c r="AY112" s="142"/>
      <c r="AZ112" s="142"/>
      <c r="BA112" s="142"/>
      <c r="BB112" s="142"/>
      <c r="BC112" s="142"/>
      <c r="BD112" s="142"/>
      <c r="BE112" s="142"/>
      <c r="BF112" s="142"/>
      <c r="BG112" s="142"/>
      <c r="BH112" s="203"/>
      <c r="BI112" s="203"/>
      <c r="BJ112" s="203"/>
      <c r="BK112" s="203"/>
      <c r="BL112" s="203"/>
      <c r="BM112" s="203"/>
      <c r="BN112" s="203"/>
      <c r="BO112" s="203"/>
      <c r="BP112" s="203"/>
      <c r="BQ112" s="203"/>
      <c r="BR112" s="203"/>
    </row>
    <row r="113" spans="1:70" ht="14.25" customHeight="1" x14ac:dyDescent="0.25">
      <c r="A113" s="141"/>
      <c r="B113" s="141"/>
      <c r="C113" s="141"/>
      <c r="D113" s="141"/>
      <c r="E113" s="141"/>
      <c r="F113" s="141"/>
      <c r="G113" s="141"/>
      <c r="H113" s="141"/>
      <c r="I113" s="141"/>
      <c r="J113" s="141"/>
      <c r="K113" s="141"/>
      <c r="L113" s="141"/>
      <c r="M113" s="141"/>
      <c r="N113" s="141"/>
      <c r="O113" s="141"/>
      <c r="P113" s="142"/>
      <c r="Q113" s="142"/>
      <c r="R113" s="142"/>
      <c r="S113" s="142"/>
      <c r="T113" s="142"/>
      <c r="U113" s="142"/>
      <c r="V113" s="142"/>
      <c r="W113" s="142"/>
      <c r="X113" s="142"/>
      <c r="Y113" s="141"/>
      <c r="Z113" s="141"/>
      <c r="AA113" s="141"/>
      <c r="AB113" s="141"/>
      <c r="AC113" s="141"/>
      <c r="AD113" s="141"/>
      <c r="AE113" s="141"/>
      <c r="AF113" s="42"/>
      <c r="AG113" s="42"/>
      <c r="AH113" s="43"/>
      <c r="AI113" s="43"/>
      <c r="AJ113" s="203"/>
      <c r="AK113" s="203"/>
      <c r="AL113" s="203"/>
      <c r="AM113" s="203"/>
      <c r="AN113" s="203"/>
      <c r="AO113" s="203"/>
      <c r="AP113" s="203"/>
      <c r="AQ113" s="203"/>
      <c r="AR113" s="203"/>
      <c r="AS113" s="203"/>
      <c r="AT113" s="203"/>
      <c r="AU113" s="203"/>
      <c r="AV113" s="203"/>
      <c r="AW113" s="203"/>
      <c r="AX113" s="203"/>
      <c r="AY113" s="142"/>
      <c r="AZ113" s="142"/>
      <c r="BA113" s="142"/>
      <c r="BB113" s="142"/>
      <c r="BC113" s="142"/>
      <c r="BD113" s="142"/>
      <c r="BE113" s="142"/>
      <c r="BF113" s="142"/>
      <c r="BG113" s="142"/>
      <c r="BH113" s="203"/>
      <c r="BI113" s="203"/>
      <c r="BJ113" s="203"/>
      <c r="BK113" s="203"/>
      <c r="BL113" s="203"/>
      <c r="BM113" s="203"/>
      <c r="BN113" s="203"/>
      <c r="BO113" s="203"/>
      <c r="BP113" s="203"/>
      <c r="BQ113" s="203"/>
      <c r="BR113" s="203"/>
    </row>
    <row r="114" spans="1:70" ht="14.25" customHeight="1" x14ac:dyDescent="0.25">
      <c r="A114" s="141"/>
      <c r="B114" s="141"/>
      <c r="C114" s="141"/>
      <c r="D114" s="141"/>
      <c r="E114" s="141"/>
      <c r="F114" s="141"/>
      <c r="G114" s="141"/>
      <c r="H114" s="141"/>
      <c r="I114" s="141"/>
      <c r="J114" s="141"/>
      <c r="K114" s="141"/>
      <c r="L114" s="141"/>
      <c r="M114" s="141"/>
      <c r="N114" s="141"/>
      <c r="O114" s="141"/>
      <c r="P114" s="142"/>
      <c r="Q114" s="142"/>
      <c r="R114" s="142"/>
      <c r="S114" s="142"/>
      <c r="T114" s="142"/>
      <c r="U114" s="142"/>
      <c r="V114" s="142"/>
      <c r="W114" s="142"/>
      <c r="X114" s="142"/>
      <c r="Y114" s="141"/>
      <c r="Z114" s="141"/>
      <c r="AA114" s="141"/>
      <c r="AB114" s="141"/>
      <c r="AC114" s="141"/>
      <c r="AD114" s="141"/>
      <c r="AE114" s="141"/>
      <c r="AF114" s="42"/>
      <c r="AG114" s="42"/>
      <c r="AH114" s="43"/>
      <c r="AI114" s="43"/>
      <c r="AJ114" s="203"/>
      <c r="AK114" s="203"/>
      <c r="AL114" s="203"/>
      <c r="AM114" s="203"/>
      <c r="AN114" s="203"/>
      <c r="AO114" s="203"/>
      <c r="AP114" s="203"/>
      <c r="AQ114" s="203"/>
      <c r="AR114" s="203"/>
      <c r="AS114" s="203"/>
      <c r="AT114" s="203"/>
      <c r="AU114" s="203"/>
      <c r="AV114" s="203"/>
      <c r="AW114" s="203"/>
      <c r="AX114" s="203"/>
      <c r="AY114" s="142"/>
      <c r="AZ114" s="142"/>
      <c r="BA114" s="142"/>
      <c r="BB114" s="142"/>
      <c r="BC114" s="142"/>
      <c r="BD114" s="142"/>
      <c r="BE114" s="142"/>
      <c r="BF114" s="142"/>
      <c r="BG114" s="142"/>
      <c r="BH114" s="203"/>
      <c r="BI114" s="203"/>
      <c r="BJ114" s="203"/>
      <c r="BK114" s="203"/>
      <c r="BL114" s="203"/>
      <c r="BM114" s="203"/>
      <c r="BN114" s="203"/>
      <c r="BO114" s="203"/>
      <c r="BP114" s="203"/>
      <c r="BQ114" s="203"/>
      <c r="BR114" s="203"/>
    </row>
    <row r="115" spans="1:70" ht="14.25" customHeight="1" x14ac:dyDescent="0.25">
      <c r="A115" s="68"/>
      <c r="B115" s="68"/>
      <c r="C115" s="68"/>
      <c r="D115" s="68"/>
      <c r="E115" s="68"/>
      <c r="F115" s="68"/>
      <c r="G115" s="68"/>
      <c r="H115" s="68"/>
      <c r="I115" s="68"/>
      <c r="J115" s="68"/>
      <c r="K115" s="68"/>
      <c r="L115" s="68"/>
      <c r="M115" s="68"/>
      <c r="N115" s="68"/>
      <c r="O115" s="68"/>
      <c r="P115" s="69"/>
      <c r="Q115" s="69"/>
      <c r="R115" s="69"/>
      <c r="S115" s="69"/>
      <c r="T115" s="69"/>
      <c r="U115" s="69"/>
      <c r="V115" s="69"/>
      <c r="W115" s="69"/>
      <c r="X115" s="69"/>
      <c r="Y115" s="68"/>
      <c r="Z115" s="68"/>
      <c r="AA115" s="68"/>
      <c r="AB115" s="68"/>
      <c r="AC115" s="68"/>
      <c r="AD115" s="68"/>
      <c r="AE115" s="68"/>
      <c r="AF115" s="42"/>
      <c r="AG115" s="42"/>
      <c r="AH115" s="43"/>
      <c r="AI115" s="43"/>
      <c r="AJ115" s="68"/>
      <c r="AK115" s="68"/>
      <c r="AL115" s="68"/>
      <c r="AM115" s="68"/>
      <c r="AN115" s="68"/>
      <c r="AO115" s="68"/>
      <c r="AP115" s="68"/>
      <c r="AQ115" s="68"/>
      <c r="AR115" s="68"/>
      <c r="AS115" s="68"/>
      <c r="AT115" s="68"/>
      <c r="AU115" s="68"/>
      <c r="AV115" s="68"/>
      <c r="AW115" s="68"/>
      <c r="AX115" s="68"/>
      <c r="AY115" s="69"/>
      <c r="AZ115" s="69"/>
      <c r="BA115" s="69"/>
      <c r="BB115" s="69"/>
      <c r="BC115" s="69"/>
      <c r="BD115" s="69"/>
      <c r="BE115" s="69"/>
      <c r="BF115" s="69"/>
      <c r="BG115" s="69"/>
      <c r="BH115" s="81"/>
      <c r="BI115" s="81"/>
      <c r="BJ115" s="81"/>
      <c r="BK115" s="81"/>
      <c r="BL115" s="81"/>
      <c r="BM115" s="81"/>
      <c r="BN115" s="81"/>
      <c r="BO115" s="81"/>
      <c r="BP115" s="81"/>
      <c r="BQ115" s="81"/>
      <c r="BR115" s="81"/>
    </row>
    <row r="116" spans="1:70" ht="14.25" customHeight="1" x14ac:dyDescent="0.3">
      <c r="A116" s="68"/>
      <c r="B116" s="68"/>
      <c r="C116" s="68"/>
      <c r="D116" s="68"/>
      <c r="E116" s="68"/>
      <c r="F116" s="68"/>
      <c r="G116" s="68"/>
      <c r="H116" s="68"/>
      <c r="I116" s="68"/>
      <c r="J116" s="68"/>
      <c r="K116" s="68"/>
      <c r="L116" s="68"/>
      <c r="M116" s="68"/>
      <c r="N116" s="68"/>
      <c r="O116" s="68"/>
      <c r="P116" s="68"/>
      <c r="Q116" s="42"/>
      <c r="R116" s="42"/>
      <c r="S116" s="42"/>
      <c r="T116" s="68"/>
      <c r="U116" s="68"/>
      <c r="V116" s="44"/>
      <c r="W116" s="44"/>
      <c r="X116" s="44"/>
      <c r="Y116" s="81"/>
      <c r="Z116" s="81"/>
      <c r="AA116" s="81"/>
      <c r="AB116" s="81"/>
      <c r="AC116" s="81"/>
      <c r="AD116" s="81"/>
      <c r="AE116" s="81"/>
      <c r="AF116" s="81"/>
      <c r="AG116" s="81"/>
      <c r="AH116" s="81"/>
      <c r="AI116" s="43"/>
      <c r="AJ116" s="68"/>
      <c r="AK116" s="68"/>
      <c r="AL116" s="68"/>
      <c r="AM116" s="68"/>
      <c r="AN116" s="68"/>
      <c r="AO116" s="68"/>
      <c r="AP116" s="68"/>
      <c r="AQ116" s="68"/>
      <c r="AR116" s="68"/>
      <c r="AS116" s="68"/>
      <c r="AT116" s="68"/>
      <c r="AU116" s="68"/>
      <c r="AV116" s="68"/>
      <c r="AW116" s="68"/>
      <c r="AX116" s="68"/>
      <c r="AY116" s="68"/>
      <c r="AZ116" s="42"/>
      <c r="BA116" s="42"/>
      <c r="BB116" s="42"/>
      <c r="BC116" s="68"/>
      <c r="BD116" s="68"/>
      <c r="BE116" s="44"/>
      <c r="BF116" s="44"/>
      <c r="BG116" s="44"/>
      <c r="BH116" s="81"/>
      <c r="BI116" s="81"/>
      <c r="BJ116" s="81"/>
      <c r="BK116" s="81"/>
      <c r="BL116" s="81"/>
      <c r="BM116" s="81"/>
      <c r="BN116" s="81"/>
      <c r="BO116" s="45"/>
      <c r="BP116" s="45"/>
    </row>
    <row r="117" spans="1:70" ht="14.25" customHeight="1" x14ac:dyDescent="0.25">
      <c r="A117" s="141" t="s">
        <v>254</v>
      </c>
      <c r="B117" s="141"/>
      <c r="C117" s="141"/>
      <c r="D117" s="141"/>
      <c r="E117" s="141"/>
      <c r="F117" s="141"/>
      <c r="G117" s="141"/>
      <c r="H117" s="141"/>
      <c r="I117" s="141"/>
      <c r="J117" s="141"/>
      <c r="K117" s="141"/>
      <c r="L117" s="141"/>
      <c r="M117" s="141"/>
      <c r="N117" s="141"/>
      <c r="O117" s="141"/>
      <c r="P117" s="142" t="s">
        <v>21</v>
      </c>
      <c r="Q117" s="142"/>
      <c r="R117" s="142"/>
      <c r="S117" s="142"/>
      <c r="T117" s="142"/>
      <c r="U117" s="142"/>
      <c r="V117" s="142"/>
      <c r="W117" s="142"/>
      <c r="X117" s="142"/>
      <c r="Y117" s="141" t="s">
        <v>69</v>
      </c>
      <c r="Z117" s="141"/>
      <c r="AA117" s="141"/>
      <c r="AB117" s="141"/>
      <c r="AC117" s="141"/>
      <c r="AD117" s="141"/>
      <c r="AE117" s="141"/>
      <c r="AF117" s="42"/>
      <c r="AG117" s="42"/>
      <c r="AH117" s="43"/>
      <c r="AI117" s="43"/>
      <c r="AJ117" s="141" t="s">
        <v>70</v>
      </c>
      <c r="AK117" s="141"/>
      <c r="AL117" s="141"/>
      <c r="AM117" s="141"/>
      <c r="AN117" s="141"/>
      <c r="AO117" s="141"/>
      <c r="AP117" s="141"/>
      <c r="AQ117" s="141"/>
      <c r="AR117" s="141"/>
      <c r="AS117" s="141"/>
      <c r="AT117" s="141"/>
      <c r="AU117" s="141"/>
      <c r="AV117" s="141"/>
      <c r="AW117" s="141"/>
      <c r="AX117" s="141"/>
      <c r="AY117" s="142" t="s">
        <v>21</v>
      </c>
      <c r="AZ117" s="142"/>
      <c r="BA117" s="142"/>
      <c r="BB117" s="142"/>
      <c r="BC117" s="142"/>
      <c r="BD117" s="142"/>
      <c r="BE117" s="142"/>
      <c r="BF117" s="142"/>
      <c r="BG117" s="142"/>
      <c r="BH117" s="203" t="s">
        <v>178</v>
      </c>
      <c r="BI117" s="203"/>
      <c r="BJ117" s="203"/>
      <c r="BK117" s="203"/>
      <c r="BL117" s="203"/>
      <c r="BM117" s="203"/>
      <c r="BN117" s="203"/>
      <c r="BO117" s="203"/>
      <c r="BP117" s="203"/>
      <c r="BQ117" s="203"/>
      <c r="BR117" s="203"/>
    </row>
    <row r="118" spans="1:70" ht="14.25" customHeight="1" x14ac:dyDescent="0.25">
      <c r="A118" s="141"/>
      <c r="B118" s="141"/>
      <c r="C118" s="141"/>
      <c r="D118" s="141"/>
      <c r="E118" s="141"/>
      <c r="F118" s="141"/>
      <c r="G118" s="141"/>
      <c r="H118" s="141"/>
      <c r="I118" s="141"/>
      <c r="J118" s="141"/>
      <c r="K118" s="141"/>
      <c r="L118" s="141"/>
      <c r="M118" s="141"/>
      <c r="N118" s="141"/>
      <c r="O118" s="141"/>
      <c r="P118" s="142"/>
      <c r="Q118" s="142"/>
      <c r="R118" s="142"/>
      <c r="S118" s="142"/>
      <c r="T118" s="142"/>
      <c r="U118" s="142"/>
      <c r="V118" s="142"/>
      <c r="W118" s="142"/>
      <c r="X118" s="142"/>
      <c r="Y118" s="141"/>
      <c r="Z118" s="141"/>
      <c r="AA118" s="141"/>
      <c r="AB118" s="141"/>
      <c r="AC118" s="141"/>
      <c r="AD118" s="141"/>
      <c r="AE118" s="141"/>
      <c r="AF118" s="42"/>
      <c r="AG118" s="42"/>
      <c r="AH118" s="43"/>
      <c r="AI118" s="43"/>
      <c r="AJ118" s="141"/>
      <c r="AK118" s="141"/>
      <c r="AL118" s="141"/>
      <c r="AM118" s="141"/>
      <c r="AN118" s="141"/>
      <c r="AO118" s="141"/>
      <c r="AP118" s="141"/>
      <c r="AQ118" s="141"/>
      <c r="AR118" s="141"/>
      <c r="AS118" s="141"/>
      <c r="AT118" s="141"/>
      <c r="AU118" s="141"/>
      <c r="AV118" s="141"/>
      <c r="AW118" s="141"/>
      <c r="AX118" s="141"/>
      <c r="AY118" s="142"/>
      <c r="AZ118" s="142"/>
      <c r="BA118" s="142"/>
      <c r="BB118" s="142"/>
      <c r="BC118" s="142"/>
      <c r="BD118" s="142"/>
      <c r="BE118" s="142"/>
      <c r="BF118" s="142"/>
      <c r="BG118" s="142"/>
      <c r="BH118" s="203"/>
      <c r="BI118" s="203"/>
      <c r="BJ118" s="203"/>
      <c r="BK118" s="203"/>
      <c r="BL118" s="203"/>
      <c r="BM118" s="203"/>
      <c r="BN118" s="203"/>
      <c r="BO118" s="203"/>
      <c r="BP118" s="203"/>
      <c r="BQ118" s="203"/>
      <c r="BR118" s="203"/>
    </row>
    <row r="119" spans="1:70" ht="14.25" customHeight="1" x14ac:dyDescent="0.25">
      <c r="A119" s="141"/>
      <c r="B119" s="141"/>
      <c r="C119" s="141"/>
      <c r="D119" s="141"/>
      <c r="E119" s="141"/>
      <c r="F119" s="141"/>
      <c r="G119" s="141"/>
      <c r="H119" s="141"/>
      <c r="I119" s="141"/>
      <c r="J119" s="141"/>
      <c r="K119" s="141"/>
      <c r="L119" s="141"/>
      <c r="M119" s="141"/>
      <c r="N119" s="141"/>
      <c r="O119" s="141"/>
      <c r="P119" s="142"/>
      <c r="Q119" s="142"/>
      <c r="R119" s="142"/>
      <c r="S119" s="142"/>
      <c r="T119" s="142"/>
      <c r="U119" s="142"/>
      <c r="V119" s="142"/>
      <c r="W119" s="142"/>
      <c r="X119" s="142"/>
      <c r="Y119" s="141"/>
      <c r="Z119" s="141"/>
      <c r="AA119" s="141"/>
      <c r="AB119" s="141"/>
      <c r="AC119" s="141"/>
      <c r="AD119" s="141"/>
      <c r="AE119" s="141"/>
      <c r="AF119" s="42"/>
      <c r="AG119" s="42"/>
      <c r="AH119" s="43"/>
      <c r="AI119" s="43"/>
      <c r="AJ119" s="141"/>
      <c r="AK119" s="141"/>
      <c r="AL119" s="141"/>
      <c r="AM119" s="141"/>
      <c r="AN119" s="141"/>
      <c r="AO119" s="141"/>
      <c r="AP119" s="141"/>
      <c r="AQ119" s="141"/>
      <c r="AR119" s="141"/>
      <c r="AS119" s="141"/>
      <c r="AT119" s="141"/>
      <c r="AU119" s="141"/>
      <c r="AV119" s="141"/>
      <c r="AW119" s="141"/>
      <c r="AX119" s="141"/>
      <c r="AY119" s="142"/>
      <c r="AZ119" s="142"/>
      <c r="BA119" s="142"/>
      <c r="BB119" s="142"/>
      <c r="BC119" s="142"/>
      <c r="BD119" s="142"/>
      <c r="BE119" s="142"/>
      <c r="BF119" s="142"/>
      <c r="BG119" s="142"/>
      <c r="BH119" s="203"/>
      <c r="BI119" s="203"/>
      <c r="BJ119" s="203"/>
      <c r="BK119" s="203"/>
      <c r="BL119" s="203"/>
      <c r="BM119" s="203"/>
      <c r="BN119" s="203"/>
      <c r="BO119" s="203"/>
      <c r="BP119" s="203"/>
      <c r="BQ119" s="203"/>
      <c r="BR119" s="203"/>
    </row>
    <row r="120" spans="1:70" ht="14.25" customHeight="1" x14ac:dyDescent="0.25">
      <c r="A120" s="141"/>
      <c r="B120" s="141"/>
      <c r="C120" s="141"/>
      <c r="D120" s="141"/>
      <c r="E120" s="141"/>
      <c r="F120" s="141"/>
      <c r="G120" s="141"/>
      <c r="H120" s="141"/>
      <c r="I120" s="141"/>
      <c r="J120" s="141"/>
      <c r="K120" s="141"/>
      <c r="L120" s="141"/>
      <c r="M120" s="141"/>
      <c r="N120" s="141"/>
      <c r="O120" s="141"/>
      <c r="P120" s="142"/>
      <c r="Q120" s="142"/>
      <c r="R120" s="142"/>
      <c r="S120" s="142"/>
      <c r="T120" s="142"/>
      <c r="U120" s="142"/>
      <c r="V120" s="142"/>
      <c r="W120" s="142"/>
      <c r="X120" s="142"/>
      <c r="Y120" s="141"/>
      <c r="Z120" s="141"/>
      <c r="AA120" s="141"/>
      <c r="AB120" s="141"/>
      <c r="AC120" s="141"/>
      <c r="AD120" s="141"/>
      <c r="AE120" s="141"/>
      <c r="AF120" s="42"/>
      <c r="AG120" s="42"/>
      <c r="AH120" s="43"/>
      <c r="AI120" s="81"/>
      <c r="AJ120" s="141"/>
      <c r="AK120" s="141"/>
      <c r="AL120" s="141"/>
      <c r="AM120" s="141"/>
      <c r="AN120" s="141"/>
      <c r="AO120" s="141"/>
      <c r="AP120" s="141"/>
      <c r="AQ120" s="141"/>
      <c r="AR120" s="141"/>
      <c r="AS120" s="141"/>
      <c r="AT120" s="141"/>
      <c r="AU120" s="141"/>
      <c r="AV120" s="141"/>
      <c r="AW120" s="141"/>
      <c r="AX120" s="141"/>
      <c r="AY120" s="142"/>
      <c r="AZ120" s="142"/>
      <c r="BA120" s="142"/>
      <c r="BB120" s="142"/>
      <c r="BC120" s="142"/>
      <c r="BD120" s="142"/>
      <c r="BE120" s="142"/>
      <c r="BF120" s="142"/>
      <c r="BG120" s="142"/>
      <c r="BH120" s="203"/>
      <c r="BI120" s="203"/>
      <c r="BJ120" s="203"/>
      <c r="BK120" s="203"/>
      <c r="BL120" s="203"/>
      <c r="BM120" s="203"/>
      <c r="BN120" s="203"/>
      <c r="BO120" s="203"/>
      <c r="BP120" s="203"/>
      <c r="BQ120" s="203"/>
      <c r="BR120" s="203"/>
    </row>
    <row r="121" spans="1:70" ht="14.25" customHeight="1" x14ac:dyDescent="0.25">
      <c r="A121" s="68"/>
      <c r="B121" s="68"/>
      <c r="C121" s="68"/>
      <c r="D121" s="68"/>
      <c r="E121" s="68"/>
      <c r="F121" s="68"/>
      <c r="G121" s="68"/>
      <c r="H121" s="68"/>
      <c r="I121" s="68"/>
      <c r="J121" s="68"/>
      <c r="K121" s="68"/>
      <c r="L121" s="68"/>
      <c r="M121" s="68"/>
      <c r="N121" s="68"/>
      <c r="O121" s="68"/>
      <c r="P121" s="43"/>
      <c r="Q121" s="43"/>
      <c r="R121" s="43"/>
      <c r="S121" s="43"/>
      <c r="T121" s="43"/>
      <c r="U121" s="43"/>
      <c r="V121" s="43"/>
      <c r="W121" s="43"/>
      <c r="X121" s="43"/>
      <c r="Y121" s="81"/>
      <c r="Z121" s="81"/>
      <c r="AA121" s="81"/>
      <c r="AB121" s="81"/>
      <c r="AC121" s="81"/>
      <c r="AD121" s="81"/>
      <c r="AE121" s="81"/>
      <c r="AF121" s="81"/>
      <c r="AG121" s="81"/>
      <c r="AH121" s="43"/>
      <c r="AI121" s="81"/>
      <c r="AJ121" s="68"/>
      <c r="AK121" s="68"/>
      <c r="AL121" s="68"/>
      <c r="AM121" s="68"/>
      <c r="AN121" s="68"/>
      <c r="AO121" s="68"/>
      <c r="AP121" s="68"/>
      <c r="AQ121" s="68"/>
      <c r="AR121" s="68"/>
      <c r="AS121" s="68"/>
      <c r="AT121" s="68"/>
      <c r="AU121" s="68"/>
      <c r="AV121" s="68"/>
      <c r="AW121" s="68"/>
      <c r="AX121" s="68"/>
      <c r="AY121" s="43"/>
      <c r="AZ121" s="43"/>
      <c r="BA121" s="43"/>
      <c r="BB121" s="43"/>
      <c r="BC121" s="43"/>
      <c r="BD121" s="43"/>
      <c r="BE121" s="43"/>
      <c r="BF121" s="43"/>
      <c r="BG121" s="43"/>
      <c r="BH121" s="81"/>
      <c r="BI121" s="81"/>
      <c r="BJ121" s="81"/>
      <c r="BK121" s="81"/>
      <c r="BL121" s="81"/>
      <c r="BM121" s="81"/>
      <c r="BN121" s="81"/>
      <c r="BO121" s="61"/>
      <c r="BP121" s="61"/>
    </row>
    <row r="122" spans="1:70" ht="14.25" customHeight="1" x14ac:dyDescent="0.25">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3"/>
      <c r="Z122" s="43"/>
      <c r="AA122" s="43"/>
      <c r="AB122" s="43"/>
      <c r="AC122" s="43"/>
      <c r="AD122" s="43"/>
      <c r="AE122" s="43"/>
      <c r="AF122" s="42"/>
      <c r="AG122" s="42"/>
      <c r="AH122" s="43"/>
      <c r="AI122" s="43"/>
      <c r="AJ122" s="42"/>
      <c r="AK122" s="42"/>
      <c r="AL122" s="42"/>
      <c r="AM122" s="42"/>
      <c r="AN122" s="42"/>
      <c r="AO122" s="42"/>
      <c r="AP122" s="42"/>
      <c r="AQ122" s="42"/>
      <c r="AR122" s="42"/>
      <c r="AS122" s="42"/>
      <c r="AT122" s="42"/>
      <c r="AU122" s="42"/>
      <c r="AV122" s="42"/>
      <c r="AW122" s="42"/>
      <c r="AX122" s="42"/>
      <c r="AY122" s="42"/>
      <c r="AZ122" s="42"/>
      <c r="BA122" s="42"/>
      <c r="BB122" s="42"/>
      <c r="BC122" s="42"/>
      <c r="BD122" s="42"/>
      <c r="BE122" s="42"/>
      <c r="BF122" s="42"/>
      <c r="BG122" s="42"/>
      <c r="BH122" s="42"/>
      <c r="BI122" s="42"/>
      <c r="BJ122" s="42"/>
      <c r="BK122" s="42"/>
      <c r="BL122" s="42"/>
      <c r="BM122" s="42"/>
      <c r="BN122" s="42"/>
      <c r="BO122" s="61"/>
      <c r="BP122" s="61"/>
    </row>
    <row r="123" spans="1:70" ht="14.25" customHeight="1" x14ac:dyDescent="0.25">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3"/>
      <c r="Z123" s="43"/>
      <c r="AA123" s="43"/>
      <c r="AB123" s="43"/>
      <c r="AC123" s="43"/>
      <c r="AD123" s="43"/>
      <c r="AE123" s="43"/>
      <c r="AF123" s="42"/>
      <c r="AG123" s="42"/>
      <c r="AH123" s="43"/>
      <c r="AI123" s="43"/>
      <c r="AJ123" s="42"/>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2"/>
      <c r="BH123" s="42"/>
      <c r="BI123" s="42"/>
      <c r="BJ123" s="42"/>
      <c r="BK123" s="42"/>
      <c r="BL123" s="42"/>
      <c r="BM123" s="42"/>
      <c r="BN123" s="42"/>
      <c r="BO123" s="61"/>
      <c r="BP123" s="61"/>
    </row>
    <row r="124" spans="1:70" ht="14.25" customHeight="1" x14ac:dyDescent="0.25">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3"/>
      <c r="Z124" s="43"/>
      <c r="AA124" s="43"/>
      <c r="AB124" s="43"/>
      <c r="AC124" s="43"/>
      <c r="AD124" s="43"/>
      <c r="AE124" s="43"/>
      <c r="AF124" s="42"/>
      <c r="AG124" s="42"/>
      <c r="AH124" s="43"/>
      <c r="AI124" s="43"/>
      <c r="AJ124" s="42"/>
      <c r="AK124" s="42"/>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42"/>
      <c r="BH124" s="42"/>
      <c r="BI124" s="42"/>
      <c r="BJ124" s="42"/>
      <c r="BK124" s="42"/>
      <c r="BL124" s="42"/>
      <c r="BM124" s="42"/>
      <c r="BN124" s="42"/>
      <c r="BO124" s="61"/>
      <c r="BP124" s="61"/>
    </row>
    <row r="125" spans="1:70" ht="14.25" customHeight="1" x14ac:dyDescent="0.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3"/>
      <c r="Z125" s="43"/>
      <c r="AA125" s="43"/>
      <c r="AB125" s="43"/>
      <c r="AC125" s="43"/>
      <c r="AD125" s="43"/>
      <c r="AE125" s="43"/>
      <c r="AF125" s="42"/>
      <c r="AG125" s="42"/>
      <c r="AH125" s="43"/>
      <c r="AI125" s="37"/>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row>
    <row r="126" spans="1:70" ht="14.25" customHeight="1" x14ac:dyDescent="0.3">
      <c r="A126" s="68"/>
      <c r="B126" s="46"/>
      <c r="C126" s="46"/>
      <c r="D126" s="68"/>
      <c r="E126" s="68"/>
      <c r="F126" s="68"/>
      <c r="G126" s="68"/>
      <c r="H126" s="68"/>
      <c r="I126" s="68"/>
      <c r="J126" s="68"/>
      <c r="K126" s="68"/>
      <c r="L126" s="68"/>
      <c r="M126" s="68"/>
      <c r="N126" s="68"/>
      <c r="O126" s="68"/>
      <c r="P126" s="42"/>
      <c r="Q126" s="42"/>
      <c r="R126" s="42"/>
      <c r="S126" s="42"/>
      <c r="T126" s="42"/>
      <c r="U126" s="42"/>
      <c r="V126" s="42"/>
      <c r="W126" s="42"/>
      <c r="X126" s="42"/>
      <c r="Y126" s="43"/>
      <c r="Z126" s="43"/>
      <c r="AA126" s="43"/>
      <c r="AB126" s="43"/>
      <c r="AC126" s="43"/>
      <c r="AD126" s="43"/>
      <c r="AE126" s="43"/>
      <c r="AF126" s="47"/>
      <c r="AG126" s="47"/>
      <c r="AH126" s="48"/>
      <c r="AI126" s="47"/>
      <c r="AJ126" s="68"/>
      <c r="AK126" s="68"/>
      <c r="AL126" s="68"/>
      <c r="AM126" s="68"/>
      <c r="AN126" s="68"/>
      <c r="AO126" s="68"/>
      <c r="AP126" s="68"/>
      <c r="AQ126" s="68"/>
      <c r="AR126" s="68"/>
      <c r="AS126" s="68"/>
      <c r="AT126" s="68"/>
      <c r="AU126" s="68"/>
      <c r="AV126" s="68"/>
      <c r="AW126" s="68"/>
      <c r="AX126" s="68"/>
      <c r="AY126" s="187"/>
      <c r="AZ126" s="187"/>
      <c r="BA126" s="187"/>
      <c r="BB126" s="187"/>
      <c r="BC126" s="187"/>
      <c r="BD126" s="187"/>
      <c r="BE126" s="187"/>
      <c r="BF126" s="187"/>
      <c r="BG126" s="187"/>
      <c r="BH126" s="187"/>
      <c r="BI126" s="187"/>
      <c r="BJ126" s="187"/>
      <c r="BK126" s="187"/>
      <c r="BL126" s="187"/>
      <c r="BM126" s="187"/>
      <c r="BN126" s="187"/>
      <c r="BO126" s="187"/>
      <c r="BP126" s="187"/>
    </row>
    <row r="127" spans="1:70" ht="14.25" customHeight="1" x14ac:dyDescent="0.3">
      <c r="A127" s="68"/>
      <c r="B127" s="46"/>
      <c r="C127" s="46"/>
      <c r="D127" s="68"/>
      <c r="E127" s="68"/>
      <c r="F127" s="68"/>
      <c r="G127" s="68"/>
      <c r="H127" s="68"/>
      <c r="I127" s="68"/>
      <c r="J127" s="68"/>
      <c r="K127" s="68"/>
      <c r="L127" s="68"/>
      <c r="M127" s="68"/>
      <c r="N127" s="68"/>
      <c r="O127" s="68"/>
      <c r="P127" s="42"/>
      <c r="Q127" s="42"/>
      <c r="R127" s="42"/>
      <c r="S127" s="42"/>
      <c r="T127" s="42"/>
      <c r="U127" s="42"/>
      <c r="V127" s="42"/>
      <c r="W127" s="42"/>
      <c r="X127" s="42"/>
      <c r="Y127" s="43"/>
      <c r="Z127" s="43"/>
      <c r="AA127" s="43"/>
      <c r="AB127" s="43"/>
      <c r="AC127" s="43"/>
      <c r="AD127" s="43"/>
      <c r="AE127" s="43"/>
      <c r="AF127" s="47"/>
      <c r="AG127" s="47"/>
      <c r="AH127" s="48"/>
      <c r="AI127" s="47"/>
      <c r="AJ127" s="68"/>
      <c r="AK127" s="68"/>
      <c r="AL127" s="68"/>
      <c r="AM127" s="68"/>
      <c r="AN127" s="68"/>
      <c r="AO127" s="68"/>
      <c r="AP127" s="68"/>
      <c r="AQ127" s="68"/>
      <c r="AR127" s="68"/>
      <c r="AS127" s="68"/>
      <c r="AT127" s="68"/>
      <c r="AU127" s="68"/>
      <c r="AV127" s="68"/>
      <c r="AW127" s="68"/>
      <c r="AX127" s="68"/>
      <c r="AY127" s="78"/>
      <c r="AZ127" s="78"/>
      <c r="BA127" s="78"/>
      <c r="BB127" s="78"/>
      <c r="BC127" s="78"/>
      <c r="BD127" s="78"/>
      <c r="BE127" s="78"/>
      <c r="BF127" s="78"/>
      <c r="BG127" s="78"/>
      <c r="BH127" s="78"/>
      <c r="BI127" s="78"/>
      <c r="BJ127" s="78"/>
      <c r="BK127" s="78"/>
      <c r="BL127" s="78"/>
      <c r="BM127" s="78"/>
      <c r="BN127" s="78"/>
      <c r="BO127" s="78"/>
      <c r="BP127" s="78"/>
    </row>
    <row r="128" spans="1:70" ht="14.25" customHeight="1" x14ac:dyDescent="0.3">
      <c r="A128" s="68"/>
      <c r="B128" s="46"/>
      <c r="C128" s="46"/>
      <c r="D128" s="68"/>
      <c r="E128" s="68"/>
      <c r="F128" s="68"/>
      <c r="G128" s="68"/>
      <c r="H128" s="68"/>
      <c r="I128" s="68"/>
      <c r="J128" s="68"/>
      <c r="K128" s="68"/>
      <c r="L128" s="68"/>
      <c r="M128" s="68"/>
      <c r="N128" s="68"/>
      <c r="O128" s="68"/>
      <c r="P128" s="42"/>
      <c r="Q128" s="42"/>
      <c r="R128" s="42"/>
      <c r="S128" s="42"/>
      <c r="T128" s="42"/>
      <c r="U128" s="42"/>
      <c r="V128" s="42"/>
      <c r="W128" s="42"/>
      <c r="X128" s="42"/>
      <c r="Y128" s="43"/>
      <c r="Z128" s="43"/>
      <c r="AA128" s="43"/>
      <c r="AB128" s="43"/>
      <c r="AC128" s="43"/>
      <c r="AD128" s="43"/>
      <c r="AE128" s="43"/>
      <c r="AF128" s="47"/>
      <c r="AG128" s="47"/>
      <c r="AH128" s="48"/>
      <c r="AI128" s="47"/>
      <c r="AJ128" s="68"/>
      <c r="AK128" s="68"/>
      <c r="AL128" s="68"/>
      <c r="AM128" s="68"/>
      <c r="AN128" s="68"/>
      <c r="AO128" s="68"/>
      <c r="AP128" s="68"/>
      <c r="AQ128" s="68"/>
      <c r="AR128" s="68"/>
      <c r="AS128" s="68"/>
      <c r="AT128" s="68"/>
      <c r="AU128" s="68"/>
      <c r="AV128" s="68"/>
      <c r="AW128" s="68"/>
      <c r="AX128" s="68"/>
      <c r="AY128" s="78"/>
      <c r="AZ128" s="78"/>
      <c r="BA128" s="78"/>
      <c r="BB128" s="78"/>
      <c r="BC128" s="78"/>
      <c r="BD128" s="78"/>
      <c r="BE128" s="78"/>
      <c r="BF128" s="78"/>
      <c r="BG128" s="78"/>
      <c r="BH128" s="78"/>
      <c r="BI128" s="78"/>
      <c r="BJ128" s="78"/>
      <c r="BK128" s="78"/>
      <c r="BL128" s="78"/>
      <c r="BM128" s="78"/>
      <c r="BN128" s="78"/>
      <c r="BO128" s="78"/>
      <c r="BP128" s="78"/>
    </row>
    <row r="129" spans="1:68" ht="14.25" customHeight="1" x14ac:dyDescent="0.3">
      <c r="A129" s="45"/>
      <c r="B129" s="45"/>
      <c r="C129" s="45"/>
      <c r="D129" s="45"/>
      <c r="E129" s="45"/>
      <c r="F129" s="45"/>
      <c r="G129" s="45"/>
      <c r="H129" s="45"/>
      <c r="I129" s="45"/>
      <c r="J129" s="45"/>
      <c r="K129" s="45"/>
      <c r="L129" s="45"/>
      <c r="M129" s="45"/>
      <c r="N129" s="45"/>
      <c r="O129" s="45"/>
      <c r="P129" s="42"/>
      <c r="Q129" s="42"/>
      <c r="R129" s="42"/>
      <c r="S129" s="42"/>
      <c r="T129" s="42"/>
      <c r="U129" s="42"/>
      <c r="V129" s="42"/>
      <c r="W129" s="42"/>
      <c r="X129" s="42"/>
      <c r="Y129" s="43"/>
      <c r="Z129" s="43"/>
      <c r="AA129" s="43"/>
      <c r="AB129" s="43"/>
      <c r="AC129" s="43"/>
      <c r="AD129" s="43"/>
      <c r="AE129" s="43"/>
      <c r="AF129" s="45"/>
      <c r="AG129" s="45"/>
      <c r="AH129" s="48"/>
      <c r="AI129" s="48"/>
      <c r="AJ129" s="206"/>
      <c r="AK129" s="206"/>
      <c r="AL129" s="206"/>
      <c r="AM129" s="206"/>
      <c r="AN129" s="206"/>
      <c r="AO129" s="206"/>
      <c r="AP129" s="206"/>
      <c r="AQ129" s="206"/>
      <c r="AR129" s="206"/>
      <c r="AS129" s="206"/>
      <c r="AT129" s="206"/>
      <c r="AU129" s="206"/>
      <c r="AV129" s="206"/>
      <c r="AW129" s="206"/>
      <c r="AX129" s="206"/>
      <c r="AY129" s="187"/>
      <c r="AZ129" s="187"/>
      <c r="BA129" s="187"/>
      <c r="BB129" s="187"/>
      <c r="BC129" s="187"/>
      <c r="BD129" s="187"/>
      <c r="BE129" s="187"/>
      <c r="BF129" s="187"/>
      <c r="BG129" s="187"/>
      <c r="BH129" s="187"/>
      <c r="BI129" s="187"/>
      <c r="BJ129" s="187"/>
      <c r="BK129" s="187"/>
      <c r="BL129" s="187"/>
      <c r="BM129" s="187"/>
      <c r="BN129" s="187"/>
      <c r="BO129" s="187"/>
      <c r="BP129" s="187"/>
    </row>
    <row r="130" spans="1:68" ht="14.25" customHeight="1" x14ac:dyDescent="0.3">
      <c r="A130" s="45"/>
      <c r="B130" s="45"/>
      <c r="C130" s="45"/>
      <c r="D130" s="45"/>
      <c r="E130" s="45"/>
      <c r="F130" s="45"/>
      <c r="G130" s="45"/>
      <c r="H130" s="45"/>
      <c r="I130" s="45"/>
      <c r="J130" s="45"/>
      <c r="K130" s="45"/>
      <c r="L130" s="45"/>
      <c r="M130" s="45"/>
      <c r="N130" s="45"/>
      <c r="O130" s="45"/>
      <c r="P130" s="42"/>
      <c r="Q130" s="42"/>
      <c r="R130" s="42"/>
      <c r="S130" s="42"/>
      <c r="T130" s="42"/>
      <c r="U130" s="42"/>
      <c r="V130" s="42"/>
      <c r="W130" s="42"/>
      <c r="X130" s="42"/>
      <c r="Y130" s="43"/>
      <c r="Z130" s="43"/>
      <c r="AA130" s="43"/>
      <c r="AB130" s="43"/>
      <c r="AC130" s="43"/>
      <c r="AD130" s="43"/>
      <c r="AE130" s="43"/>
      <c r="AF130" s="45"/>
      <c r="AG130" s="45"/>
      <c r="AH130" s="48"/>
      <c r="AI130" s="37"/>
      <c r="AJ130" s="206"/>
      <c r="AK130" s="206"/>
      <c r="AL130" s="206"/>
      <c r="AM130" s="206"/>
      <c r="AN130" s="206"/>
      <c r="AO130" s="206"/>
      <c r="AP130" s="206"/>
      <c r="AQ130" s="206"/>
      <c r="AR130" s="206"/>
      <c r="AS130" s="206"/>
      <c r="AT130" s="206"/>
      <c r="AU130" s="206"/>
      <c r="AV130" s="206"/>
      <c r="AW130" s="206"/>
      <c r="AX130" s="206"/>
      <c r="AY130" s="45"/>
      <c r="AZ130" s="45"/>
      <c r="BA130" s="45"/>
      <c r="BB130" s="45"/>
      <c r="BC130" s="45"/>
      <c r="BD130" s="45"/>
      <c r="BE130" s="45"/>
      <c r="BF130" s="45"/>
      <c r="BG130" s="45"/>
    </row>
    <row r="131" spans="1:68" ht="14.25" customHeight="1" x14ac:dyDescent="0.3">
      <c r="A131" s="49"/>
      <c r="B131" s="55"/>
      <c r="C131" s="55"/>
      <c r="D131" s="55"/>
      <c r="E131" s="55"/>
      <c r="F131" s="55"/>
      <c r="G131" s="55"/>
      <c r="H131" s="55"/>
      <c r="I131" s="55"/>
      <c r="J131" s="55"/>
      <c r="K131" s="55"/>
      <c r="L131" s="55"/>
      <c r="M131" s="55"/>
      <c r="N131" s="55"/>
      <c r="O131" s="55"/>
      <c r="P131" s="55"/>
      <c r="Q131" s="55"/>
      <c r="R131" s="55"/>
      <c r="S131" s="55"/>
      <c r="T131" s="55"/>
      <c r="U131" s="52"/>
      <c r="V131" s="54"/>
      <c r="W131" s="49"/>
      <c r="X131" s="49"/>
      <c r="Y131" s="49"/>
      <c r="Z131" s="49"/>
      <c r="AA131" s="49"/>
      <c r="AB131" s="49"/>
      <c r="AC131" s="49"/>
      <c r="AD131" s="49"/>
      <c r="AE131" s="49"/>
      <c r="AF131" s="49"/>
      <c r="AG131" s="49"/>
      <c r="AH131" s="56"/>
      <c r="AI131" s="56"/>
      <c r="AJ131" s="62"/>
      <c r="AK131" s="62"/>
      <c r="AL131" s="62"/>
      <c r="AM131" s="62"/>
      <c r="AN131" s="62"/>
      <c r="AO131" s="62"/>
      <c r="AP131" s="62"/>
    </row>
    <row r="132" spans="1:68" ht="14.25" customHeight="1" x14ac:dyDescent="0.25">
      <c r="A132" s="55"/>
      <c r="B132" s="55"/>
      <c r="C132" s="55"/>
      <c r="D132" s="55"/>
      <c r="E132" s="55"/>
      <c r="F132" s="55"/>
      <c r="G132" s="55"/>
      <c r="H132" s="55"/>
      <c r="I132" s="55"/>
      <c r="J132" s="55"/>
      <c r="K132" s="55"/>
      <c r="L132" s="55"/>
      <c r="M132" s="55"/>
      <c r="N132" s="55"/>
      <c r="O132" s="55"/>
      <c r="P132" s="55"/>
      <c r="Q132" s="55"/>
      <c r="R132" s="55"/>
      <c r="S132" s="56"/>
      <c r="T132" s="52"/>
      <c r="U132" s="52"/>
      <c r="V132" s="54"/>
      <c r="W132" s="54"/>
      <c r="X132" s="57"/>
      <c r="Y132" s="56"/>
      <c r="Z132" s="55"/>
      <c r="AA132" s="55"/>
      <c r="AB132" s="55"/>
      <c r="AC132" s="55"/>
      <c r="AD132" s="55"/>
      <c r="AE132" s="55"/>
      <c r="AF132" s="55"/>
      <c r="AG132" s="55"/>
      <c r="AH132" s="56"/>
      <c r="AI132" s="56"/>
      <c r="AJ132" s="55"/>
      <c r="AK132" s="55"/>
      <c r="AL132" s="55"/>
      <c r="AM132" s="55"/>
      <c r="AN132" s="55"/>
      <c r="AO132" s="55"/>
      <c r="AP132" s="55"/>
    </row>
    <row r="133" spans="1:68" ht="14.25" customHeight="1" x14ac:dyDescent="0.25">
      <c r="A133" s="55"/>
      <c r="B133" s="55"/>
      <c r="C133" s="55"/>
      <c r="D133" s="55"/>
      <c r="E133" s="55"/>
      <c r="F133" s="55"/>
      <c r="G133" s="55"/>
      <c r="H133" s="55"/>
      <c r="I133" s="55"/>
      <c r="J133" s="55"/>
      <c r="K133" s="55"/>
      <c r="L133" s="55"/>
      <c r="M133" s="55"/>
      <c r="N133" s="55"/>
      <c r="O133" s="55"/>
      <c r="P133" s="55"/>
      <c r="Q133" s="55"/>
      <c r="R133" s="55"/>
      <c r="S133" s="55"/>
      <c r="T133" s="56"/>
      <c r="U133" s="52"/>
      <c r="V133" s="54"/>
      <c r="W133" s="54"/>
      <c r="X133" s="52"/>
      <c r="Y133" s="55"/>
      <c r="Z133" s="55"/>
      <c r="AA133" s="55"/>
      <c r="AB133" s="55"/>
      <c r="AC133" s="55"/>
      <c r="AD133" s="55"/>
      <c r="AE133" s="55"/>
      <c r="AF133" s="55"/>
      <c r="AG133" s="55"/>
      <c r="AH133" s="55"/>
      <c r="AI133" s="55"/>
      <c r="AJ133" s="55"/>
      <c r="AK133" s="55"/>
      <c r="AL133" s="55"/>
      <c r="AM133" s="55"/>
      <c r="AN133" s="55"/>
      <c r="AO133" s="55"/>
      <c r="AP133" s="55"/>
    </row>
    <row r="134" spans="1:68" ht="14.25" customHeight="1" x14ac:dyDescent="0.3">
      <c r="A134" s="49"/>
      <c r="B134" s="49"/>
      <c r="C134" s="49"/>
      <c r="D134" s="49"/>
      <c r="E134" s="49"/>
      <c r="F134" s="49"/>
      <c r="G134" s="49"/>
      <c r="H134" s="49"/>
      <c r="I134" s="49"/>
      <c r="J134" s="49"/>
      <c r="K134" s="49"/>
      <c r="L134" s="49"/>
      <c r="M134" s="49"/>
      <c r="N134" s="49"/>
      <c r="O134" s="49"/>
      <c r="P134" s="49"/>
      <c r="Q134" s="49"/>
      <c r="R134" s="49"/>
      <c r="S134" s="49"/>
      <c r="T134" s="49"/>
      <c r="U134" s="49"/>
      <c r="V134" s="54"/>
      <c r="W134" s="49"/>
      <c r="X134" s="49"/>
      <c r="Y134" s="49"/>
      <c r="Z134" s="49"/>
      <c r="AA134" s="49"/>
      <c r="AB134" s="49"/>
      <c r="AC134" s="49"/>
      <c r="AD134" s="49"/>
      <c r="AE134" s="49"/>
      <c r="AF134" s="49"/>
      <c r="AG134" s="49"/>
      <c r="AH134" s="50"/>
      <c r="AI134" s="50"/>
      <c r="AJ134" s="62"/>
      <c r="AK134" s="62"/>
      <c r="AL134" s="62"/>
      <c r="AM134" s="62"/>
      <c r="AN134" s="62"/>
      <c r="AO134" s="62"/>
      <c r="AP134" s="62"/>
    </row>
    <row r="135" spans="1:68" ht="18" customHeight="1" x14ac:dyDescent="0.25">
      <c r="A135" s="82"/>
      <c r="B135" s="64"/>
      <c r="C135" s="64"/>
      <c r="D135" s="82"/>
      <c r="E135" s="82"/>
      <c r="F135" s="82"/>
      <c r="G135" s="82"/>
      <c r="H135" s="82"/>
      <c r="I135" s="82"/>
      <c r="J135" s="82"/>
      <c r="K135" s="82"/>
      <c r="L135" s="82"/>
      <c r="M135" s="82"/>
      <c r="N135" s="82"/>
      <c r="O135" s="82"/>
      <c r="P135" s="82"/>
      <c r="Q135" s="82"/>
      <c r="R135" s="82"/>
      <c r="S135" s="82"/>
      <c r="T135" s="82"/>
      <c r="U135" s="82"/>
      <c r="V135" s="54"/>
      <c r="W135" s="54"/>
      <c r="X135" s="52"/>
      <c r="Y135" s="50"/>
      <c r="Z135" s="50"/>
      <c r="AA135" s="50"/>
      <c r="AB135" s="77"/>
      <c r="AC135" s="77"/>
      <c r="AD135" s="77"/>
      <c r="AE135" s="77"/>
      <c r="AF135" s="77"/>
      <c r="AG135" s="77"/>
      <c r="AH135" s="77"/>
      <c r="AI135" s="77"/>
      <c r="AJ135" s="50"/>
      <c r="AK135" s="77"/>
      <c r="AL135" s="77"/>
      <c r="AM135" s="77"/>
      <c r="AN135" s="77"/>
      <c r="AO135" s="77"/>
      <c r="AP135" s="77"/>
    </row>
    <row r="136" spans="1:68" ht="18" customHeight="1" x14ac:dyDescent="0.3">
      <c r="A136" s="49"/>
      <c r="B136" s="49"/>
      <c r="C136" s="49"/>
      <c r="D136" s="49"/>
      <c r="E136" s="49"/>
      <c r="F136" s="49"/>
      <c r="G136" s="49"/>
      <c r="H136" s="49"/>
      <c r="I136" s="49"/>
      <c r="J136" s="49"/>
      <c r="K136" s="49"/>
      <c r="L136" s="49"/>
      <c r="M136" s="49"/>
      <c r="N136" s="49"/>
      <c r="O136" s="49"/>
      <c r="P136" s="49"/>
      <c r="Q136" s="49"/>
      <c r="R136" s="49"/>
      <c r="S136" s="49"/>
      <c r="T136" s="49"/>
      <c r="U136" s="49"/>
      <c r="V136" s="54"/>
      <c r="W136" s="49"/>
      <c r="X136" s="49"/>
      <c r="Y136" s="49"/>
      <c r="Z136" s="49"/>
      <c r="AA136" s="49"/>
      <c r="AB136" s="49"/>
      <c r="AC136" s="49"/>
      <c r="AD136" s="49"/>
      <c r="AE136" s="49"/>
      <c r="AF136" s="49"/>
      <c r="AG136" s="49"/>
      <c r="AH136" s="50"/>
      <c r="AI136" s="50"/>
      <c r="AJ136" s="62"/>
      <c r="AK136" s="62"/>
      <c r="AL136" s="62"/>
      <c r="AM136" s="62"/>
      <c r="AN136" s="62"/>
      <c r="AO136" s="62"/>
      <c r="AP136" s="62"/>
    </row>
    <row r="137" spans="1:68" ht="18" customHeight="1" x14ac:dyDescent="0.25"/>
    <row r="138" spans="1:68" ht="18" customHeight="1" x14ac:dyDescent="0.25"/>
    <row r="139" spans="1:68" ht="18" customHeight="1" x14ac:dyDescent="0.25"/>
    <row r="140" spans="1:68" ht="18" customHeight="1" x14ac:dyDescent="0.25"/>
    <row r="141" spans="1:68" ht="18" customHeight="1" x14ac:dyDescent="0.25"/>
    <row r="142" spans="1:68" ht="18" customHeight="1" x14ac:dyDescent="0.25"/>
    <row r="143" spans="1:68" ht="18" customHeight="1" x14ac:dyDescent="0.25"/>
    <row r="144" spans="1:68" ht="18" customHeight="1" x14ac:dyDescent="0.25"/>
  </sheetData>
  <mergeCells count="702">
    <mergeCell ref="BQ35:BR35"/>
    <mergeCell ref="BE36:BF36"/>
    <mergeCell ref="BO65:BR65"/>
    <mergeCell ref="AN65:AP65"/>
    <mergeCell ref="AQ65:AS65"/>
    <mergeCell ref="AT65:AV65"/>
    <mergeCell ref="AW65:AY65"/>
    <mergeCell ref="AZ65:BB65"/>
    <mergeCell ref="BC65:BE65"/>
    <mergeCell ref="BF65:BH65"/>
    <mergeCell ref="BI65:BK65"/>
    <mergeCell ref="BL65:BN65"/>
    <mergeCell ref="BK36:BL36"/>
    <mergeCell ref="BG36:BH36"/>
    <mergeCell ref="BI36:BJ36"/>
    <mergeCell ref="BO46:BR55"/>
    <mergeCell ref="BI50:BK51"/>
    <mergeCell ref="BL54:BN55"/>
    <mergeCell ref="BO56:BR56"/>
    <mergeCell ref="BC46:BN47"/>
    <mergeCell ref="BC57:BE57"/>
    <mergeCell ref="BF57:BH57"/>
    <mergeCell ref="AW57:AY57"/>
    <mergeCell ref="AW58:AY58"/>
    <mergeCell ref="BF56:BH56"/>
    <mergeCell ref="BI56:BK56"/>
    <mergeCell ref="BL56:BN56"/>
    <mergeCell ref="AE56:AG56"/>
    <mergeCell ref="AH56:AJ56"/>
    <mergeCell ref="AK56:AM56"/>
    <mergeCell ref="AN56:AP56"/>
    <mergeCell ref="AQ56:AS56"/>
    <mergeCell ref="AT56:AV56"/>
    <mergeCell ref="AZ56:BB56"/>
    <mergeCell ref="BC56:BE56"/>
    <mergeCell ref="AW56:AY56"/>
    <mergeCell ref="BI57:BK57"/>
    <mergeCell ref="BL57:BN57"/>
    <mergeCell ref="BO57:BR57"/>
    <mergeCell ref="AZ57:BB57"/>
    <mergeCell ref="BI58:BK58"/>
    <mergeCell ref="BL58:BN58"/>
    <mergeCell ref="BO58:BR58"/>
    <mergeCell ref="AZ58:BB58"/>
    <mergeCell ref="BC58:BE58"/>
    <mergeCell ref="BF58:BH58"/>
    <mergeCell ref="AE57:AG57"/>
    <mergeCell ref="AH57:AJ57"/>
    <mergeCell ref="D62:O62"/>
    <mergeCell ref="P62:R62"/>
    <mergeCell ref="S62:U62"/>
    <mergeCell ref="V62:X62"/>
    <mergeCell ref="Y62:AA62"/>
    <mergeCell ref="AB62:AD62"/>
    <mergeCell ref="AE62:AG62"/>
    <mergeCell ref="Y58:AA58"/>
    <mergeCell ref="AB58:AD58"/>
    <mergeCell ref="AE58:AG58"/>
    <mergeCell ref="AH58:AJ58"/>
    <mergeCell ref="Y60:AA60"/>
    <mergeCell ref="AB60:AD60"/>
    <mergeCell ref="AH62:AJ62"/>
    <mergeCell ref="B62:C62"/>
    <mergeCell ref="B57:C57"/>
    <mergeCell ref="D58:O58"/>
    <mergeCell ref="P58:R58"/>
    <mergeCell ref="S58:U58"/>
    <mergeCell ref="V58:X58"/>
    <mergeCell ref="D57:O57"/>
    <mergeCell ref="P57:R57"/>
    <mergeCell ref="S57:U57"/>
    <mergeCell ref="V57:X57"/>
    <mergeCell ref="B60:C60"/>
    <mergeCell ref="D60:O60"/>
    <mergeCell ref="P60:R60"/>
    <mergeCell ref="S60:U60"/>
    <mergeCell ref="V60:X60"/>
    <mergeCell ref="B56:C56"/>
    <mergeCell ref="D56:O56"/>
    <mergeCell ref="P56:R56"/>
    <mergeCell ref="S56:U56"/>
    <mergeCell ref="V56:X56"/>
    <mergeCell ref="Y56:AA56"/>
    <mergeCell ref="AB56:AD56"/>
    <mergeCell ref="V59:X59"/>
    <mergeCell ref="Y59:AA59"/>
    <mergeCell ref="AB59:AD59"/>
    <mergeCell ref="Y57:AA57"/>
    <mergeCell ref="AB57:AD57"/>
    <mergeCell ref="B59:C59"/>
    <mergeCell ref="D59:O59"/>
    <mergeCell ref="P59:R59"/>
    <mergeCell ref="S59:U59"/>
    <mergeCell ref="B58:C58"/>
    <mergeCell ref="BT31:CA31"/>
    <mergeCell ref="CB31:CC34"/>
    <mergeCell ref="CD31:CE34"/>
    <mergeCell ref="CF31:CG34"/>
    <mergeCell ref="BE32:BF34"/>
    <mergeCell ref="BK32:BL34"/>
    <mergeCell ref="BT32:BV34"/>
    <mergeCell ref="BW32:BX34"/>
    <mergeCell ref="BY32:CA34"/>
    <mergeCell ref="BG32:BH34"/>
    <mergeCell ref="BI32:BJ34"/>
    <mergeCell ref="BQ31:BR34"/>
    <mergeCell ref="AZ74:BB74"/>
    <mergeCell ref="BC74:BE74"/>
    <mergeCell ref="BF74:BH74"/>
    <mergeCell ref="BI74:BK74"/>
    <mergeCell ref="BL74:BN74"/>
    <mergeCell ref="BO74:BR74"/>
    <mergeCell ref="S74:U74"/>
    <mergeCell ref="V74:X74"/>
    <mergeCell ref="Y74:AA74"/>
    <mergeCell ref="AB74:AD74"/>
    <mergeCell ref="AE74:AG74"/>
    <mergeCell ref="AH74:AJ74"/>
    <mergeCell ref="AK74:AM74"/>
    <mergeCell ref="AN74:AP74"/>
    <mergeCell ref="AQ74:AS74"/>
    <mergeCell ref="A1:BR2"/>
    <mergeCell ref="A3:BR4"/>
    <mergeCell ref="AY33:BB33"/>
    <mergeCell ref="A7:Q10"/>
    <mergeCell ref="R7:AY10"/>
    <mergeCell ref="AZ7:BR10"/>
    <mergeCell ref="A11:Q14"/>
    <mergeCell ref="R11:AY14"/>
    <mergeCell ref="AZ11:BR14"/>
    <mergeCell ref="A15:Q18"/>
    <mergeCell ref="R15:AY18"/>
    <mergeCell ref="AZ15:BR18"/>
    <mergeCell ref="A19:Q22"/>
    <mergeCell ref="R19:AY22"/>
    <mergeCell ref="AZ19:BR22"/>
    <mergeCell ref="C33:F33"/>
    <mergeCell ref="P33:S33"/>
    <mergeCell ref="T33:X33"/>
    <mergeCell ref="G33:J33"/>
    <mergeCell ref="K33:O33"/>
    <mergeCell ref="A23:Q26"/>
    <mergeCell ref="R23:AY26"/>
    <mergeCell ref="AZ23:BR26"/>
    <mergeCell ref="BG37:BH37"/>
    <mergeCell ref="BC35:BD35"/>
    <mergeCell ref="BE35:BF35"/>
    <mergeCell ref="BK35:BL35"/>
    <mergeCell ref="BM35:BN35"/>
    <mergeCell ref="BO35:BP35"/>
    <mergeCell ref="BG35:BH35"/>
    <mergeCell ref="BI35:BJ35"/>
    <mergeCell ref="Y33:AB33"/>
    <mergeCell ref="AC33:AF33"/>
    <mergeCell ref="AG33:AJ33"/>
    <mergeCell ref="BI37:BJ37"/>
    <mergeCell ref="AK33:AO33"/>
    <mergeCell ref="AP33:AS33"/>
    <mergeCell ref="AT33:AX33"/>
    <mergeCell ref="BH39:BN41"/>
    <mergeCell ref="A29:BR30"/>
    <mergeCell ref="BQ36:BR36"/>
    <mergeCell ref="BC37:BD37"/>
    <mergeCell ref="BM37:BN37"/>
    <mergeCell ref="BO37:BP37"/>
    <mergeCell ref="BQ37:BR37"/>
    <mergeCell ref="A36:B36"/>
    <mergeCell ref="BC36:BD36"/>
    <mergeCell ref="BM36:BN36"/>
    <mergeCell ref="A37:BB37"/>
    <mergeCell ref="BE37:BF37"/>
    <mergeCell ref="BK37:BL37"/>
    <mergeCell ref="A31:B34"/>
    <mergeCell ref="C31:BB32"/>
    <mergeCell ref="BC31:BD34"/>
    <mergeCell ref="BE31:BL31"/>
    <mergeCell ref="BM31:BN34"/>
    <mergeCell ref="BO31:BP34"/>
    <mergeCell ref="O39:R41"/>
    <mergeCell ref="A35:B35"/>
    <mergeCell ref="S39:U41"/>
    <mergeCell ref="V39:AA41"/>
    <mergeCell ref="BO36:BP36"/>
    <mergeCell ref="AW48:BB49"/>
    <mergeCell ref="BC48:BH49"/>
    <mergeCell ref="BI48:BN49"/>
    <mergeCell ref="V50:X55"/>
    <mergeCell ref="BL50:BN51"/>
    <mergeCell ref="AQ52:BB53"/>
    <mergeCell ref="BC52:BN53"/>
    <mergeCell ref="AQ54:AS55"/>
    <mergeCell ref="AT54:AV55"/>
    <mergeCell ref="AW54:AY55"/>
    <mergeCell ref="AZ54:BB55"/>
    <mergeCell ref="BC54:BE55"/>
    <mergeCell ref="BF54:BH55"/>
    <mergeCell ref="BI54:BK55"/>
    <mergeCell ref="AW50:AY51"/>
    <mergeCell ref="AZ50:BB51"/>
    <mergeCell ref="BC50:BE51"/>
    <mergeCell ref="BF50:BH51"/>
    <mergeCell ref="AE50:AG55"/>
    <mergeCell ref="AH50:AJ55"/>
    <mergeCell ref="AW39:AY41"/>
    <mergeCell ref="AZ39:BC41"/>
    <mergeCell ref="AK50:AM55"/>
    <mergeCell ref="Y50:AA55"/>
    <mergeCell ref="AB50:AD55"/>
    <mergeCell ref="V48:AM49"/>
    <mergeCell ref="BD39:BG41"/>
    <mergeCell ref="AK58:AM58"/>
    <mergeCell ref="AN58:AP58"/>
    <mergeCell ref="AR39:AU41"/>
    <mergeCell ref="AN48:AP55"/>
    <mergeCell ref="AQ48:AV49"/>
    <mergeCell ref="AT50:AV51"/>
    <mergeCell ref="AQ50:AS51"/>
    <mergeCell ref="A44:BR45"/>
    <mergeCell ref="A46:A55"/>
    <mergeCell ref="B46:C55"/>
    <mergeCell ref="D46:O55"/>
    <mergeCell ref="P46:AP47"/>
    <mergeCell ref="AQ46:BB47"/>
    <mergeCell ref="P55:R55"/>
    <mergeCell ref="S55:U55"/>
    <mergeCell ref="P48:U54"/>
    <mergeCell ref="B39:C41"/>
    <mergeCell ref="D39:J41"/>
    <mergeCell ref="K39:N41"/>
    <mergeCell ref="AB39:AD41"/>
    <mergeCell ref="AF39:AM41"/>
    <mergeCell ref="AN39:AP41"/>
    <mergeCell ref="AK57:AM57"/>
    <mergeCell ref="BO59:BR59"/>
    <mergeCell ref="AW59:AY59"/>
    <mergeCell ref="AZ59:BB59"/>
    <mergeCell ref="BC59:BE59"/>
    <mergeCell ref="BF59:BH59"/>
    <mergeCell ref="BI59:BK59"/>
    <mergeCell ref="BL59:BN59"/>
    <mergeCell ref="AE59:AG59"/>
    <mergeCell ref="AH59:AJ59"/>
    <mergeCell ref="AK59:AM59"/>
    <mergeCell ref="AN59:AP59"/>
    <mergeCell ref="AQ59:AS59"/>
    <mergeCell ref="AT59:AV59"/>
    <mergeCell ref="AN57:AP57"/>
    <mergeCell ref="AQ57:AS57"/>
    <mergeCell ref="AT57:AV57"/>
    <mergeCell ref="AQ58:AS58"/>
    <mergeCell ref="AT58:AV58"/>
    <mergeCell ref="BO60:BR60"/>
    <mergeCell ref="B61:C61"/>
    <mergeCell ref="D61:O61"/>
    <mergeCell ref="P61:R61"/>
    <mergeCell ref="S61:U61"/>
    <mergeCell ref="V61:X61"/>
    <mergeCell ref="Y61:AA61"/>
    <mergeCell ref="AB61:AD61"/>
    <mergeCell ref="AE61:AG61"/>
    <mergeCell ref="AH61:AJ61"/>
    <mergeCell ref="AW60:AY60"/>
    <mergeCell ref="AZ60:BB60"/>
    <mergeCell ref="BC60:BE60"/>
    <mergeCell ref="BF60:BH60"/>
    <mergeCell ref="BI60:BK60"/>
    <mergeCell ref="BL60:BN60"/>
    <mergeCell ref="AE60:AG60"/>
    <mergeCell ref="AH60:AJ60"/>
    <mergeCell ref="AK60:AM60"/>
    <mergeCell ref="AN60:AP60"/>
    <mergeCell ref="AQ60:AS60"/>
    <mergeCell ref="AT60:AV60"/>
    <mergeCell ref="BL61:BN61"/>
    <mergeCell ref="BO61:BR61"/>
    <mergeCell ref="BL62:BN62"/>
    <mergeCell ref="BO62:BR62"/>
    <mergeCell ref="AW62:AY62"/>
    <mergeCell ref="AZ62:BB62"/>
    <mergeCell ref="AW61:AY61"/>
    <mergeCell ref="AZ61:BB61"/>
    <mergeCell ref="AK62:AM62"/>
    <mergeCell ref="AN62:AP62"/>
    <mergeCell ref="AQ62:AS62"/>
    <mergeCell ref="BC61:BE61"/>
    <mergeCell ref="AK61:AM61"/>
    <mergeCell ref="AN61:AP61"/>
    <mergeCell ref="AQ61:AS61"/>
    <mergeCell ref="AT61:AV61"/>
    <mergeCell ref="AT62:AV62"/>
    <mergeCell ref="BF61:BH61"/>
    <mergeCell ref="BI61:BK61"/>
    <mergeCell ref="BC62:BE62"/>
    <mergeCell ref="BF62:BH62"/>
    <mergeCell ref="BI62:BK62"/>
    <mergeCell ref="B63:C63"/>
    <mergeCell ref="D63:O63"/>
    <mergeCell ref="BO64:BR64"/>
    <mergeCell ref="B66:C66"/>
    <mergeCell ref="D66:O66"/>
    <mergeCell ref="P66:R66"/>
    <mergeCell ref="S66:U66"/>
    <mergeCell ref="V66:X66"/>
    <mergeCell ref="Y66:AA66"/>
    <mergeCell ref="AB66:AD66"/>
    <mergeCell ref="AQ64:AS64"/>
    <mergeCell ref="AT64:AV64"/>
    <mergeCell ref="AW64:AY64"/>
    <mergeCell ref="AZ64:BB64"/>
    <mergeCell ref="BC64:BE64"/>
    <mergeCell ref="BF64:BH64"/>
    <mergeCell ref="Y64:AA64"/>
    <mergeCell ref="AB64:AD64"/>
    <mergeCell ref="AE64:AG64"/>
    <mergeCell ref="AH64:AJ64"/>
    <mergeCell ref="AK64:AM64"/>
    <mergeCell ref="AN64:AP64"/>
    <mergeCell ref="B65:C65"/>
    <mergeCell ref="D65:O65"/>
    <mergeCell ref="BO66:BR66"/>
    <mergeCell ref="B64:C64"/>
    <mergeCell ref="BL66:BN66"/>
    <mergeCell ref="Y67:AA67"/>
    <mergeCell ref="AB67:AD67"/>
    <mergeCell ref="AE67:AG67"/>
    <mergeCell ref="AH67:AJ67"/>
    <mergeCell ref="BI64:BK64"/>
    <mergeCell ref="D64:O64"/>
    <mergeCell ref="P64:R64"/>
    <mergeCell ref="S64:U64"/>
    <mergeCell ref="V64:X64"/>
    <mergeCell ref="AZ66:BB66"/>
    <mergeCell ref="BC66:BE66"/>
    <mergeCell ref="BF66:BH66"/>
    <mergeCell ref="BI66:BK66"/>
    <mergeCell ref="AE66:AG66"/>
    <mergeCell ref="AH66:AJ66"/>
    <mergeCell ref="AK66:AM66"/>
    <mergeCell ref="AN66:AP66"/>
    <mergeCell ref="AQ66:AS66"/>
    <mergeCell ref="AT66:AV66"/>
    <mergeCell ref="BC67:BE67"/>
    <mergeCell ref="BL64:BN64"/>
    <mergeCell ref="BO67:BR67"/>
    <mergeCell ref="B68:C68"/>
    <mergeCell ref="D68:O68"/>
    <mergeCell ref="P68:R68"/>
    <mergeCell ref="S68:U68"/>
    <mergeCell ref="V68:X68"/>
    <mergeCell ref="AK67:AM67"/>
    <mergeCell ref="AN67:AP67"/>
    <mergeCell ref="AQ67:AS67"/>
    <mergeCell ref="AT67:AV67"/>
    <mergeCell ref="AW67:AY67"/>
    <mergeCell ref="AZ67:BB67"/>
    <mergeCell ref="BI68:BK68"/>
    <mergeCell ref="BL68:BN68"/>
    <mergeCell ref="BO68:BR68"/>
    <mergeCell ref="AW68:AY68"/>
    <mergeCell ref="AZ68:BB68"/>
    <mergeCell ref="BC68:BE68"/>
    <mergeCell ref="BF68:BH68"/>
    <mergeCell ref="S67:U67"/>
    <mergeCell ref="B69:C69"/>
    <mergeCell ref="D69:O69"/>
    <mergeCell ref="P69:R69"/>
    <mergeCell ref="S69:U69"/>
    <mergeCell ref="V69:X69"/>
    <mergeCell ref="BI67:BK67"/>
    <mergeCell ref="V67:X67"/>
    <mergeCell ref="AK65:AM65"/>
    <mergeCell ref="BL67:BN67"/>
    <mergeCell ref="P65:R65"/>
    <mergeCell ref="S65:U65"/>
    <mergeCell ref="V65:X65"/>
    <mergeCell ref="Y65:AA65"/>
    <mergeCell ref="AB65:AD65"/>
    <mergeCell ref="AT68:AV68"/>
    <mergeCell ref="Y68:AA68"/>
    <mergeCell ref="AB68:AD68"/>
    <mergeCell ref="AE68:AG68"/>
    <mergeCell ref="AH68:AJ68"/>
    <mergeCell ref="AK68:AM68"/>
    <mergeCell ref="AN68:AP68"/>
    <mergeCell ref="B67:C67"/>
    <mergeCell ref="D67:O67"/>
    <mergeCell ref="P67:R67"/>
    <mergeCell ref="BO69:BR69"/>
    <mergeCell ref="B70:C70"/>
    <mergeCell ref="D70:O70"/>
    <mergeCell ref="P70:R70"/>
    <mergeCell ref="S70:U70"/>
    <mergeCell ref="V70:X70"/>
    <mergeCell ref="Y70:AA70"/>
    <mergeCell ref="AB70:AD70"/>
    <mergeCell ref="AE70:AG70"/>
    <mergeCell ref="AH70:AJ70"/>
    <mergeCell ref="AW69:AY69"/>
    <mergeCell ref="AZ69:BB69"/>
    <mergeCell ref="BC69:BE69"/>
    <mergeCell ref="BF69:BH69"/>
    <mergeCell ref="BI69:BK69"/>
    <mergeCell ref="BL69:BN69"/>
    <mergeCell ref="AE69:AG69"/>
    <mergeCell ref="AH69:AJ69"/>
    <mergeCell ref="AK69:AM69"/>
    <mergeCell ref="AN69:AP69"/>
    <mergeCell ref="AQ69:AS69"/>
    <mergeCell ref="AT69:AV69"/>
    <mergeCell ref="BC70:BE70"/>
    <mergeCell ref="BF70:BH70"/>
    <mergeCell ref="BL70:BN70"/>
    <mergeCell ref="BO70:BR70"/>
    <mergeCell ref="B75:C75"/>
    <mergeCell ref="D75:O75"/>
    <mergeCell ref="P75:R75"/>
    <mergeCell ref="S75:U75"/>
    <mergeCell ref="V75:X75"/>
    <mergeCell ref="AK70:AM70"/>
    <mergeCell ref="AN70:AP70"/>
    <mergeCell ref="AQ70:AS70"/>
    <mergeCell ref="AT70:AV70"/>
    <mergeCell ref="AW70:AY70"/>
    <mergeCell ref="AZ70:BB70"/>
    <mergeCell ref="BI75:BK75"/>
    <mergeCell ref="BL75:BN75"/>
    <mergeCell ref="BO75:BR75"/>
    <mergeCell ref="AW75:AY75"/>
    <mergeCell ref="AZ75:BB75"/>
    <mergeCell ref="BC75:BE75"/>
    <mergeCell ref="BF75:BH75"/>
    <mergeCell ref="B74:C74"/>
    <mergeCell ref="D74:O74"/>
    <mergeCell ref="P74:R74"/>
    <mergeCell ref="AT74:AV74"/>
    <mergeCell ref="Y75:AA75"/>
    <mergeCell ref="AB75:AD75"/>
    <mergeCell ref="AE75:AG75"/>
    <mergeCell ref="AH75:AJ75"/>
    <mergeCell ref="AK75:AM75"/>
    <mergeCell ref="AN75:AP75"/>
    <mergeCell ref="B76:C76"/>
    <mergeCell ref="D76:O76"/>
    <mergeCell ref="P76:R76"/>
    <mergeCell ref="S76:U76"/>
    <mergeCell ref="V76:X76"/>
    <mergeCell ref="Y76:AA76"/>
    <mergeCell ref="AB76:AD76"/>
    <mergeCell ref="AE76:AG76"/>
    <mergeCell ref="AH76:AJ76"/>
    <mergeCell ref="AK76:AM76"/>
    <mergeCell ref="AN76:AP76"/>
    <mergeCell ref="AZ76:BB76"/>
    <mergeCell ref="BI78:BK78"/>
    <mergeCell ref="BL78:BN78"/>
    <mergeCell ref="BO78:BR78"/>
    <mergeCell ref="AW78:AY78"/>
    <mergeCell ref="AZ78:BB78"/>
    <mergeCell ref="BC78:BE78"/>
    <mergeCell ref="BF78:BH78"/>
    <mergeCell ref="AW77:AY77"/>
    <mergeCell ref="AZ77:BB77"/>
    <mergeCell ref="BC77:BE77"/>
    <mergeCell ref="BF77:BH77"/>
    <mergeCell ref="BI77:BK77"/>
    <mergeCell ref="BL77:BN77"/>
    <mergeCell ref="BO77:BR77"/>
    <mergeCell ref="BC76:BE76"/>
    <mergeCell ref="BF76:BH76"/>
    <mergeCell ref="BI76:BK76"/>
    <mergeCell ref="BL76:BN76"/>
    <mergeCell ref="BO76:BR76"/>
    <mergeCell ref="B79:C79"/>
    <mergeCell ref="D79:O79"/>
    <mergeCell ref="P79:R79"/>
    <mergeCell ref="S79:U79"/>
    <mergeCell ref="V79:X79"/>
    <mergeCell ref="Y79:AA79"/>
    <mergeCell ref="AB79:AD79"/>
    <mergeCell ref="AQ78:AS78"/>
    <mergeCell ref="AT78:AV78"/>
    <mergeCell ref="Y78:AA78"/>
    <mergeCell ref="AB78:AD78"/>
    <mergeCell ref="AE78:AG78"/>
    <mergeCell ref="AH78:AJ78"/>
    <mergeCell ref="AK78:AM78"/>
    <mergeCell ref="AN78:AP78"/>
    <mergeCell ref="B78:C78"/>
    <mergeCell ref="D78:O78"/>
    <mergeCell ref="P78:R78"/>
    <mergeCell ref="S78:U78"/>
    <mergeCell ref="V78:X78"/>
    <mergeCell ref="BO79:BR79"/>
    <mergeCell ref="B80:C80"/>
    <mergeCell ref="D80:O80"/>
    <mergeCell ref="P80:R80"/>
    <mergeCell ref="S80:U80"/>
    <mergeCell ref="V80:X80"/>
    <mergeCell ref="Y80:AA80"/>
    <mergeCell ref="AB80:AD80"/>
    <mergeCell ref="AE80:AG80"/>
    <mergeCell ref="AH80:AJ80"/>
    <mergeCell ref="AW79:AY79"/>
    <mergeCell ref="AZ79:BB79"/>
    <mergeCell ref="BC79:BE79"/>
    <mergeCell ref="BF79:BH79"/>
    <mergeCell ref="BI79:BK79"/>
    <mergeCell ref="BL79:BN79"/>
    <mergeCell ref="AE79:AG79"/>
    <mergeCell ref="AH79:AJ79"/>
    <mergeCell ref="AK79:AM79"/>
    <mergeCell ref="AN79:AP79"/>
    <mergeCell ref="AQ79:AS79"/>
    <mergeCell ref="AT79:AV79"/>
    <mergeCell ref="BC80:BE80"/>
    <mergeCell ref="BF80:BH80"/>
    <mergeCell ref="BL80:BN80"/>
    <mergeCell ref="BO80:BR80"/>
    <mergeCell ref="B81:C81"/>
    <mergeCell ref="D81:O81"/>
    <mergeCell ref="P81:R81"/>
    <mergeCell ref="S81:U81"/>
    <mergeCell ref="V81:X81"/>
    <mergeCell ref="AK80:AM80"/>
    <mergeCell ref="AN80:AP80"/>
    <mergeCell ref="AQ80:AS80"/>
    <mergeCell ref="AT80:AV80"/>
    <mergeCell ref="AW80:AY80"/>
    <mergeCell ref="AZ80:BB80"/>
    <mergeCell ref="BI81:BK81"/>
    <mergeCell ref="BL81:BN81"/>
    <mergeCell ref="BO81:BR81"/>
    <mergeCell ref="AW81:AY81"/>
    <mergeCell ref="AZ81:BB81"/>
    <mergeCell ref="BC81:BE81"/>
    <mergeCell ref="BF81:BH81"/>
    <mergeCell ref="AQ81:AS81"/>
    <mergeCell ref="AT81:AV81"/>
    <mergeCell ref="Y81:AA81"/>
    <mergeCell ref="AB81:AD81"/>
    <mergeCell ref="AE81:AG81"/>
    <mergeCell ref="AH81:AJ81"/>
    <mergeCell ref="AK81:AM81"/>
    <mergeCell ref="AN81:AP81"/>
    <mergeCell ref="BI80:BK80"/>
    <mergeCell ref="B82:C82"/>
    <mergeCell ref="D82:O82"/>
    <mergeCell ref="P82:R82"/>
    <mergeCell ref="S82:U82"/>
    <mergeCell ref="V82:X82"/>
    <mergeCell ref="Y82:AA82"/>
    <mergeCell ref="AB82:AD82"/>
    <mergeCell ref="AE82:AG82"/>
    <mergeCell ref="AH82:AJ82"/>
    <mergeCell ref="BI82:BK82"/>
    <mergeCell ref="B97:BP97"/>
    <mergeCell ref="V85:AZ86"/>
    <mergeCell ref="V87:AZ88"/>
    <mergeCell ref="P102:S102"/>
    <mergeCell ref="T102:X102"/>
    <mergeCell ref="AJ102:BR108"/>
    <mergeCell ref="B96:BP96"/>
    <mergeCell ref="BL82:BN82"/>
    <mergeCell ref="BO82:BR82"/>
    <mergeCell ref="AK82:AM82"/>
    <mergeCell ref="AN82:AP82"/>
    <mergeCell ref="AQ82:AS82"/>
    <mergeCell ref="AT82:AV82"/>
    <mergeCell ref="AW82:AY82"/>
    <mergeCell ref="AZ82:BB82"/>
    <mergeCell ref="BC82:BE82"/>
    <mergeCell ref="BF82:BH82"/>
    <mergeCell ref="A102:O102"/>
    <mergeCell ref="B98:BP98"/>
    <mergeCell ref="B99:BP99"/>
    <mergeCell ref="B91:BQ91"/>
    <mergeCell ref="B92:BQ92"/>
    <mergeCell ref="B93:BQ93"/>
    <mergeCell ref="B94:BQ94"/>
    <mergeCell ref="BO63:BR63"/>
    <mergeCell ref="P63:R63"/>
    <mergeCell ref="S63:U63"/>
    <mergeCell ref="V63:X63"/>
    <mergeCell ref="Y63:AA63"/>
    <mergeCell ref="AB63:AD63"/>
    <mergeCell ref="AE63:AG63"/>
    <mergeCell ref="AH63:AJ63"/>
    <mergeCell ref="AK63:AM63"/>
    <mergeCell ref="AN63:AP63"/>
    <mergeCell ref="AQ63:AS63"/>
    <mergeCell ref="AT63:AV63"/>
    <mergeCell ref="AW63:AY63"/>
    <mergeCell ref="AZ63:BB63"/>
    <mergeCell ref="BC63:BE63"/>
    <mergeCell ref="BF63:BH63"/>
    <mergeCell ref="B95:BQ95"/>
    <mergeCell ref="BI63:BK63"/>
    <mergeCell ref="BL63:BN63"/>
    <mergeCell ref="AE65:AG65"/>
    <mergeCell ref="AH65:AJ65"/>
    <mergeCell ref="BI71:BK71"/>
    <mergeCell ref="B71:C71"/>
    <mergeCell ref="D71:O71"/>
    <mergeCell ref="P71:R71"/>
    <mergeCell ref="S71:U71"/>
    <mergeCell ref="V71:X71"/>
    <mergeCell ref="Y71:AA71"/>
    <mergeCell ref="AB71:AD71"/>
    <mergeCell ref="AE71:AG71"/>
    <mergeCell ref="AH71:AJ71"/>
    <mergeCell ref="AQ71:AS71"/>
    <mergeCell ref="AT71:AV71"/>
    <mergeCell ref="AW71:AY71"/>
    <mergeCell ref="AZ71:BB71"/>
    <mergeCell ref="BC71:BE71"/>
    <mergeCell ref="BF71:BH71"/>
    <mergeCell ref="BF67:BH67"/>
    <mergeCell ref="AW66:AY66"/>
    <mergeCell ref="BI70:BK70"/>
    <mergeCell ref="Y69:AA69"/>
    <mergeCell ref="AB69:AD69"/>
    <mergeCell ref="AQ68:AS68"/>
    <mergeCell ref="BL71:BN71"/>
    <mergeCell ref="BO71:BR71"/>
    <mergeCell ref="B72:C72"/>
    <mergeCell ref="D72:O72"/>
    <mergeCell ref="P72:R72"/>
    <mergeCell ref="S72:U72"/>
    <mergeCell ref="V72:X72"/>
    <mergeCell ref="Y72:AA72"/>
    <mergeCell ref="AB72:AD72"/>
    <mergeCell ref="AE72:AG72"/>
    <mergeCell ref="AH72:AJ72"/>
    <mergeCell ref="AK72:AM72"/>
    <mergeCell ref="AN72:AP72"/>
    <mergeCell ref="AQ72:AS72"/>
    <mergeCell ref="AT72:AV72"/>
    <mergeCell ref="AW72:AY72"/>
    <mergeCell ref="AZ72:BB72"/>
    <mergeCell ref="BC72:BE72"/>
    <mergeCell ref="BF72:BH72"/>
    <mergeCell ref="BI72:BK72"/>
    <mergeCell ref="BL72:BN72"/>
    <mergeCell ref="BO72:BR72"/>
    <mergeCell ref="AK71:AM71"/>
    <mergeCell ref="AN71:AP71"/>
    <mergeCell ref="B73:C73"/>
    <mergeCell ref="D73:O73"/>
    <mergeCell ref="P73:R73"/>
    <mergeCell ref="S73:U73"/>
    <mergeCell ref="V73:X73"/>
    <mergeCell ref="Y73:AA73"/>
    <mergeCell ref="AB73:AD73"/>
    <mergeCell ref="AE73:AG73"/>
    <mergeCell ref="AH73:AJ73"/>
    <mergeCell ref="BL73:BN73"/>
    <mergeCell ref="BO73:BR73"/>
    <mergeCell ref="AZ73:BB73"/>
    <mergeCell ref="BC73:BE73"/>
    <mergeCell ref="BF73:BH73"/>
    <mergeCell ref="BI73:BK73"/>
    <mergeCell ref="B77:C77"/>
    <mergeCell ref="D77:O77"/>
    <mergeCell ref="P77:R77"/>
    <mergeCell ref="S77:U77"/>
    <mergeCell ref="V77:X77"/>
    <mergeCell ref="Y77:AA77"/>
    <mergeCell ref="AB77:AD77"/>
    <mergeCell ref="AE77:AG77"/>
    <mergeCell ref="AH77:AJ77"/>
    <mergeCell ref="AK77:AM77"/>
    <mergeCell ref="AN77:AP77"/>
    <mergeCell ref="AQ77:AS77"/>
    <mergeCell ref="AT77:AV77"/>
    <mergeCell ref="AK73:AM73"/>
    <mergeCell ref="AN73:AP73"/>
    <mergeCell ref="AQ73:AS73"/>
    <mergeCell ref="AT73:AV73"/>
    <mergeCell ref="AW73:AY73"/>
    <mergeCell ref="AW76:AY76"/>
    <mergeCell ref="AQ75:AS75"/>
    <mergeCell ref="AT75:AV75"/>
    <mergeCell ref="AT76:AV76"/>
    <mergeCell ref="AQ76:AS76"/>
    <mergeCell ref="AW74:AY74"/>
    <mergeCell ref="AY129:BG129"/>
    <mergeCell ref="BH129:BP129"/>
    <mergeCell ref="A111:O114"/>
    <mergeCell ref="P111:X114"/>
    <mergeCell ref="Y111:AE114"/>
    <mergeCell ref="AJ111:AX114"/>
    <mergeCell ref="AY111:BG114"/>
    <mergeCell ref="BH111:BR114"/>
    <mergeCell ref="BH117:BR120"/>
    <mergeCell ref="AY126:BG126"/>
    <mergeCell ref="BH126:BP126"/>
    <mergeCell ref="AJ129:AX130"/>
    <mergeCell ref="A117:O120"/>
    <mergeCell ref="P117:X120"/>
    <mergeCell ref="Y117:AE120"/>
    <mergeCell ref="AJ117:AX120"/>
    <mergeCell ref="AY117:BG120"/>
  </mergeCells>
  <conditionalFormatting sqref="BW57:BW82">
    <cfRule type="expression" dxfId="5" priority="2">
      <formula>BV57=0</formula>
    </cfRule>
  </conditionalFormatting>
  <conditionalFormatting sqref="BZ57:BZ82">
    <cfRule type="expression" dxfId="4" priority="1">
      <formula>BY57=0</formula>
    </cfRule>
  </conditionalFormatting>
  <pageMargins left="0.19685039370078741" right="0.19685039370078741" top="0.19685039370078741" bottom="0.19685039370078741" header="0.31496062992125984" footer="0.31496062992125984"/>
  <pageSetup paperSize="9" scale="50" orientation="landscape" r:id="rId1"/>
  <rowBreaks count="1" manualBreakCount="1">
    <brk id="65" max="69"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145"/>
  <sheetViews>
    <sheetView view="pageBreakPreview" topLeftCell="A36" zoomScale="85" zoomScaleNormal="40" zoomScaleSheetLayoutView="85" workbookViewId="0">
      <selection activeCell="D62" sqref="D62:O62"/>
    </sheetView>
  </sheetViews>
  <sheetFormatPr defaultColWidth="9.140625" defaultRowHeight="15.75" x14ac:dyDescent="0.25"/>
  <cols>
    <col min="1" max="1" width="12.28515625" style="2" customWidth="1"/>
    <col min="2" max="2" width="12.28515625" style="65" customWidth="1"/>
    <col min="3" max="3" width="3.85546875" style="65" customWidth="1"/>
    <col min="4" max="70" width="3.85546875" style="2" customWidth="1"/>
    <col min="71" max="74" width="6.5703125" style="1" customWidth="1"/>
    <col min="75" max="75" width="15.42578125" style="1" customWidth="1"/>
    <col min="76" max="77" width="6.5703125" style="1" customWidth="1"/>
    <col min="78" max="78" width="15.42578125" style="1" customWidth="1"/>
    <col min="79" max="16384" width="9.140625" style="2"/>
  </cols>
  <sheetData>
    <row r="1" spans="1:70" ht="14.25" customHeight="1" x14ac:dyDescent="0.25">
      <c r="A1" s="140" t="s">
        <v>252</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c r="BD1" s="140"/>
      <c r="BE1" s="140"/>
      <c r="BF1" s="140"/>
      <c r="BG1" s="140"/>
      <c r="BH1" s="140"/>
      <c r="BI1" s="140"/>
      <c r="BJ1" s="140"/>
      <c r="BK1" s="140"/>
      <c r="BL1" s="140"/>
      <c r="BM1" s="140"/>
      <c r="BN1" s="140"/>
      <c r="BO1" s="140"/>
      <c r="BP1" s="140"/>
      <c r="BQ1" s="140"/>
      <c r="BR1" s="140"/>
    </row>
    <row r="2" spans="1:70" ht="14.25" customHeight="1" x14ac:dyDescent="0.25">
      <c r="A2" s="140"/>
      <c r="B2" s="140"/>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c r="AH2" s="140"/>
      <c r="AI2" s="140"/>
      <c r="AJ2" s="140"/>
      <c r="AK2" s="140"/>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row>
    <row r="3" spans="1:70" ht="14.25" customHeight="1" x14ac:dyDescent="0.25">
      <c r="A3" s="140" t="s">
        <v>56</v>
      </c>
      <c r="B3" s="140"/>
      <c r="C3" s="140"/>
      <c r="D3" s="140"/>
      <c r="E3" s="140"/>
      <c r="F3" s="140"/>
      <c r="G3" s="140"/>
      <c r="H3" s="140"/>
      <c r="I3" s="140"/>
      <c r="J3" s="140"/>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row>
    <row r="4" spans="1:70" ht="14.25" customHeight="1" x14ac:dyDescent="0.25">
      <c r="A4" s="140"/>
      <c r="B4" s="140"/>
      <c r="C4" s="140"/>
      <c r="D4" s="140"/>
      <c r="E4" s="140"/>
      <c r="F4" s="140"/>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row>
    <row r="5" spans="1:70" ht="14.25" customHeight="1" x14ac:dyDescent="0.25">
      <c r="A5" s="67"/>
      <c r="B5" s="67"/>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row>
    <row r="6" spans="1:70" ht="14.25" customHeight="1" x14ac:dyDescent="0.25">
      <c r="A6" s="67"/>
      <c r="B6" s="67"/>
      <c r="C6" s="67"/>
      <c r="D6" s="67"/>
      <c r="E6" s="67"/>
      <c r="F6" s="67"/>
      <c r="G6" s="67"/>
      <c r="H6" s="67"/>
      <c r="I6" s="67"/>
      <c r="J6" s="67"/>
      <c r="K6" s="67"/>
      <c r="L6" s="67"/>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row>
    <row r="7" spans="1:70" ht="14.25" customHeight="1" x14ac:dyDescent="0.25">
      <c r="A7" s="170" t="s">
        <v>57</v>
      </c>
      <c r="B7" s="170"/>
      <c r="C7" s="170"/>
      <c r="D7" s="170"/>
      <c r="E7" s="170"/>
      <c r="F7" s="170"/>
      <c r="G7" s="170"/>
      <c r="H7" s="170"/>
      <c r="I7" s="170"/>
      <c r="J7" s="170"/>
      <c r="K7" s="170"/>
      <c r="L7" s="170"/>
      <c r="M7" s="170"/>
      <c r="N7" s="170"/>
      <c r="O7" s="170"/>
      <c r="P7" s="170"/>
      <c r="Q7" s="170"/>
      <c r="R7" s="170" t="s">
        <v>239</v>
      </c>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t="s">
        <v>64</v>
      </c>
      <c r="BA7" s="170"/>
      <c r="BB7" s="170"/>
      <c r="BC7" s="170"/>
      <c r="BD7" s="170"/>
      <c r="BE7" s="170"/>
      <c r="BF7" s="170"/>
      <c r="BG7" s="170"/>
      <c r="BH7" s="170"/>
      <c r="BI7" s="170"/>
      <c r="BJ7" s="170"/>
      <c r="BK7" s="170"/>
      <c r="BL7" s="170"/>
      <c r="BM7" s="170"/>
      <c r="BN7" s="170"/>
      <c r="BO7" s="170"/>
      <c r="BP7" s="170"/>
      <c r="BQ7" s="170"/>
      <c r="BR7" s="170"/>
    </row>
    <row r="8" spans="1:70" ht="14.25" customHeight="1" x14ac:dyDescent="0.25">
      <c r="A8" s="170"/>
      <c r="B8" s="170"/>
      <c r="C8" s="170"/>
      <c r="D8" s="170"/>
      <c r="E8" s="170"/>
      <c r="F8" s="170"/>
      <c r="G8" s="170"/>
      <c r="H8" s="170"/>
      <c r="I8" s="170"/>
      <c r="J8" s="170"/>
      <c r="K8" s="170"/>
      <c r="L8" s="170"/>
      <c r="M8" s="170"/>
      <c r="N8" s="170"/>
      <c r="O8" s="170"/>
      <c r="P8" s="170"/>
      <c r="Q8" s="170"/>
      <c r="R8" s="170"/>
      <c r="S8" s="170"/>
      <c r="T8" s="170"/>
      <c r="U8" s="170"/>
      <c r="V8" s="170"/>
      <c r="W8" s="170"/>
      <c r="X8" s="170"/>
      <c r="Y8" s="170"/>
      <c r="Z8" s="170"/>
      <c r="AA8" s="170"/>
      <c r="AB8" s="170"/>
      <c r="AC8" s="170"/>
      <c r="AD8" s="170"/>
      <c r="AE8" s="170"/>
      <c r="AF8" s="170"/>
      <c r="AG8" s="170"/>
      <c r="AH8" s="170"/>
      <c r="AI8" s="170"/>
      <c r="AJ8" s="170"/>
      <c r="AK8" s="170"/>
      <c r="AL8" s="170"/>
      <c r="AM8" s="170"/>
      <c r="AN8" s="170"/>
      <c r="AO8" s="170"/>
      <c r="AP8" s="170"/>
      <c r="AQ8" s="170"/>
      <c r="AR8" s="170"/>
      <c r="AS8" s="170"/>
      <c r="AT8" s="170"/>
      <c r="AU8" s="170"/>
      <c r="AV8" s="170"/>
      <c r="AW8" s="170"/>
      <c r="AX8" s="170"/>
      <c r="AY8" s="170"/>
      <c r="AZ8" s="170"/>
      <c r="BA8" s="170"/>
      <c r="BB8" s="170"/>
      <c r="BC8" s="170"/>
      <c r="BD8" s="170"/>
      <c r="BE8" s="170"/>
      <c r="BF8" s="170"/>
      <c r="BG8" s="170"/>
      <c r="BH8" s="170"/>
      <c r="BI8" s="170"/>
      <c r="BJ8" s="170"/>
      <c r="BK8" s="170"/>
      <c r="BL8" s="170"/>
      <c r="BM8" s="170"/>
      <c r="BN8" s="170"/>
      <c r="BO8" s="170"/>
      <c r="BP8" s="170"/>
      <c r="BQ8" s="170"/>
      <c r="BR8" s="170"/>
    </row>
    <row r="9" spans="1:70" ht="14.25" customHeight="1" x14ac:dyDescent="0.25">
      <c r="A9" s="170"/>
      <c r="B9" s="170"/>
      <c r="C9" s="170"/>
      <c r="D9" s="170"/>
      <c r="E9" s="170"/>
      <c r="F9" s="170"/>
      <c r="G9" s="170"/>
      <c r="H9" s="170"/>
      <c r="I9" s="170"/>
      <c r="J9" s="170"/>
      <c r="K9" s="170"/>
      <c r="L9" s="170"/>
      <c r="M9" s="170"/>
      <c r="N9" s="170"/>
      <c r="O9" s="170"/>
      <c r="P9" s="170"/>
      <c r="Q9" s="170"/>
      <c r="R9" s="170"/>
      <c r="S9" s="170"/>
      <c r="T9" s="170"/>
      <c r="U9" s="170"/>
      <c r="V9" s="170"/>
      <c r="W9" s="170"/>
      <c r="X9" s="170"/>
      <c r="Y9" s="170"/>
      <c r="Z9" s="170"/>
      <c r="AA9" s="170"/>
      <c r="AB9" s="170"/>
      <c r="AC9" s="170"/>
      <c r="AD9" s="170"/>
      <c r="AE9" s="170"/>
      <c r="AF9" s="170"/>
      <c r="AG9" s="170"/>
      <c r="AH9" s="170"/>
      <c r="AI9" s="170"/>
      <c r="AJ9" s="170"/>
      <c r="AK9" s="170"/>
      <c r="AL9" s="170"/>
      <c r="AM9" s="170"/>
      <c r="AN9" s="170"/>
      <c r="AO9" s="170"/>
      <c r="AP9" s="170"/>
      <c r="AQ9" s="170"/>
      <c r="AR9" s="170"/>
      <c r="AS9" s="170"/>
      <c r="AT9" s="170"/>
      <c r="AU9" s="170"/>
      <c r="AV9" s="170"/>
      <c r="AW9" s="170"/>
      <c r="AX9" s="170"/>
      <c r="AY9" s="170"/>
      <c r="AZ9" s="170"/>
      <c r="BA9" s="170"/>
      <c r="BB9" s="170"/>
      <c r="BC9" s="170"/>
      <c r="BD9" s="170"/>
      <c r="BE9" s="170"/>
      <c r="BF9" s="170"/>
      <c r="BG9" s="170"/>
      <c r="BH9" s="170"/>
      <c r="BI9" s="170"/>
      <c r="BJ9" s="170"/>
      <c r="BK9" s="170"/>
      <c r="BL9" s="170"/>
      <c r="BM9" s="170"/>
      <c r="BN9" s="170"/>
      <c r="BO9" s="170"/>
      <c r="BP9" s="170"/>
      <c r="BQ9" s="170"/>
      <c r="BR9" s="170"/>
    </row>
    <row r="10" spans="1:70" ht="14.25" customHeight="1" x14ac:dyDescent="0.25">
      <c r="A10" s="170"/>
      <c r="B10" s="170"/>
      <c r="C10" s="170"/>
      <c r="D10" s="170"/>
      <c r="E10" s="170"/>
      <c r="F10" s="170"/>
      <c r="G10" s="170"/>
      <c r="H10" s="170"/>
      <c r="I10" s="170"/>
      <c r="J10" s="170"/>
      <c r="K10" s="170"/>
      <c r="L10" s="170"/>
      <c r="M10" s="170"/>
      <c r="N10" s="170"/>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0"/>
      <c r="AM10" s="170"/>
      <c r="AN10" s="170"/>
      <c r="AO10" s="170"/>
      <c r="AP10" s="170"/>
      <c r="AQ10" s="170"/>
      <c r="AR10" s="170"/>
      <c r="AS10" s="170"/>
      <c r="AT10" s="170"/>
      <c r="AU10" s="170"/>
      <c r="AV10" s="170"/>
      <c r="AW10" s="170"/>
      <c r="AX10" s="170"/>
      <c r="AY10" s="170"/>
      <c r="AZ10" s="170"/>
      <c r="BA10" s="170"/>
      <c r="BB10" s="170"/>
      <c r="BC10" s="170"/>
      <c r="BD10" s="170"/>
      <c r="BE10" s="170"/>
      <c r="BF10" s="170"/>
      <c r="BG10" s="170"/>
      <c r="BH10" s="170"/>
      <c r="BI10" s="170"/>
      <c r="BJ10" s="170"/>
      <c r="BK10" s="170"/>
      <c r="BL10" s="170"/>
      <c r="BM10" s="170"/>
      <c r="BN10" s="170"/>
      <c r="BO10" s="170"/>
      <c r="BP10" s="170"/>
      <c r="BQ10" s="170"/>
      <c r="BR10" s="170"/>
    </row>
    <row r="11" spans="1:70" ht="14.25" customHeight="1" x14ac:dyDescent="0.25">
      <c r="A11" s="171" t="s">
        <v>58</v>
      </c>
      <c r="B11" s="171"/>
      <c r="C11" s="171"/>
      <c r="D11" s="171"/>
      <c r="E11" s="171"/>
      <c r="F11" s="171"/>
      <c r="G11" s="171"/>
      <c r="H11" s="171"/>
      <c r="I11" s="171"/>
      <c r="J11" s="171"/>
      <c r="K11" s="171"/>
      <c r="L11" s="171"/>
      <c r="M11" s="171"/>
      <c r="N11" s="171"/>
      <c r="O11" s="171"/>
      <c r="P11" s="171"/>
      <c r="Q11" s="171"/>
      <c r="R11" s="174" t="s">
        <v>72</v>
      </c>
      <c r="S11" s="174"/>
      <c r="T11" s="174"/>
      <c r="U11" s="174"/>
      <c r="V11" s="174"/>
      <c r="W11" s="174"/>
      <c r="X11" s="174"/>
      <c r="Y11" s="174"/>
      <c r="Z11" s="174"/>
      <c r="AA11" s="174"/>
      <c r="AB11" s="174"/>
      <c r="AC11" s="174"/>
      <c r="AD11" s="174"/>
      <c r="AE11" s="174"/>
      <c r="AF11" s="174"/>
      <c r="AG11" s="174"/>
      <c r="AH11" s="174"/>
      <c r="AI11" s="174"/>
      <c r="AJ11" s="174"/>
      <c r="AK11" s="174"/>
      <c r="AL11" s="174"/>
      <c r="AM11" s="174"/>
      <c r="AN11" s="174"/>
      <c r="AO11" s="174"/>
      <c r="AP11" s="174"/>
      <c r="AQ11" s="174"/>
      <c r="AR11" s="174"/>
      <c r="AS11" s="174"/>
      <c r="AT11" s="174"/>
      <c r="AU11" s="174"/>
      <c r="AV11" s="174"/>
      <c r="AW11" s="174"/>
      <c r="AX11" s="174"/>
      <c r="AY11" s="174"/>
      <c r="AZ11" s="171" t="s">
        <v>63</v>
      </c>
      <c r="BA11" s="170"/>
      <c r="BB11" s="170"/>
      <c r="BC11" s="170"/>
      <c r="BD11" s="170"/>
      <c r="BE11" s="170"/>
      <c r="BF11" s="170"/>
      <c r="BG11" s="170"/>
      <c r="BH11" s="170"/>
      <c r="BI11" s="170"/>
      <c r="BJ11" s="170"/>
      <c r="BK11" s="170"/>
      <c r="BL11" s="170"/>
      <c r="BM11" s="170"/>
      <c r="BN11" s="170"/>
      <c r="BO11" s="170"/>
      <c r="BP11" s="170"/>
      <c r="BQ11" s="170"/>
      <c r="BR11" s="170"/>
    </row>
    <row r="12" spans="1:70" ht="14.25" customHeight="1" x14ac:dyDescent="0.25">
      <c r="A12" s="171"/>
      <c r="B12" s="171"/>
      <c r="C12" s="171"/>
      <c r="D12" s="171"/>
      <c r="E12" s="171"/>
      <c r="F12" s="171"/>
      <c r="G12" s="171"/>
      <c r="H12" s="171"/>
      <c r="I12" s="171"/>
      <c r="J12" s="171"/>
      <c r="K12" s="171"/>
      <c r="L12" s="171"/>
      <c r="M12" s="171"/>
      <c r="N12" s="171"/>
      <c r="O12" s="171"/>
      <c r="P12" s="171"/>
      <c r="Q12" s="171"/>
      <c r="R12" s="174"/>
      <c r="S12" s="174"/>
      <c r="T12" s="174"/>
      <c r="U12" s="174"/>
      <c r="V12" s="174"/>
      <c r="W12" s="174"/>
      <c r="X12" s="174"/>
      <c r="Y12" s="174"/>
      <c r="Z12" s="174"/>
      <c r="AA12" s="174"/>
      <c r="AB12" s="174"/>
      <c r="AC12" s="174"/>
      <c r="AD12" s="174"/>
      <c r="AE12" s="174"/>
      <c r="AF12" s="174"/>
      <c r="AG12" s="174"/>
      <c r="AH12" s="174"/>
      <c r="AI12" s="174"/>
      <c r="AJ12" s="174"/>
      <c r="AK12" s="174"/>
      <c r="AL12" s="174"/>
      <c r="AM12" s="174"/>
      <c r="AN12" s="174"/>
      <c r="AO12" s="174"/>
      <c r="AP12" s="174"/>
      <c r="AQ12" s="174"/>
      <c r="AR12" s="174"/>
      <c r="AS12" s="174"/>
      <c r="AT12" s="174"/>
      <c r="AU12" s="174"/>
      <c r="AV12" s="174"/>
      <c r="AW12" s="174"/>
      <c r="AX12" s="174"/>
      <c r="AY12" s="174"/>
      <c r="AZ12" s="171"/>
      <c r="BA12" s="170"/>
      <c r="BB12" s="170"/>
      <c r="BC12" s="170"/>
      <c r="BD12" s="170"/>
      <c r="BE12" s="170"/>
      <c r="BF12" s="170"/>
      <c r="BG12" s="170"/>
      <c r="BH12" s="170"/>
      <c r="BI12" s="170"/>
      <c r="BJ12" s="170"/>
      <c r="BK12" s="170"/>
      <c r="BL12" s="170"/>
      <c r="BM12" s="170"/>
      <c r="BN12" s="170"/>
      <c r="BO12" s="170"/>
      <c r="BP12" s="170"/>
      <c r="BQ12" s="170"/>
      <c r="BR12" s="170"/>
    </row>
    <row r="13" spans="1:70" ht="14.25" customHeight="1" x14ac:dyDescent="0.25">
      <c r="A13" s="171"/>
      <c r="B13" s="171"/>
      <c r="C13" s="171"/>
      <c r="D13" s="171"/>
      <c r="E13" s="171"/>
      <c r="F13" s="171"/>
      <c r="G13" s="171"/>
      <c r="H13" s="171"/>
      <c r="I13" s="171"/>
      <c r="J13" s="171"/>
      <c r="K13" s="171"/>
      <c r="L13" s="171"/>
      <c r="M13" s="171"/>
      <c r="N13" s="171"/>
      <c r="O13" s="171"/>
      <c r="P13" s="171"/>
      <c r="Q13" s="171"/>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1"/>
      <c r="BA13" s="170"/>
      <c r="BB13" s="170"/>
      <c r="BC13" s="170"/>
      <c r="BD13" s="170"/>
      <c r="BE13" s="170"/>
      <c r="BF13" s="170"/>
      <c r="BG13" s="170"/>
      <c r="BH13" s="170"/>
      <c r="BI13" s="170"/>
      <c r="BJ13" s="170"/>
      <c r="BK13" s="170"/>
      <c r="BL13" s="170"/>
      <c r="BM13" s="170"/>
      <c r="BN13" s="170"/>
      <c r="BO13" s="170"/>
      <c r="BP13" s="170"/>
      <c r="BQ13" s="170"/>
      <c r="BR13" s="170"/>
    </row>
    <row r="14" spans="1:70" ht="14.25" customHeight="1" x14ac:dyDescent="0.25">
      <c r="A14" s="171"/>
      <c r="B14" s="171"/>
      <c r="C14" s="171"/>
      <c r="D14" s="171"/>
      <c r="E14" s="171"/>
      <c r="F14" s="171"/>
      <c r="G14" s="171"/>
      <c r="H14" s="171"/>
      <c r="I14" s="171"/>
      <c r="J14" s="171"/>
      <c r="K14" s="171"/>
      <c r="L14" s="171"/>
      <c r="M14" s="171"/>
      <c r="N14" s="171"/>
      <c r="O14" s="171"/>
      <c r="P14" s="171"/>
      <c r="Q14" s="171"/>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0"/>
      <c r="BA14" s="170"/>
      <c r="BB14" s="170"/>
      <c r="BC14" s="170"/>
      <c r="BD14" s="170"/>
      <c r="BE14" s="170"/>
      <c r="BF14" s="170"/>
      <c r="BG14" s="170"/>
      <c r="BH14" s="170"/>
      <c r="BI14" s="170"/>
      <c r="BJ14" s="170"/>
      <c r="BK14" s="170"/>
      <c r="BL14" s="170"/>
      <c r="BM14" s="170"/>
      <c r="BN14" s="170"/>
      <c r="BO14" s="170"/>
      <c r="BP14" s="170"/>
      <c r="BQ14" s="170"/>
      <c r="BR14" s="170"/>
    </row>
    <row r="15" spans="1:70" ht="14.25" customHeight="1" x14ac:dyDescent="0.25">
      <c r="A15" s="170" t="s">
        <v>59</v>
      </c>
      <c r="B15" s="170"/>
      <c r="C15" s="170"/>
      <c r="D15" s="170"/>
      <c r="E15" s="170"/>
      <c r="F15" s="170"/>
      <c r="G15" s="170"/>
      <c r="H15" s="170"/>
      <c r="I15" s="170"/>
      <c r="J15" s="170"/>
      <c r="K15" s="170"/>
      <c r="L15" s="170"/>
      <c r="M15" s="170"/>
      <c r="N15" s="170"/>
      <c r="O15" s="170"/>
      <c r="P15" s="170"/>
      <c r="Q15" s="170"/>
      <c r="R15" s="175" t="s">
        <v>255</v>
      </c>
      <c r="S15" s="175"/>
      <c r="T15" s="175"/>
      <c r="U15" s="175"/>
      <c r="V15" s="175"/>
      <c r="W15" s="175"/>
      <c r="X15" s="175"/>
      <c r="Y15" s="175"/>
      <c r="Z15" s="175"/>
      <c r="AA15" s="175"/>
      <c r="AB15" s="175"/>
      <c r="AC15" s="175"/>
      <c r="AD15" s="175"/>
      <c r="AE15" s="175"/>
      <c r="AF15" s="175"/>
      <c r="AG15" s="175"/>
      <c r="AH15" s="175"/>
      <c r="AI15" s="175"/>
      <c r="AJ15" s="175"/>
      <c r="AK15" s="175"/>
      <c r="AL15" s="175"/>
      <c r="AM15" s="175"/>
      <c r="AN15" s="175"/>
      <c r="AO15" s="175"/>
      <c r="AP15" s="175"/>
      <c r="AQ15" s="175"/>
      <c r="AR15" s="175"/>
      <c r="AS15" s="175"/>
      <c r="AT15" s="175"/>
      <c r="AU15" s="175"/>
      <c r="AV15" s="175"/>
      <c r="AW15" s="175"/>
      <c r="AX15" s="175"/>
      <c r="AY15" s="175"/>
      <c r="AZ15" s="170" t="s">
        <v>62</v>
      </c>
      <c r="BA15" s="170"/>
      <c r="BB15" s="170"/>
      <c r="BC15" s="170"/>
      <c r="BD15" s="170"/>
      <c r="BE15" s="170"/>
      <c r="BF15" s="170"/>
      <c r="BG15" s="170"/>
      <c r="BH15" s="170"/>
      <c r="BI15" s="170"/>
      <c r="BJ15" s="170"/>
      <c r="BK15" s="170"/>
      <c r="BL15" s="170"/>
      <c r="BM15" s="170"/>
      <c r="BN15" s="170"/>
      <c r="BO15" s="170"/>
      <c r="BP15" s="170"/>
      <c r="BQ15" s="170"/>
      <c r="BR15" s="170"/>
    </row>
    <row r="16" spans="1:70" ht="14.25" customHeight="1" x14ac:dyDescent="0.25">
      <c r="A16" s="170"/>
      <c r="B16" s="170"/>
      <c r="C16" s="170"/>
      <c r="D16" s="170"/>
      <c r="E16" s="170"/>
      <c r="F16" s="170"/>
      <c r="G16" s="170"/>
      <c r="H16" s="170"/>
      <c r="I16" s="170"/>
      <c r="J16" s="170"/>
      <c r="K16" s="170"/>
      <c r="L16" s="170"/>
      <c r="M16" s="170"/>
      <c r="N16" s="170"/>
      <c r="O16" s="170"/>
      <c r="P16" s="170"/>
      <c r="Q16" s="170"/>
      <c r="R16" s="175"/>
      <c r="S16" s="175"/>
      <c r="T16" s="175"/>
      <c r="U16" s="175"/>
      <c r="V16" s="175"/>
      <c r="W16" s="175"/>
      <c r="X16" s="175"/>
      <c r="Y16" s="175"/>
      <c r="Z16" s="175"/>
      <c r="AA16" s="175"/>
      <c r="AB16" s="175"/>
      <c r="AC16" s="175"/>
      <c r="AD16" s="175"/>
      <c r="AE16" s="175"/>
      <c r="AF16" s="175"/>
      <c r="AG16" s="175"/>
      <c r="AH16" s="175"/>
      <c r="AI16" s="175"/>
      <c r="AJ16" s="175"/>
      <c r="AK16" s="175"/>
      <c r="AL16" s="175"/>
      <c r="AM16" s="175"/>
      <c r="AN16" s="175"/>
      <c r="AO16" s="175"/>
      <c r="AP16" s="175"/>
      <c r="AQ16" s="175"/>
      <c r="AR16" s="175"/>
      <c r="AS16" s="175"/>
      <c r="AT16" s="175"/>
      <c r="AU16" s="175"/>
      <c r="AV16" s="175"/>
      <c r="AW16" s="175"/>
      <c r="AX16" s="175"/>
      <c r="AY16" s="175"/>
      <c r="AZ16" s="170"/>
      <c r="BA16" s="170"/>
      <c r="BB16" s="170"/>
      <c r="BC16" s="170"/>
      <c r="BD16" s="170"/>
      <c r="BE16" s="170"/>
      <c r="BF16" s="170"/>
      <c r="BG16" s="170"/>
      <c r="BH16" s="170"/>
      <c r="BI16" s="170"/>
      <c r="BJ16" s="170"/>
      <c r="BK16" s="170"/>
      <c r="BL16" s="170"/>
      <c r="BM16" s="170"/>
      <c r="BN16" s="170"/>
      <c r="BO16" s="170"/>
      <c r="BP16" s="170"/>
      <c r="BQ16" s="170"/>
      <c r="BR16" s="170"/>
    </row>
    <row r="17" spans="1:85" ht="14.25" customHeight="1" x14ac:dyDescent="0.25">
      <c r="A17" s="170"/>
      <c r="B17" s="170"/>
      <c r="C17" s="170"/>
      <c r="D17" s="170"/>
      <c r="E17" s="170"/>
      <c r="F17" s="170"/>
      <c r="G17" s="170"/>
      <c r="H17" s="170"/>
      <c r="I17" s="170"/>
      <c r="J17" s="170"/>
      <c r="K17" s="170"/>
      <c r="L17" s="170"/>
      <c r="M17" s="170"/>
      <c r="N17" s="170"/>
      <c r="O17" s="170"/>
      <c r="P17" s="170"/>
      <c r="Q17" s="170"/>
      <c r="R17" s="175"/>
      <c r="S17" s="175"/>
      <c r="T17" s="175"/>
      <c r="U17" s="175"/>
      <c r="V17" s="175"/>
      <c r="W17" s="175"/>
      <c r="X17" s="175"/>
      <c r="Y17" s="175"/>
      <c r="Z17" s="175"/>
      <c r="AA17" s="175"/>
      <c r="AB17" s="175"/>
      <c r="AC17" s="175"/>
      <c r="AD17" s="175"/>
      <c r="AE17" s="175"/>
      <c r="AF17" s="175"/>
      <c r="AG17" s="175"/>
      <c r="AH17" s="175"/>
      <c r="AI17" s="175"/>
      <c r="AJ17" s="175"/>
      <c r="AK17" s="175"/>
      <c r="AL17" s="175"/>
      <c r="AM17" s="175"/>
      <c r="AN17" s="175"/>
      <c r="AO17" s="175"/>
      <c r="AP17" s="175"/>
      <c r="AQ17" s="175"/>
      <c r="AR17" s="175"/>
      <c r="AS17" s="175"/>
      <c r="AT17" s="175"/>
      <c r="AU17" s="175"/>
      <c r="AV17" s="175"/>
      <c r="AW17" s="175"/>
      <c r="AX17" s="175"/>
      <c r="AY17" s="175"/>
      <c r="AZ17" s="170"/>
      <c r="BA17" s="170"/>
      <c r="BB17" s="170"/>
      <c r="BC17" s="170"/>
      <c r="BD17" s="170"/>
      <c r="BE17" s="170"/>
      <c r="BF17" s="170"/>
      <c r="BG17" s="170"/>
      <c r="BH17" s="170"/>
      <c r="BI17" s="170"/>
      <c r="BJ17" s="170"/>
      <c r="BK17" s="170"/>
      <c r="BL17" s="170"/>
      <c r="BM17" s="170"/>
      <c r="BN17" s="170"/>
      <c r="BO17" s="170"/>
      <c r="BP17" s="170"/>
      <c r="BQ17" s="170"/>
      <c r="BR17" s="170"/>
    </row>
    <row r="18" spans="1:85" ht="14.25" customHeight="1" x14ac:dyDescent="0.25">
      <c r="A18" s="170"/>
      <c r="B18" s="170"/>
      <c r="C18" s="170"/>
      <c r="D18" s="170"/>
      <c r="E18" s="170"/>
      <c r="F18" s="170"/>
      <c r="G18" s="170"/>
      <c r="H18" s="170"/>
      <c r="I18" s="170"/>
      <c r="J18" s="170"/>
      <c r="K18" s="170"/>
      <c r="L18" s="170"/>
      <c r="M18" s="170"/>
      <c r="N18" s="170"/>
      <c r="O18" s="170"/>
      <c r="P18" s="170"/>
      <c r="Q18" s="170"/>
      <c r="R18" s="175"/>
      <c r="S18" s="175"/>
      <c r="T18" s="175"/>
      <c r="U18" s="175"/>
      <c r="V18" s="175"/>
      <c r="W18" s="175"/>
      <c r="X18" s="175"/>
      <c r="Y18" s="175"/>
      <c r="Z18" s="175"/>
      <c r="AA18" s="175"/>
      <c r="AB18" s="175"/>
      <c r="AC18" s="175"/>
      <c r="AD18" s="175"/>
      <c r="AE18" s="175"/>
      <c r="AF18" s="175"/>
      <c r="AG18" s="175"/>
      <c r="AH18" s="175"/>
      <c r="AI18" s="175"/>
      <c r="AJ18" s="175"/>
      <c r="AK18" s="175"/>
      <c r="AL18" s="175"/>
      <c r="AM18" s="175"/>
      <c r="AN18" s="175"/>
      <c r="AO18" s="175"/>
      <c r="AP18" s="175"/>
      <c r="AQ18" s="175"/>
      <c r="AR18" s="175"/>
      <c r="AS18" s="175"/>
      <c r="AT18" s="175"/>
      <c r="AU18" s="175"/>
      <c r="AV18" s="175"/>
      <c r="AW18" s="175"/>
      <c r="AX18" s="175"/>
      <c r="AY18" s="175"/>
      <c r="AZ18" s="170"/>
      <c r="BA18" s="170"/>
      <c r="BB18" s="170"/>
      <c r="BC18" s="170"/>
      <c r="BD18" s="170"/>
      <c r="BE18" s="170"/>
      <c r="BF18" s="170"/>
      <c r="BG18" s="170"/>
      <c r="BH18" s="170"/>
      <c r="BI18" s="170"/>
      <c r="BJ18" s="170"/>
      <c r="BK18" s="170"/>
      <c r="BL18" s="170"/>
      <c r="BM18" s="170"/>
      <c r="BN18" s="170"/>
      <c r="BO18" s="170"/>
      <c r="BP18" s="170"/>
      <c r="BQ18" s="170"/>
      <c r="BR18" s="170"/>
    </row>
    <row r="19" spans="1:85" ht="14.25" customHeight="1" x14ac:dyDescent="0.25">
      <c r="A19" s="170" t="s">
        <v>60</v>
      </c>
      <c r="B19" s="170"/>
      <c r="C19" s="170"/>
      <c r="D19" s="170"/>
      <c r="E19" s="170"/>
      <c r="F19" s="170"/>
      <c r="G19" s="170"/>
      <c r="H19" s="170"/>
      <c r="I19" s="170"/>
      <c r="J19" s="170"/>
      <c r="K19" s="170"/>
      <c r="L19" s="170"/>
      <c r="M19" s="170"/>
      <c r="N19" s="170"/>
      <c r="O19" s="170"/>
      <c r="P19" s="170"/>
      <c r="Q19" s="170"/>
      <c r="R19" s="170" t="s">
        <v>253</v>
      </c>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t="s">
        <v>235</v>
      </c>
      <c r="BA19" s="170"/>
      <c r="BB19" s="170"/>
      <c r="BC19" s="170"/>
      <c r="BD19" s="170"/>
      <c r="BE19" s="170"/>
      <c r="BF19" s="170"/>
      <c r="BG19" s="170"/>
      <c r="BH19" s="170"/>
      <c r="BI19" s="170"/>
      <c r="BJ19" s="170"/>
      <c r="BK19" s="170"/>
      <c r="BL19" s="170"/>
      <c r="BM19" s="170"/>
      <c r="BN19" s="170"/>
      <c r="BO19" s="170"/>
      <c r="BP19" s="170"/>
      <c r="BQ19" s="170"/>
      <c r="BR19" s="170"/>
    </row>
    <row r="20" spans="1:85" ht="14.25" customHeight="1" x14ac:dyDescent="0.25">
      <c r="A20" s="170"/>
      <c r="B20" s="170"/>
      <c r="C20" s="170"/>
      <c r="D20" s="170"/>
      <c r="E20" s="170"/>
      <c r="F20" s="170"/>
      <c r="G20" s="170"/>
      <c r="H20" s="170"/>
      <c r="I20" s="170"/>
      <c r="J20" s="170"/>
      <c r="K20" s="170"/>
      <c r="L20" s="170"/>
      <c r="M20" s="170"/>
      <c r="N20" s="170"/>
      <c r="O20" s="170"/>
      <c r="P20" s="170"/>
      <c r="Q20" s="170"/>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0"/>
      <c r="BD20" s="170"/>
      <c r="BE20" s="170"/>
      <c r="BF20" s="170"/>
      <c r="BG20" s="170"/>
      <c r="BH20" s="170"/>
      <c r="BI20" s="170"/>
      <c r="BJ20" s="170"/>
      <c r="BK20" s="170"/>
      <c r="BL20" s="170"/>
      <c r="BM20" s="170"/>
      <c r="BN20" s="170"/>
      <c r="BO20" s="170"/>
      <c r="BP20" s="170"/>
      <c r="BQ20" s="170"/>
      <c r="BR20" s="170"/>
    </row>
    <row r="21" spans="1:85" ht="14.25" customHeight="1" x14ac:dyDescent="0.25">
      <c r="A21" s="170"/>
      <c r="B21" s="170"/>
      <c r="C21" s="170"/>
      <c r="D21" s="170"/>
      <c r="E21" s="170"/>
      <c r="F21" s="170"/>
      <c r="G21" s="170"/>
      <c r="H21" s="170"/>
      <c r="I21" s="170"/>
      <c r="J21" s="170"/>
      <c r="K21" s="170"/>
      <c r="L21" s="170"/>
      <c r="M21" s="170"/>
      <c r="N21" s="170"/>
      <c r="O21" s="170"/>
      <c r="P21" s="170"/>
      <c r="Q21" s="170"/>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0"/>
      <c r="BD21" s="170"/>
      <c r="BE21" s="170"/>
      <c r="BF21" s="170"/>
      <c r="BG21" s="170"/>
      <c r="BH21" s="170"/>
      <c r="BI21" s="170"/>
      <c r="BJ21" s="170"/>
      <c r="BK21" s="170"/>
      <c r="BL21" s="170"/>
      <c r="BM21" s="170"/>
      <c r="BN21" s="170"/>
      <c r="BO21" s="170"/>
      <c r="BP21" s="170"/>
      <c r="BQ21" s="170"/>
      <c r="BR21" s="170"/>
    </row>
    <row r="22" spans="1:85" ht="14.25" customHeight="1" x14ac:dyDescent="0.25">
      <c r="A22" s="170"/>
      <c r="B22" s="170"/>
      <c r="C22" s="170"/>
      <c r="D22" s="170"/>
      <c r="E22" s="170"/>
      <c r="F22" s="170"/>
      <c r="G22" s="170"/>
      <c r="H22" s="170"/>
      <c r="I22" s="170"/>
      <c r="J22" s="170"/>
      <c r="K22" s="170"/>
      <c r="L22" s="170"/>
      <c r="M22" s="170"/>
      <c r="N22" s="170"/>
      <c r="O22" s="170"/>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0"/>
      <c r="BD22" s="170"/>
      <c r="BE22" s="170"/>
      <c r="BF22" s="170"/>
      <c r="BG22" s="170"/>
      <c r="BH22" s="170"/>
      <c r="BI22" s="170"/>
      <c r="BJ22" s="170"/>
      <c r="BK22" s="170"/>
      <c r="BL22" s="170"/>
      <c r="BM22" s="170"/>
      <c r="BN22" s="170"/>
      <c r="BO22" s="170"/>
      <c r="BP22" s="170"/>
      <c r="BQ22" s="170"/>
      <c r="BR22" s="170"/>
    </row>
    <row r="23" spans="1:85" ht="14.25" customHeight="1" x14ac:dyDescent="0.25">
      <c r="A23" s="173" t="s">
        <v>61</v>
      </c>
      <c r="B23" s="173"/>
      <c r="C23" s="173"/>
      <c r="D23" s="173"/>
      <c r="E23" s="173"/>
      <c r="F23" s="173"/>
      <c r="G23" s="173"/>
      <c r="H23" s="173"/>
      <c r="I23" s="173"/>
      <c r="J23" s="173"/>
      <c r="K23" s="173"/>
      <c r="L23" s="173"/>
      <c r="M23" s="173"/>
      <c r="N23" s="173"/>
      <c r="O23" s="173"/>
      <c r="P23" s="173"/>
      <c r="Q23" s="173"/>
      <c r="R23" s="170" t="s">
        <v>124</v>
      </c>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2"/>
      <c r="BA23" s="172"/>
      <c r="BB23" s="172"/>
      <c r="BC23" s="172"/>
      <c r="BD23" s="172"/>
      <c r="BE23" s="172"/>
      <c r="BF23" s="172"/>
      <c r="BG23" s="172"/>
      <c r="BH23" s="172"/>
      <c r="BI23" s="172"/>
      <c r="BJ23" s="172"/>
      <c r="BK23" s="172"/>
      <c r="BL23" s="172"/>
      <c r="BM23" s="172"/>
      <c r="BN23" s="172"/>
      <c r="BO23" s="172"/>
      <c r="BP23" s="172"/>
      <c r="BQ23" s="172"/>
      <c r="BR23" s="172"/>
    </row>
    <row r="24" spans="1:85" ht="14.25" customHeight="1" x14ac:dyDescent="0.25">
      <c r="A24" s="173"/>
      <c r="B24" s="173"/>
      <c r="C24" s="173"/>
      <c r="D24" s="173"/>
      <c r="E24" s="173"/>
      <c r="F24" s="173"/>
      <c r="G24" s="173"/>
      <c r="H24" s="173"/>
      <c r="I24" s="173"/>
      <c r="J24" s="173"/>
      <c r="K24" s="173"/>
      <c r="L24" s="173"/>
      <c r="M24" s="173"/>
      <c r="N24" s="173"/>
      <c r="O24" s="173"/>
      <c r="P24" s="173"/>
      <c r="Q24" s="173"/>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2"/>
      <c r="BA24" s="172"/>
      <c r="BB24" s="172"/>
      <c r="BC24" s="172"/>
      <c r="BD24" s="172"/>
      <c r="BE24" s="172"/>
      <c r="BF24" s="172"/>
      <c r="BG24" s="172"/>
      <c r="BH24" s="172"/>
      <c r="BI24" s="172"/>
      <c r="BJ24" s="172"/>
      <c r="BK24" s="172"/>
      <c r="BL24" s="172"/>
      <c r="BM24" s="172"/>
      <c r="BN24" s="172"/>
      <c r="BO24" s="172"/>
      <c r="BP24" s="172"/>
      <c r="BQ24" s="172"/>
      <c r="BR24" s="172"/>
    </row>
    <row r="25" spans="1:85" ht="14.25" customHeight="1" x14ac:dyDescent="0.25">
      <c r="A25" s="173"/>
      <c r="B25" s="173"/>
      <c r="C25" s="173"/>
      <c r="D25" s="173"/>
      <c r="E25" s="173"/>
      <c r="F25" s="173"/>
      <c r="G25" s="173"/>
      <c r="H25" s="173"/>
      <c r="I25" s="173"/>
      <c r="J25" s="173"/>
      <c r="K25" s="173"/>
      <c r="L25" s="173"/>
      <c r="M25" s="173"/>
      <c r="N25" s="173"/>
      <c r="O25" s="173"/>
      <c r="P25" s="173"/>
      <c r="Q25" s="173"/>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2"/>
      <c r="BA25" s="172"/>
      <c r="BB25" s="172"/>
      <c r="BC25" s="172"/>
      <c r="BD25" s="172"/>
      <c r="BE25" s="172"/>
      <c r="BF25" s="172"/>
      <c r="BG25" s="172"/>
      <c r="BH25" s="172"/>
      <c r="BI25" s="172"/>
      <c r="BJ25" s="172"/>
      <c r="BK25" s="172"/>
      <c r="BL25" s="172"/>
      <c r="BM25" s="172"/>
      <c r="BN25" s="172"/>
      <c r="BO25" s="172"/>
      <c r="BP25" s="172"/>
      <c r="BQ25" s="172"/>
      <c r="BR25" s="172"/>
    </row>
    <row r="26" spans="1:85" ht="14.25" customHeight="1" x14ac:dyDescent="0.25">
      <c r="A26" s="173"/>
      <c r="B26" s="173"/>
      <c r="C26" s="173"/>
      <c r="D26" s="173"/>
      <c r="E26" s="173"/>
      <c r="F26" s="173"/>
      <c r="G26" s="173"/>
      <c r="H26" s="173"/>
      <c r="I26" s="173"/>
      <c r="J26" s="173"/>
      <c r="K26" s="173"/>
      <c r="L26" s="173"/>
      <c r="M26" s="173"/>
      <c r="N26" s="173"/>
      <c r="O26" s="173"/>
      <c r="P26" s="173"/>
      <c r="Q26" s="173"/>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2"/>
      <c r="BA26" s="172"/>
      <c r="BB26" s="172"/>
      <c r="BC26" s="172"/>
      <c r="BD26" s="172"/>
      <c r="BE26" s="172"/>
      <c r="BF26" s="172"/>
      <c r="BG26" s="172"/>
      <c r="BH26" s="172"/>
      <c r="BI26" s="172"/>
      <c r="BJ26" s="172"/>
      <c r="BK26" s="172"/>
      <c r="BL26" s="172"/>
      <c r="BM26" s="172"/>
      <c r="BN26" s="172"/>
      <c r="BO26" s="172"/>
      <c r="BP26" s="172"/>
      <c r="BQ26" s="172"/>
      <c r="BR26" s="172"/>
    </row>
    <row r="27" spans="1:85" ht="14.25" customHeight="1" x14ac:dyDescent="0.25">
      <c r="A27" s="76"/>
      <c r="B27" s="76"/>
      <c r="C27" s="76"/>
      <c r="D27" s="76"/>
      <c r="E27" s="76"/>
      <c r="F27" s="76"/>
      <c r="G27" s="76"/>
      <c r="H27" s="76"/>
      <c r="I27" s="76"/>
      <c r="J27" s="76"/>
      <c r="K27" s="76"/>
      <c r="L27" s="76"/>
      <c r="M27" s="76"/>
      <c r="N27" s="76"/>
      <c r="O27" s="76"/>
      <c r="P27" s="76"/>
      <c r="Q27" s="76"/>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5"/>
      <c r="BA27" s="75"/>
      <c r="BB27" s="75"/>
      <c r="BC27" s="75"/>
      <c r="BD27" s="75"/>
      <c r="BE27" s="75"/>
      <c r="BF27" s="75"/>
      <c r="BG27" s="75"/>
      <c r="BH27" s="75"/>
      <c r="BI27" s="75"/>
      <c r="BJ27" s="75"/>
      <c r="BK27" s="75"/>
      <c r="BL27" s="75"/>
      <c r="BM27" s="75"/>
      <c r="BN27" s="75"/>
      <c r="BO27" s="75"/>
      <c r="BP27" s="75"/>
      <c r="BQ27" s="75"/>
      <c r="BR27" s="75"/>
    </row>
    <row r="28" spans="1:85" ht="14.25" customHeight="1" x14ac:dyDescent="0.25">
      <c r="A28" s="75"/>
      <c r="B28" s="3"/>
      <c r="C28" s="3"/>
      <c r="D28" s="75"/>
      <c r="E28" s="75"/>
      <c r="F28" s="75"/>
      <c r="G28" s="75"/>
      <c r="H28" s="75"/>
      <c r="I28" s="75"/>
      <c r="J28" s="75"/>
      <c r="K28" s="75"/>
      <c r="L28" s="75"/>
      <c r="M28" s="75"/>
      <c r="N28" s="75"/>
      <c r="O28" s="75"/>
      <c r="P28" s="75"/>
      <c r="Q28" s="75"/>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5"/>
      <c r="BA28" s="75"/>
      <c r="BB28" s="75"/>
      <c r="BC28" s="75"/>
      <c r="BD28" s="75"/>
      <c r="BE28" s="75"/>
      <c r="BF28" s="75"/>
      <c r="BG28" s="75"/>
      <c r="BH28" s="75"/>
      <c r="BI28" s="75"/>
      <c r="BJ28" s="75"/>
      <c r="BK28" s="75"/>
      <c r="BL28" s="75"/>
      <c r="BM28" s="75"/>
      <c r="BN28" s="75"/>
      <c r="BO28" s="75"/>
      <c r="BP28" s="75"/>
      <c r="BQ28" s="75"/>
      <c r="BR28" s="75"/>
    </row>
    <row r="29" spans="1:85" ht="14.25" customHeight="1" x14ac:dyDescent="0.25">
      <c r="A29" s="153" t="s">
        <v>65</v>
      </c>
      <c r="B29" s="153"/>
      <c r="C29" s="153"/>
      <c r="D29" s="153"/>
      <c r="E29" s="153"/>
      <c r="F29" s="153"/>
      <c r="G29" s="153"/>
      <c r="H29" s="153"/>
      <c r="I29" s="153"/>
      <c r="J29" s="153"/>
      <c r="K29" s="153"/>
      <c r="L29" s="153"/>
      <c r="M29" s="153"/>
      <c r="N29" s="153"/>
      <c r="O29" s="153"/>
      <c r="P29" s="153"/>
      <c r="Q29" s="153"/>
      <c r="R29" s="153"/>
      <c r="S29" s="153"/>
      <c r="T29" s="153"/>
      <c r="U29" s="153"/>
      <c r="V29" s="153"/>
      <c r="W29" s="153"/>
      <c r="X29" s="153"/>
      <c r="Y29" s="153"/>
      <c r="Z29" s="153"/>
      <c r="AA29" s="153"/>
      <c r="AB29" s="153"/>
      <c r="AC29" s="153"/>
      <c r="AD29" s="153"/>
      <c r="AE29" s="153"/>
      <c r="AF29" s="153"/>
      <c r="AG29" s="153"/>
      <c r="AH29" s="153"/>
      <c r="AI29" s="153"/>
      <c r="AJ29" s="153"/>
      <c r="AK29" s="153"/>
      <c r="AL29" s="153"/>
      <c r="AM29" s="153"/>
      <c r="AN29" s="153"/>
      <c r="AO29" s="153"/>
      <c r="AP29" s="153"/>
      <c r="AQ29" s="153"/>
      <c r="AR29" s="153"/>
      <c r="AS29" s="153"/>
      <c r="AT29" s="153"/>
      <c r="AU29" s="153"/>
      <c r="AV29" s="153"/>
      <c r="AW29" s="153"/>
      <c r="AX29" s="153"/>
      <c r="AY29" s="153"/>
      <c r="AZ29" s="153"/>
      <c r="BA29" s="153"/>
      <c r="BB29" s="153"/>
      <c r="BC29" s="153"/>
      <c r="BD29" s="153"/>
      <c r="BE29" s="153"/>
      <c r="BF29" s="153"/>
      <c r="BG29" s="153"/>
      <c r="BH29" s="153"/>
      <c r="BI29" s="153"/>
      <c r="BJ29" s="153"/>
      <c r="BK29" s="153"/>
      <c r="BL29" s="153"/>
      <c r="BM29" s="153"/>
      <c r="BN29" s="153"/>
      <c r="BO29" s="153"/>
      <c r="BP29" s="153"/>
      <c r="BQ29" s="153"/>
      <c r="BR29" s="153"/>
    </row>
    <row r="30" spans="1:85" ht="14.25" customHeight="1" x14ac:dyDescent="0.25">
      <c r="A30" s="154"/>
      <c r="B30" s="154"/>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c r="AA30" s="154"/>
      <c r="AB30" s="154"/>
      <c r="AC30" s="154"/>
      <c r="AD30" s="154"/>
      <c r="AE30" s="154"/>
      <c r="AF30" s="154"/>
      <c r="AG30" s="154"/>
      <c r="AH30" s="154"/>
      <c r="AI30" s="154"/>
      <c r="AJ30" s="154"/>
      <c r="AK30" s="154"/>
      <c r="AL30" s="154"/>
      <c r="AM30" s="154"/>
      <c r="AN30" s="154"/>
      <c r="AO30" s="154"/>
      <c r="AP30" s="154"/>
      <c r="AQ30" s="154"/>
      <c r="AR30" s="154"/>
      <c r="AS30" s="154"/>
      <c r="AT30" s="154"/>
      <c r="AU30" s="154"/>
      <c r="AV30" s="154"/>
      <c r="AW30" s="154"/>
      <c r="AX30" s="154"/>
      <c r="AY30" s="154"/>
      <c r="AZ30" s="154"/>
      <c r="BA30" s="154"/>
      <c r="BB30" s="154"/>
      <c r="BC30" s="154"/>
      <c r="BD30" s="154"/>
      <c r="BE30" s="154"/>
      <c r="BF30" s="154"/>
      <c r="BG30" s="154"/>
      <c r="BH30" s="154"/>
      <c r="BI30" s="154"/>
      <c r="BJ30" s="154"/>
      <c r="BK30" s="154"/>
      <c r="BL30" s="154"/>
      <c r="BM30" s="154"/>
      <c r="BN30" s="154"/>
      <c r="BO30" s="154"/>
      <c r="BP30" s="154"/>
      <c r="BQ30" s="154"/>
      <c r="BR30" s="154"/>
    </row>
    <row r="31" spans="1:85" ht="14.25" customHeight="1" x14ac:dyDescent="0.25">
      <c r="A31" s="134" t="s">
        <v>86</v>
      </c>
      <c r="B31" s="134"/>
      <c r="C31" s="106" t="s">
        <v>85</v>
      </c>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6"/>
      <c r="BA31" s="106"/>
      <c r="BB31" s="106"/>
      <c r="BC31" s="236" t="s">
        <v>87</v>
      </c>
      <c r="BD31" s="210"/>
      <c r="BE31" s="233" t="s">
        <v>95</v>
      </c>
      <c r="BF31" s="234"/>
      <c r="BG31" s="234"/>
      <c r="BH31" s="234"/>
      <c r="BI31" s="234"/>
      <c r="BJ31" s="234"/>
      <c r="BK31" s="234"/>
      <c r="BL31" s="235"/>
      <c r="BM31" s="236" t="s">
        <v>92</v>
      </c>
      <c r="BN31" s="210"/>
      <c r="BO31" s="133" t="s">
        <v>93</v>
      </c>
      <c r="BP31" s="133"/>
      <c r="BQ31" s="209" t="s">
        <v>94</v>
      </c>
      <c r="BR31" s="210"/>
      <c r="BT31" s="233"/>
      <c r="BU31" s="234"/>
      <c r="BV31" s="234"/>
      <c r="BW31" s="234"/>
      <c r="BX31" s="234"/>
      <c r="BY31" s="234"/>
      <c r="BZ31" s="234"/>
      <c r="CA31" s="235"/>
      <c r="CB31" s="236"/>
      <c r="CC31" s="210"/>
      <c r="CD31" s="133"/>
      <c r="CE31" s="133"/>
      <c r="CF31" s="209"/>
      <c r="CG31" s="210"/>
    </row>
    <row r="32" spans="1:85" ht="177.75" customHeight="1" x14ac:dyDescent="0.25">
      <c r="A32" s="134"/>
      <c r="B32" s="134"/>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c r="AZ32" s="106"/>
      <c r="BA32" s="106"/>
      <c r="BB32" s="106"/>
      <c r="BC32" s="237"/>
      <c r="BD32" s="212"/>
      <c r="BE32" s="135" t="s">
        <v>88</v>
      </c>
      <c r="BF32" s="135"/>
      <c r="BG32" s="215" t="s">
        <v>89</v>
      </c>
      <c r="BH32" s="217"/>
      <c r="BI32" s="215" t="s">
        <v>90</v>
      </c>
      <c r="BJ32" s="217"/>
      <c r="BK32" s="134" t="s">
        <v>91</v>
      </c>
      <c r="BL32" s="134"/>
      <c r="BM32" s="237"/>
      <c r="BN32" s="212"/>
      <c r="BO32" s="133"/>
      <c r="BP32" s="133"/>
      <c r="BQ32" s="211"/>
      <c r="BR32" s="212"/>
      <c r="BT32" s="215"/>
      <c r="BU32" s="216"/>
      <c r="BV32" s="217"/>
      <c r="BW32" s="215"/>
      <c r="BX32" s="217"/>
      <c r="BY32" s="224"/>
      <c r="BZ32" s="225"/>
      <c r="CA32" s="226"/>
      <c r="CB32" s="237"/>
      <c r="CC32" s="212"/>
      <c r="CD32" s="133"/>
      <c r="CE32" s="133"/>
      <c r="CF32" s="211"/>
      <c r="CG32" s="212"/>
    </row>
    <row r="33" spans="1:85" ht="14.25" customHeight="1" x14ac:dyDescent="0.25">
      <c r="A33" s="134"/>
      <c r="B33" s="134"/>
      <c r="C33" s="167" t="s">
        <v>73</v>
      </c>
      <c r="D33" s="168"/>
      <c r="E33" s="168"/>
      <c r="F33" s="152"/>
      <c r="G33" s="106" t="s">
        <v>74</v>
      </c>
      <c r="H33" s="106"/>
      <c r="I33" s="106"/>
      <c r="J33" s="106"/>
      <c r="K33" s="106" t="s">
        <v>75</v>
      </c>
      <c r="L33" s="106"/>
      <c r="M33" s="106"/>
      <c r="N33" s="106"/>
      <c r="O33" s="106"/>
      <c r="P33" s="167" t="s">
        <v>76</v>
      </c>
      <c r="Q33" s="168"/>
      <c r="R33" s="168"/>
      <c r="S33" s="152"/>
      <c r="T33" s="167" t="s">
        <v>77</v>
      </c>
      <c r="U33" s="168"/>
      <c r="V33" s="168"/>
      <c r="W33" s="168"/>
      <c r="X33" s="152"/>
      <c r="Y33" s="167" t="s">
        <v>78</v>
      </c>
      <c r="Z33" s="168"/>
      <c r="AA33" s="168"/>
      <c r="AB33" s="152"/>
      <c r="AC33" s="167" t="s">
        <v>79</v>
      </c>
      <c r="AD33" s="168"/>
      <c r="AE33" s="168"/>
      <c r="AF33" s="152"/>
      <c r="AG33" s="167" t="s">
        <v>80</v>
      </c>
      <c r="AH33" s="168"/>
      <c r="AI33" s="168"/>
      <c r="AJ33" s="152"/>
      <c r="AK33" s="167" t="s">
        <v>81</v>
      </c>
      <c r="AL33" s="168"/>
      <c r="AM33" s="168"/>
      <c r="AN33" s="168"/>
      <c r="AO33" s="152"/>
      <c r="AP33" s="167" t="s">
        <v>82</v>
      </c>
      <c r="AQ33" s="168"/>
      <c r="AR33" s="168"/>
      <c r="AS33" s="152"/>
      <c r="AT33" s="167" t="s">
        <v>83</v>
      </c>
      <c r="AU33" s="168"/>
      <c r="AV33" s="168"/>
      <c r="AW33" s="168"/>
      <c r="AX33" s="152"/>
      <c r="AY33" s="167" t="s">
        <v>84</v>
      </c>
      <c r="AZ33" s="168"/>
      <c r="BA33" s="168"/>
      <c r="BB33" s="152"/>
      <c r="BC33" s="237"/>
      <c r="BD33" s="212"/>
      <c r="BE33" s="135"/>
      <c r="BF33" s="135"/>
      <c r="BG33" s="218"/>
      <c r="BH33" s="220"/>
      <c r="BI33" s="218"/>
      <c r="BJ33" s="220"/>
      <c r="BK33" s="134"/>
      <c r="BL33" s="134"/>
      <c r="BM33" s="237"/>
      <c r="BN33" s="212"/>
      <c r="BO33" s="133"/>
      <c r="BP33" s="133"/>
      <c r="BQ33" s="211"/>
      <c r="BR33" s="212"/>
      <c r="BT33" s="218"/>
      <c r="BU33" s="219"/>
      <c r="BV33" s="220"/>
      <c r="BW33" s="218"/>
      <c r="BX33" s="220"/>
      <c r="BY33" s="227"/>
      <c r="BZ33" s="228"/>
      <c r="CA33" s="229"/>
      <c r="CB33" s="237"/>
      <c r="CC33" s="212"/>
      <c r="CD33" s="133"/>
      <c r="CE33" s="133"/>
      <c r="CF33" s="211"/>
      <c r="CG33" s="212"/>
    </row>
    <row r="34" spans="1:85" ht="14.25" customHeight="1" x14ac:dyDescent="0.25">
      <c r="A34" s="134"/>
      <c r="B34" s="134"/>
      <c r="C34" s="72">
        <v>1</v>
      </c>
      <c r="D34" s="72">
        <v>2</v>
      </c>
      <c r="E34" s="72">
        <v>3</v>
      </c>
      <c r="F34" s="72">
        <v>4</v>
      </c>
      <c r="G34" s="72">
        <v>5</v>
      </c>
      <c r="H34" s="72">
        <v>6</v>
      </c>
      <c r="I34" s="72">
        <v>7</v>
      </c>
      <c r="J34" s="72">
        <v>8</v>
      </c>
      <c r="K34" s="72">
        <v>9</v>
      </c>
      <c r="L34" s="72">
        <v>10</v>
      </c>
      <c r="M34" s="72">
        <v>11</v>
      </c>
      <c r="N34" s="72">
        <v>12</v>
      </c>
      <c r="O34" s="72">
        <v>13</v>
      </c>
      <c r="P34" s="72">
        <v>14</v>
      </c>
      <c r="Q34" s="72">
        <v>15</v>
      </c>
      <c r="R34" s="72">
        <v>16</v>
      </c>
      <c r="S34" s="72">
        <v>17</v>
      </c>
      <c r="T34" s="72">
        <v>18</v>
      </c>
      <c r="U34" s="72">
        <v>19</v>
      </c>
      <c r="V34" s="72">
        <v>20</v>
      </c>
      <c r="W34" s="72">
        <v>21</v>
      </c>
      <c r="X34" s="72">
        <v>22</v>
      </c>
      <c r="Y34" s="72">
        <v>23</v>
      </c>
      <c r="Z34" s="72">
        <v>24</v>
      </c>
      <c r="AA34" s="72">
        <v>25</v>
      </c>
      <c r="AB34" s="72">
        <v>26</v>
      </c>
      <c r="AC34" s="72">
        <v>27</v>
      </c>
      <c r="AD34" s="72">
        <v>28</v>
      </c>
      <c r="AE34" s="72">
        <v>29</v>
      </c>
      <c r="AF34" s="72">
        <v>30</v>
      </c>
      <c r="AG34" s="72">
        <v>31</v>
      </c>
      <c r="AH34" s="72">
        <v>32</v>
      </c>
      <c r="AI34" s="72">
        <v>33</v>
      </c>
      <c r="AJ34" s="72">
        <v>34</v>
      </c>
      <c r="AK34" s="72">
        <v>35</v>
      </c>
      <c r="AL34" s="72">
        <v>36</v>
      </c>
      <c r="AM34" s="72">
        <v>37</v>
      </c>
      <c r="AN34" s="72">
        <v>38</v>
      </c>
      <c r="AO34" s="72">
        <v>39</v>
      </c>
      <c r="AP34" s="72">
        <v>40</v>
      </c>
      <c r="AQ34" s="72">
        <v>41</v>
      </c>
      <c r="AR34" s="72">
        <v>42</v>
      </c>
      <c r="AS34" s="72">
        <v>43</v>
      </c>
      <c r="AT34" s="72">
        <v>44</v>
      </c>
      <c r="AU34" s="72">
        <v>45</v>
      </c>
      <c r="AV34" s="72">
        <v>46</v>
      </c>
      <c r="AW34" s="72">
        <v>47</v>
      </c>
      <c r="AX34" s="72">
        <v>48</v>
      </c>
      <c r="AY34" s="72">
        <v>49</v>
      </c>
      <c r="AZ34" s="72">
        <v>50</v>
      </c>
      <c r="BA34" s="72">
        <v>51</v>
      </c>
      <c r="BB34" s="72">
        <v>52</v>
      </c>
      <c r="BC34" s="238"/>
      <c r="BD34" s="214"/>
      <c r="BE34" s="135"/>
      <c r="BF34" s="135"/>
      <c r="BG34" s="221"/>
      <c r="BH34" s="223"/>
      <c r="BI34" s="221"/>
      <c r="BJ34" s="223"/>
      <c r="BK34" s="134"/>
      <c r="BL34" s="134"/>
      <c r="BM34" s="238"/>
      <c r="BN34" s="214"/>
      <c r="BO34" s="133"/>
      <c r="BP34" s="133"/>
      <c r="BQ34" s="213"/>
      <c r="BR34" s="214"/>
      <c r="BT34" s="221"/>
      <c r="BU34" s="222"/>
      <c r="BV34" s="223"/>
      <c r="BW34" s="221"/>
      <c r="BX34" s="223"/>
      <c r="BY34" s="230"/>
      <c r="BZ34" s="231"/>
      <c r="CA34" s="232"/>
      <c r="CB34" s="238"/>
      <c r="CC34" s="214"/>
      <c r="CD34" s="133"/>
      <c r="CE34" s="133"/>
      <c r="CF34" s="213"/>
      <c r="CG34" s="214"/>
    </row>
    <row r="35" spans="1:85" ht="14.25" customHeight="1" x14ac:dyDescent="0.25">
      <c r="A35" s="106" t="s">
        <v>0</v>
      </c>
      <c r="B35" s="106"/>
      <c r="C35" s="72" t="s">
        <v>106</v>
      </c>
      <c r="D35" s="72"/>
      <c r="E35" s="72"/>
      <c r="F35" s="72"/>
      <c r="G35" s="72"/>
      <c r="H35" s="72"/>
      <c r="I35" s="72"/>
      <c r="J35" s="72"/>
      <c r="K35" s="72"/>
      <c r="L35" s="72"/>
      <c r="M35" s="72"/>
      <c r="N35" s="72"/>
      <c r="O35" s="72"/>
      <c r="P35" s="72"/>
      <c r="Q35" s="72"/>
      <c r="R35" s="72"/>
      <c r="S35" s="72" t="s">
        <v>2</v>
      </c>
      <c r="T35" s="72" t="s">
        <v>2</v>
      </c>
      <c r="U35" s="72" t="s">
        <v>1</v>
      </c>
      <c r="V35" s="72" t="s">
        <v>1</v>
      </c>
      <c r="W35" s="72" t="s">
        <v>106</v>
      </c>
      <c r="X35" s="72" t="s">
        <v>0</v>
      </c>
      <c r="Y35" s="72" t="s">
        <v>0</v>
      </c>
      <c r="Z35" s="72" t="s">
        <v>0</v>
      </c>
      <c r="AA35" s="72" t="s">
        <v>0</v>
      </c>
      <c r="AB35" s="72" t="s">
        <v>0</v>
      </c>
      <c r="AC35" s="72"/>
      <c r="AD35" s="72"/>
      <c r="AE35" s="72"/>
      <c r="AF35" s="72"/>
      <c r="AG35" s="72"/>
      <c r="AH35" s="72"/>
      <c r="AI35" s="72"/>
      <c r="AJ35" s="72"/>
      <c r="AK35" s="72"/>
      <c r="AL35" s="72"/>
      <c r="AM35" s="72"/>
      <c r="AN35" s="72"/>
      <c r="AO35" s="72"/>
      <c r="AP35" s="72"/>
      <c r="AQ35" s="72"/>
      <c r="AR35" s="72" t="s">
        <v>1</v>
      </c>
      <c r="AS35" s="72" t="s">
        <v>1</v>
      </c>
      <c r="AT35" s="72" t="s">
        <v>2</v>
      </c>
      <c r="AU35" s="72" t="s">
        <v>2</v>
      </c>
      <c r="AV35" s="72" t="s">
        <v>2</v>
      </c>
      <c r="AW35" s="72" t="s">
        <v>2</v>
      </c>
      <c r="AX35" s="72" t="s">
        <v>2</v>
      </c>
      <c r="AY35" s="72" t="s">
        <v>2</v>
      </c>
      <c r="AZ35" s="72" t="s">
        <v>2</v>
      </c>
      <c r="BA35" s="72" t="s">
        <v>2</v>
      </c>
      <c r="BB35" s="72" t="s">
        <v>2</v>
      </c>
      <c r="BC35" s="167">
        <f>SUM(BE35:BN35)</f>
        <v>41</v>
      </c>
      <c r="BD35" s="152"/>
      <c r="BE35" s="106">
        <v>30</v>
      </c>
      <c r="BF35" s="106"/>
      <c r="BG35" s="167">
        <v>5</v>
      </c>
      <c r="BH35" s="152"/>
      <c r="BI35" s="167"/>
      <c r="BJ35" s="152"/>
      <c r="BK35" s="168">
        <v>4</v>
      </c>
      <c r="BL35" s="152"/>
      <c r="BM35" s="167">
        <v>2</v>
      </c>
      <c r="BN35" s="152"/>
      <c r="BO35" s="167">
        <v>11</v>
      </c>
      <c r="BP35" s="152"/>
      <c r="BQ35" s="106">
        <f>BO35+BC35</f>
        <v>52</v>
      </c>
      <c r="BR35" s="106"/>
    </row>
    <row r="36" spans="1:85" ht="14.25" customHeight="1" x14ac:dyDescent="0.25">
      <c r="A36" s="106" t="s">
        <v>3</v>
      </c>
      <c r="B36" s="106"/>
      <c r="C36" s="72" t="s">
        <v>106</v>
      </c>
      <c r="D36" s="72"/>
      <c r="E36" s="72"/>
      <c r="F36" s="72"/>
      <c r="G36" s="72"/>
      <c r="H36" s="72"/>
      <c r="I36" s="72"/>
      <c r="J36" s="72"/>
      <c r="K36" s="72"/>
      <c r="L36" s="72"/>
      <c r="M36" s="72"/>
      <c r="N36" s="72"/>
      <c r="O36" s="72"/>
      <c r="P36" s="72"/>
      <c r="Q36" s="72"/>
      <c r="R36" s="72"/>
      <c r="S36" s="72" t="s">
        <v>2</v>
      </c>
      <c r="T36" s="72" t="s">
        <v>2</v>
      </c>
      <c r="U36" s="72" t="s">
        <v>1</v>
      </c>
      <c r="V36" s="72" t="s">
        <v>1</v>
      </c>
      <c r="W36" s="72" t="s">
        <v>106</v>
      </c>
      <c r="X36" s="72" t="s">
        <v>22</v>
      </c>
      <c r="Y36" s="72" t="s">
        <v>22</v>
      </c>
      <c r="Z36" s="72" t="s">
        <v>22</v>
      </c>
      <c r="AA36" s="72" t="s">
        <v>22</v>
      </c>
      <c r="AB36" s="72" t="s">
        <v>22</v>
      </c>
      <c r="AC36" s="72"/>
      <c r="AD36" s="72"/>
      <c r="AE36" s="72"/>
      <c r="AF36" s="72"/>
      <c r="AG36" s="72"/>
      <c r="AH36" s="72"/>
      <c r="AI36" s="72"/>
      <c r="AJ36" s="72"/>
      <c r="AK36" s="72"/>
      <c r="AL36" s="72"/>
      <c r="AM36" s="72"/>
      <c r="AN36" s="72"/>
      <c r="AO36" s="72"/>
      <c r="AP36" s="72"/>
      <c r="AQ36" s="72"/>
      <c r="AR36" s="72" t="s">
        <v>1</v>
      </c>
      <c r="AS36" s="72" t="s">
        <v>102</v>
      </c>
      <c r="AT36" s="72" t="s">
        <v>2</v>
      </c>
      <c r="AU36" s="72" t="s">
        <v>2</v>
      </c>
      <c r="AV36" s="72" t="s">
        <v>2</v>
      </c>
      <c r="AW36" s="72" t="s">
        <v>2</v>
      </c>
      <c r="AX36" s="72" t="s">
        <v>2</v>
      </c>
      <c r="AY36" s="72"/>
      <c r="AZ36" s="72"/>
      <c r="BA36" s="72"/>
      <c r="BB36" s="72"/>
      <c r="BC36" s="167">
        <f>SUM(BE36:BN36)</f>
        <v>41</v>
      </c>
      <c r="BD36" s="152"/>
      <c r="BE36" s="106">
        <v>30</v>
      </c>
      <c r="BF36" s="106"/>
      <c r="BG36" s="167"/>
      <c r="BH36" s="152"/>
      <c r="BI36" s="167">
        <v>5</v>
      </c>
      <c r="BJ36" s="152"/>
      <c r="BK36" s="168">
        <v>4</v>
      </c>
      <c r="BL36" s="152"/>
      <c r="BM36" s="167">
        <v>2</v>
      </c>
      <c r="BN36" s="152"/>
      <c r="BO36" s="167">
        <v>7</v>
      </c>
      <c r="BP36" s="152"/>
      <c r="BQ36" s="106">
        <f>BO36+BC36</f>
        <v>48</v>
      </c>
      <c r="BR36" s="106"/>
    </row>
    <row r="37" spans="1:85" ht="14.25" customHeight="1" x14ac:dyDescent="0.25">
      <c r="A37" s="169" t="s">
        <v>4</v>
      </c>
      <c r="B37" s="169"/>
      <c r="C37" s="169"/>
      <c r="D37" s="169"/>
      <c r="E37" s="169"/>
      <c r="F37" s="169"/>
      <c r="G37" s="169"/>
      <c r="H37" s="169"/>
      <c r="I37" s="169"/>
      <c r="J37" s="169"/>
      <c r="K37" s="169"/>
      <c r="L37" s="169"/>
      <c r="M37" s="169"/>
      <c r="N37" s="169"/>
      <c r="O37" s="169"/>
      <c r="P37" s="169"/>
      <c r="Q37" s="169"/>
      <c r="R37" s="169"/>
      <c r="S37" s="169"/>
      <c r="T37" s="169"/>
      <c r="U37" s="169"/>
      <c r="V37" s="169"/>
      <c r="W37" s="169"/>
      <c r="X37" s="169"/>
      <c r="Y37" s="169"/>
      <c r="Z37" s="169"/>
      <c r="AA37" s="169"/>
      <c r="AB37" s="169"/>
      <c r="AC37" s="169"/>
      <c r="AD37" s="169"/>
      <c r="AE37" s="169"/>
      <c r="AF37" s="169"/>
      <c r="AG37" s="169"/>
      <c r="AH37" s="169"/>
      <c r="AI37" s="169"/>
      <c r="AJ37" s="169"/>
      <c r="AK37" s="169"/>
      <c r="AL37" s="169"/>
      <c r="AM37" s="169"/>
      <c r="AN37" s="169"/>
      <c r="AO37" s="169"/>
      <c r="AP37" s="169"/>
      <c r="AQ37" s="169"/>
      <c r="AR37" s="169"/>
      <c r="AS37" s="169"/>
      <c r="AT37" s="169"/>
      <c r="AU37" s="169"/>
      <c r="AV37" s="169"/>
      <c r="AW37" s="169"/>
      <c r="AX37" s="169"/>
      <c r="AY37" s="169"/>
      <c r="AZ37" s="169"/>
      <c r="BA37" s="169"/>
      <c r="BB37" s="169"/>
      <c r="BC37" s="167">
        <f>SUM(BC35:BD36)</f>
        <v>82</v>
      </c>
      <c r="BD37" s="152"/>
      <c r="BE37" s="106">
        <f>SUM(BE35:BF36)</f>
        <v>60</v>
      </c>
      <c r="BF37" s="106"/>
      <c r="BG37" s="106">
        <f t="shared" ref="BG37" si="0">SUM(BG35:BH36)</f>
        <v>5</v>
      </c>
      <c r="BH37" s="106"/>
      <c r="BI37" s="106">
        <f t="shared" ref="BI37" si="1">SUM(BI35:BJ36)</f>
        <v>5</v>
      </c>
      <c r="BJ37" s="106"/>
      <c r="BK37" s="106">
        <f t="shared" ref="BK37" si="2">SUM(BK35:BL36)</f>
        <v>8</v>
      </c>
      <c r="BL37" s="106"/>
      <c r="BM37" s="106">
        <f t="shared" ref="BM37" si="3">SUM(BM35:BN36)</f>
        <v>4</v>
      </c>
      <c r="BN37" s="106"/>
      <c r="BO37" s="106">
        <f t="shared" ref="BO37" si="4">SUM(BO35:BP36)</f>
        <v>18</v>
      </c>
      <c r="BP37" s="106"/>
      <c r="BQ37" s="106">
        <f>SUM(BQ35:BR36)</f>
        <v>100</v>
      </c>
      <c r="BR37" s="106"/>
    </row>
    <row r="38" spans="1:85" ht="14.25" customHeight="1" x14ac:dyDescent="0.25">
      <c r="A38" s="4"/>
      <c r="B38" s="5"/>
      <c r="C38" s="5"/>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7"/>
      <c r="AF38" s="6"/>
      <c r="AG38" s="6"/>
      <c r="AH38" s="6"/>
      <c r="AI38" s="6"/>
      <c r="AJ38" s="6"/>
      <c r="AK38" s="6"/>
      <c r="AL38" s="6"/>
      <c r="AM38" s="6"/>
      <c r="AN38" s="6"/>
      <c r="AO38" s="6"/>
      <c r="AP38" s="6"/>
      <c r="AQ38" s="8"/>
      <c r="AR38" s="6"/>
      <c r="AS38" s="6"/>
      <c r="AT38" s="6"/>
      <c r="AU38" s="6"/>
      <c r="AV38" s="8"/>
      <c r="AW38" s="6"/>
      <c r="AX38" s="6"/>
      <c r="AY38" s="6"/>
      <c r="AZ38" s="6"/>
      <c r="BA38" s="6"/>
      <c r="BB38" s="6"/>
      <c r="BC38" s="77"/>
      <c r="BD38" s="77"/>
      <c r="BE38" s="77"/>
      <c r="BF38" s="77"/>
      <c r="BG38" s="77"/>
      <c r="BH38" s="77"/>
      <c r="BI38" s="77"/>
      <c r="BJ38" s="77"/>
      <c r="BK38" s="77"/>
      <c r="BL38" s="77"/>
      <c r="BM38" s="77"/>
      <c r="BN38" s="77"/>
      <c r="BO38" s="9"/>
      <c r="BP38" s="9"/>
      <c r="BQ38" s="9"/>
      <c r="BR38" s="8"/>
    </row>
    <row r="39" spans="1:85" ht="14.25" customHeight="1" x14ac:dyDescent="0.25">
      <c r="A39" s="4"/>
      <c r="B39" s="160"/>
      <c r="C39" s="160"/>
      <c r="D39" s="161" t="s">
        <v>96</v>
      </c>
      <c r="E39" s="143"/>
      <c r="F39" s="143"/>
      <c r="G39" s="143"/>
      <c r="H39" s="143"/>
      <c r="I39" s="143"/>
      <c r="J39" s="143"/>
      <c r="K39" s="162" t="s">
        <v>102</v>
      </c>
      <c r="L39" s="162"/>
      <c r="M39" s="162"/>
      <c r="N39" s="162"/>
      <c r="O39" s="163" t="s">
        <v>97</v>
      </c>
      <c r="P39" s="163"/>
      <c r="Q39" s="163"/>
      <c r="R39" s="164"/>
      <c r="S39" s="162" t="s">
        <v>0</v>
      </c>
      <c r="T39" s="162"/>
      <c r="U39" s="162"/>
      <c r="V39" s="165" t="s">
        <v>98</v>
      </c>
      <c r="W39" s="165"/>
      <c r="X39" s="165"/>
      <c r="Y39" s="165"/>
      <c r="Z39" s="165"/>
      <c r="AA39" s="166"/>
      <c r="AB39" s="162" t="s">
        <v>103</v>
      </c>
      <c r="AC39" s="162"/>
      <c r="AD39" s="162"/>
      <c r="AE39" s="7"/>
      <c r="AF39" s="163" t="s">
        <v>99</v>
      </c>
      <c r="AG39" s="163"/>
      <c r="AH39" s="163"/>
      <c r="AI39" s="163"/>
      <c r="AJ39" s="163"/>
      <c r="AK39" s="163"/>
      <c r="AL39" s="163"/>
      <c r="AM39" s="164"/>
      <c r="AN39" s="162" t="s">
        <v>104</v>
      </c>
      <c r="AO39" s="162"/>
      <c r="AP39" s="162"/>
      <c r="AQ39" s="8"/>
      <c r="AR39" s="177" t="s">
        <v>100</v>
      </c>
      <c r="AS39" s="177"/>
      <c r="AT39" s="177"/>
      <c r="AU39" s="177"/>
      <c r="AV39" s="8"/>
      <c r="AW39" s="162" t="s">
        <v>105</v>
      </c>
      <c r="AX39" s="162"/>
      <c r="AY39" s="162"/>
      <c r="AZ39" s="177" t="s">
        <v>101</v>
      </c>
      <c r="BA39" s="177"/>
      <c r="BB39" s="177"/>
      <c r="BC39" s="177"/>
      <c r="BD39" s="138" t="s">
        <v>106</v>
      </c>
      <c r="BE39" s="138"/>
      <c r="BF39" s="138"/>
      <c r="BG39" s="138"/>
      <c r="BH39" s="139" t="s">
        <v>92</v>
      </c>
      <c r="BI39" s="139"/>
      <c r="BJ39" s="139"/>
      <c r="BK39" s="139"/>
      <c r="BL39" s="139"/>
      <c r="BM39" s="139"/>
      <c r="BN39" s="139"/>
      <c r="BO39" s="9"/>
      <c r="BP39" s="9"/>
      <c r="BQ39" s="9"/>
      <c r="BR39" s="8"/>
    </row>
    <row r="40" spans="1:85" ht="14.25" customHeight="1" x14ac:dyDescent="0.25">
      <c r="A40" s="4"/>
      <c r="B40" s="160"/>
      <c r="C40" s="160"/>
      <c r="D40" s="161"/>
      <c r="E40" s="143"/>
      <c r="F40" s="143"/>
      <c r="G40" s="143"/>
      <c r="H40" s="143"/>
      <c r="I40" s="143"/>
      <c r="J40" s="143"/>
      <c r="K40" s="162"/>
      <c r="L40" s="162"/>
      <c r="M40" s="162"/>
      <c r="N40" s="162"/>
      <c r="O40" s="163"/>
      <c r="P40" s="163"/>
      <c r="Q40" s="163"/>
      <c r="R40" s="164"/>
      <c r="S40" s="162"/>
      <c r="T40" s="162"/>
      <c r="U40" s="162"/>
      <c r="V40" s="165"/>
      <c r="W40" s="165"/>
      <c r="X40" s="165"/>
      <c r="Y40" s="165"/>
      <c r="Z40" s="165"/>
      <c r="AA40" s="166"/>
      <c r="AB40" s="162"/>
      <c r="AC40" s="162"/>
      <c r="AD40" s="162"/>
      <c r="AE40" s="7"/>
      <c r="AF40" s="163"/>
      <c r="AG40" s="163"/>
      <c r="AH40" s="163"/>
      <c r="AI40" s="163"/>
      <c r="AJ40" s="163"/>
      <c r="AK40" s="163"/>
      <c r="AL40" s="163"/>
      <c r="AM40" s="164"/>
      <c r="AN40" s="162"/>
      <c r="AO40" s="162"/>
      <c r="AP40" s="162"/>
      <c r="AQ40" s="8"/>
      <c r="AR40" s="177"/>
      <c r="AS40" s="177"/>
      <c r="AT40" s="177"/>
      <c r="AU40" s="177"/>
      <c r="AV40" s="8"/>
      <c r="AW40" s="162"/>
      <c r="AX40" s="162"/>
      <c r="AY40" s="162"/>
      <c r="AZ40" s="177"/>
      <c r="BA40" s="177"/>
      <c r="BB40" s="177"/>
      <c r="BC40" s="177"/>
      <c r="BD40" s="138"/>
      <c r="BE40" s="138"/>
      <c r="BF40" s="138"/>
      <c r="BG40" s="138"/>
      <c r="BH40" s="139"/>
      <c r="BI40" s="139"/>
      <c r="BJ40" s="139"/>
      <c r="BK40" s="139"/>
      <c r="BL40" s="139"/>
      <c r="BM40" s="139"/>
      <c r="BN40" s="139"/>
      <c r="BO40" s="9"/>
      <c r="BP40" s="9"/>
      <c r="BQ40" s="9"/>
      <c r="BR40" s="8"/>
    </row>
    <row r="41" spans="1:85" ht="14.25" customHeight="1" x14ac:dyDescent="0.25">
      <c r="A41" s="4"/>
      <c r="B41" s="160"/>
      <c r="C41" s="160"/>
      <c r="D41" s="161"/>
      <c r="E41" s="143"/>
      <c r="F41" s="143"/>
      <c r="G41" s="143"/>
      <c r="H41" s="143"/>
      <c r="I41" s="143"/>
      <c r="J41" s="143"/>
      <c r="K41" s="162"/>
      <c r="L41" s="162"/>
      <c r="M41" s="162"/>
      <c r="N41" s="162"/>
      <c r="O41" s="163"/>
      <c r="P41" s="163"/>
      <c r="Q41" s="163"/>
      <c r="R41" s="164"/>
      <c r="S41" s="162"/>
      <c r="T41" s="162"/>
      <c r="U41" s="162"/>
      <c r="V41" s="165"/>
      <c r="W41" s="165"/>
      <c r="X41" s="165"/>
      <c r="Y41" s="165"/>
      <c r="Z41" s="165"/>
      <c r="AA41" s="166"/>
      <c r="AB41" s="162"/>
      <c r="AC41" s="162"/>
      <c r="AD41" s="162"/>
      <c r="AE41" s="7"/>
      <c r="AF41" s="163"/>
      <c r="AG41" s="163"/>
      <c r="AH41" s="163"/>
      <c r="AI41" s="163"/>
      <c r="AJ41" s="163"/>
      <c r="AK41" s="163"/>
      <c r="AL41" s="163"/>
      <c r="AM41" s="164"/>
      <c r="AN41" s="162"/>
      <c r="AO41" s="162"/>
      <c r="AP41" s="162"/>
      <c r="AQ41" s="8"/>
      <c r="AR41" s="177"/>
      <c r="AS41" s="177"/>
      <c r="AT41" s="177"/>
      <c r="AU41" s="177"/>
      <c r="AV41" s="8"/>
      <c r="AW41" s="162"/>
      <c r="AX41" s="162"/>
      <c r="AY41" s="162"/>
      <c r="AZ41" s="177"/>
      <c r="BA41" s="177"/>
      <c r="BB41" s="177"/>
      <c r="BC41" s="177"/>
      <c r="BD41" s="138"/>
      <c r="BE41" s="138"/>
      <c r="BF41" s="138"/>
      <c r="BG41" s="138"/>
      <c r="BH41" s="139"/>
      <c r="BI41" s="139"/>
      <c r="BJ41" s="139"/>
      <c r="BK41" s="139"/>
      <c r="BL41" s="139"/>
      <c r="BM41" s="139"/>
      <c r="BN41" s="139"/>
      <c r="BO41" s="9"/>
      <c r="BP41" s="9"/>
      <c r="BQ41" s="9"/>
      <c r="BR41" s="8"/>
    </row>
    <row r="42" spans="1:85" ht="14.25" customHeight="1" x14ac:dyDescent="0.25">
      <c r="A42" s="4"/>
      <c r="B42" s="10"/>
      <c r="C42" s="11"/>
      <c r="D42" s="12"/>
      <c r="E42" s="4"/>
      <c r="F42" s="4"/>
      <c r="G42" s="4"/>
      <c r="H42" s="4"/>
      <c r="I42" s="66"/>
      <c r="J42" s="66"/>
      <c r="K42" s="66"/>
      <c r="L42" s="66"/>
      <c r="M42" s="66"/>
      <c r="N42" s="66"/>
      <c r="O42" s="13"/>
      <c r="P42" s="13"/>
      <c r="Q42" s="13"/>
      <c r="R42" s="13"/>
      <c r="S42" s="66"/>
      <c r="T42" s="66"/>
      <c r="U42" s="66"/>
      <c r="V42" s="66"/>
      <c r="W42" s="66"/>
      <c r="X42" s="66"/>
      <c r="Y42" s="13"/>
      <c r="Z42" s="13"/>
      <c r="AA42" s="13"/>
      <c r="AB42" s="13"/>
      <c r="AC42" s="66"/>
      <c r="AD42" s="66"/>
      <c r="AE42" s="66"/>
      <c r="AF42" s="66"/>
      <c r="AG42" s="66"/>
      <c r="AH42" s="66"/>
      <c r="AI42" s="13"/>
      <c r="AJ42" s="13"/>
      <c r="AK42" s="13"/>
      <c r="AL42" s="13"/>
      <c r="AM42" s="66"/>
      <c r="AN42" s="66"/>
      <c r="AO42" s="66"/>
      <c r="AP42" s="66"/>
      <c r="AQ42" s="66"/>
      <c r="AR42" s="66"/>
      <c r="AS42" s="13"/>
      <c r="AT42" s="13"/>
      <c r="AU42" s="13"/>
      <c r="AV42" s="13"/>
      <c r="AW42" s="66"/>
      <c r="AX42" s="66"/>
      <c r="AY42" s="66"/>
      <c r="AZ42" s="66"/>
      <c r="BA42" s="66"/>
      <c r="BB42" s="66"/>
      <c r="BC42" s="13"/>
      <c r="BD42" s="13"/>
      <c r="BE42" s="13"/>
      <c r="BF42" s="13"/>
      <c r="BG42" s="66"/>
      <c r="BH42" s="66"/>
      <c r="BI42" s="66"/>
      <c r="BJ42" s="66"/>
      <c r="BK42" s="66"/>
      <c r="BL42" s="66"/>
      <c r="BM42" s="73"/>
      <c r="BN42" s="4"/>
      <c r="BO42" s="4"/>
      <c r="BP42" s="4"/>
      <c r="BQ42" s="4"/>
      <c r="BR42" s="4"/>
    </row>
    <row r="43" spans="1:85" ht="14.25" customHeight="1" x14ac:dyDescent="0.25">
      <c r="A43" s="4"/>
      <c r="B43" s="10"/>
      <c r="C43" s="11"/>
      <c r="D43" s="12"/>
      <c r="E43" s="4"/>
      <c r="F43" s="4"/>
      <c r="G43" s="4"/>
      <c r="H43" s="4"/>
      <c r="I43" s="66"/>
      <c r="J43" s="66"/>
      <c r="K43" s="66"/>
      <c r="L43" s="66"/>
      <c r="M43" s="66"/>
      <c r="N43" s="66"/>
      <c r="O43" s="13"/>
      <c r="P43" s="13"/>
      <c r="Q43" s="13"/>
      <c r="R43" s="13"/>
      <c r="S43" s="66"/>
      <c r="T43" s="66"/>
      <c r="U43" s="66"/>
      <c r="V43" s="66"/>
      <c r="W43" s="66"/>
      <c r="X43" s="66"/>
      <c r="Y43" s="13"/>
      <c r="Z43" s="13"/>
      <c r="AA43" s="13"/>
      <c r="AB43" s="13"/>
      <c r="AC43" s="66"/>
      <c r="AD43" s="66"/>
      <c r="AE43" s="66"/>
      <c r="AF43" s="66"/>
      <c r="AG43" s="66"/>
      <c r="AH43" s="66"/>
      <c r="AI43" s="13"/>
      <c r="AJ43" s="13"/>
      <c r="AK43" s="13"/>
      <c r="AL43" s="13"/>
      <c r="AM43" s="66"/>
      <c r="AN43" s="66"/>
      <c r="AO43" s="66"/>
      <c r="AP43" s="66"/>
      <c r="AQ43" s="66"/>
      <c r="AR43" s="66"/>
      <c r="AS43" s="13"/>
      <c r="AT43" s="13"/>
      <c r="AU43" s="13"/>
      <c r="AV43" s="13"/>
      <c r="AW43" s="66"/>
      <c r="AX43" s="66"/>
      <c r="AY43" s="66"/>
      <c r="AZ43" s="66"/>
      <c r="BA43" s="66"/>
      <c r="BB43" s="66"/>
      <c r="BC43" s="13"/>
      <c r="BD43" s="13"/>
      <c r="BE43" s="13"/>
      <c r="BF43" s="13"/>
      <c r="BG43" s="66"/>
      <c r="BH43" s="66"/>
      <c r="BI43" s="66"/>
      <c r="BJ43" s="66"/>
      <c r="BK43" s="66"/>
      <c r="BL43" s="66"/>
      <c r="BM43" s="73"/>
      <c r="BN43" s="4"/>
      <c r="BO43" s="4"/>
      <c r="BP43" s="4"/>
      <c r="BQ43" s="4"/>
      <c r="BR43" s="4"/>
    </row>
    <row r="44" spans="1:85" ht="14.25" customHeight="1" x14ac:dyDescent="0.25">
      <c r="A44" s="153" t="s">
        <v>66</v>
      </c>
      <c r="B44" s="153"/>
      <c r="C44" s="153"/>
      <c r="D44" s="153"/>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3"/>
      <c r="BK44" s="153"/>
      <c r="BL44" s="153"/>
      <c r="BM44" s="153"/>
      <c r="BN44" s="153"/>
      <c r="BO44" s="153"/>
      <c r="BP44" s="153"/>
      <c r="BQ44" s="153"/>
      <c r="BR44" s="153"/>
    </row>
    <row r="45" spans="1:85" ht="14.25" customHeight="1" x14ac:dyDescent="0.25">
      <c r="A45" s="154"/>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4"/>
      <c r="AX45" s="154"/>
      <c r="AY45" s="154"/>
      <c r="AZ45" s="154"/>
      <c r="BA45" s="154"/>
      <c r="BB45" s="154"/>
      <c r="BC45" s="154"/>
      <c r="BD45" s="154"/>
      <c r="BE45" s="154"/>
      <c r="BF45" s="154"/>
      <c r="BG45" s="154"/>
      <c r="BH45" s="154"/>
      <c r="BI45" s="154"/>
      <c r="BJ45" s="154"/>
      <c r="BK45" s="154"/>
      <c r="BL45" s="154"/>
      <c r="BM45" s="154"/>
      <c r="BN45" s="154"/>
      <c r="BO45" s="154"/>
      <c r="BP45" s="154"/>
      <c r="BQ45" s="154"/>
      <c r="BR45" s="154"/>
    </row>
    <row r="46" spans="1:85" ht="14.25" customHeight="1" x14ac:dyDescent="0.25">
      <c r="A46" s="106" t="s">
        <v>108</v>
      </c>
      <c r="B46" s="133" t="s">
        <v>107</v>
      </c>
      <c r="C46" s="134"/>
      <c r="D46" s="132" t="s">
        <v>126</v>
      </c>
      <c r="E46" s="132"/>
      <c r="F46" s="132"/>
      <c r="G46" s="132"/>
      <c r="H46" s="132"/>
      <c r="I46" s="132"/>
      <c r="J46" s="132"/>
      <c r="K46" s="132"/>
      <c r="L46" s="132"/>
      <c r="M46" s="132"/>
      <c r="N46" s="132"/>
      <c r="O46" s="155"/>
      <c r="P46" s="156" t="s">
        <v>113</v>
      </c>
      <c r="Q46" s="132"/>
      <c r="R46" s="132"/>
      <c r="S46" s="132"/>
      <c r="T46" s="132"/>
      <c r="U46" s="132"/>
      <c r="V46" s="132"/>
      <c r="W46" s="132"/>
      <c r="X46" s="132"/>
      <c r="Y46" s="132"/>
      <c r="Z46" s="132"/>
      <c r="AA46" s="132"/>
      <c r="AB46" s="132"/>
      <c r="AC46" s="132"/>
      <c r="AD46" s="132"/>
      <c r="AE46" s="132"/>
      <c r="AF46" s="132"/>
      <c r="AG46" s="132"/>
      <c r="AH46" s="132"/>
      <c r="AI46" s="132"/>
      <c r="AJ46" s="132"/>
      <c r="AK46" s="132"/>
      <c r="AL46" s="132"/>
      <c r="AM46" s="132"/>
      <c r="AN46" s="132"/>
      <c r="AO46" s="132"/>
      <c r="AP46" s="155"/>
      <c r="AQ46" s="157" t="s">
        <v>179</v>
      </c>
      <c r="AR46" s="132"/>
      <c r="AS46" s="132"/>
      <c r="AT46" s="132"/>
      <c r="AU46" s="132"/>
      <c r="AV46" s="132"/>
      <c r="AW46" s="132"/>
      <c r="AX46" s="132"/>
      <c r="AY46" s="132"/>
      <c r="AZ46" s="132"/>
      <c r="BA46" s="132"/>
      <c r="BB46" s="155"/>
      <c r="BC46" s="157" t="s">
        <v>180</v>
      </c>
      <c r="BD46" s="132"/>
      <c r="BE46" s="132"/>
      <c r="BF46" s="132"/>
      <c r="BG46" s="132"/>
      <c r="BH46" s="132"/>
      <c r="BI46" s="132"/>
      <c r="BJ46" s="132"/>
      <c r="BK46" s="132"/>
      <c r="BL46" s="132"/>
      <c r="BM46" s="132"/>
      <c r="BN46" s="155"/>
      <c r="BO46" s="158" t="s">
        <v>123</v>
      </c>
      <c r="BP46" s="134"/>
      <c r="BQ46" s="134"/>
      <c r="BR46" s="134"/>
    </row>
    <row r="47" spans="1:85" ht="14.25" customHeight="1" x14ac:dyDescent="0.25">
      <c r="A47" s="106"/>
      <c r="B47" s="134"/>
      <c r="C47" s="134"/>
      <c r="D47" s="132"/>
      <c r="E47" s="132"/>
      <c r="F47" s="132"/>
      <c r="G47" s="132"/>
      <c r="H47" s="132"/>
      <c r="I47" s="132"/>
      <c r="J47" s="132"/>
      <c r="K47" s="132"/>
      <c r="L47" s="132"/>
      <c r="M47" s="132"/>
      <c r="N47" s="132"/>
      <c r="O47" s="155"/>
      <c r="P47" s="156"/>
      <c r="Q47" s="132"/>
      <c r="R47" s="132"/>
      <c r="S47" s="132"/>
      <c r="T47" s="132"/>
      <c r="U47" s="132"/>
      <c r="V47" s="132"/>
      <c r="W47" s="132"/>
      <c r="X47" s="132"/>
      <c r="Y47" s="132"/>
      <c r="Z47" s="132"/>
      <c r="AA47" s="132"/>
      <c r="AB47" s="132"/>
      <c r="AC47" s="132"/>
      <c r="AD47" s="132"/>
      <c r="AE47" s="132"/>
      <c r="AF47" s="132"/>
      <c r="AG47" s="132"/>
      <c r="AH47" s="132"/>
      <c r="AI47" s="132"/>
      <c r="AJ47" s="132"/>
      <c r="AK47" s="132"/>
      <c r="AL47" s="132"/>
      <c r="AM47" s="132"/>
      <c r="AN47" s="132"/>
      <c r="AO47" s="132"/>
      <c r="AP47" s="155"/>
      <c r="AQ47" s="157"/>
      <c r="AR47" s="132"/>
      <c r="AS47" s="132"/>
      <c r="AT47" s="132"/>
      <c r="AU47" s="132"/>
      <c r="AV47" s="132"/>
      <c r="AW47" s="132"/>
      <c r="AX47" s="132"/>
      <c r="AY47" s="132"/>
      <c r="AZ47" s="132"/>
      <c r="BA47" s="132"/>
      <c r="BB47" s="155"/>
      <c r="BC47" s="157"/>
      <c r="BD47" s="132"/>
      <c r="BE47" s="132"/>
      <c r="BF47" s="132"/>
      <c r="BG47" s="132"/>
      <c r="BH47" s="132"/>
      <c r="BI47" s="132"/>
      <c r="BJ47" s="132"/>
      <c r="BK47" s="132"/>
      <c r="BL47" s="132"/>
      <c r="BM47" s="132"/>
      <c r="BN47" s="155"/>
      <c r="BO47" s="158"/>
      <c r="BP47" s="134"/>
      <c r="BQ47" s="134"/>
      <c r="BR47" s="134"/>
      <c r="BS47" s="71"/>
      <c r="BT47" s="71"/>
      <c r="BU47" s="71"/>
      <c r="BV47" s="71"/>
      <c r="BW47" s="71"/>
      <c r="BX47" s="71"/>
      <c r="BY47" s="71"/>
      <c r="BZ47" s="71"/>
    </row>
    <row r="48" spans="1:85" ht="14.25" customHeight="1" x14ac:dyDescent="0.25">
      <c r="A48" s="106"/>
      <c r="B48" s="134"/>
      <c r="C48" s="134"/>
      <c r="D48" s="132"/>
      <c r="E48" s="132"/>
      <c r="F48" s="132"/>
      <c r="G48" s="132"/>
      <c r="H48" s="132"/>
      <c r="I48" s="132"/>
      <c r="J48" s="132"/>
      <c r="K48" s="132"/>
      <c r="L48" s="132"/>
      <c r="M48" s="132"/>
      <c r="N48" s="132"/>
      <c r="O48" s="155"/>
      <c r="P48" s="157" t="s">
        <v>109</v>
      </c>
      <c r="Q48" s="132"/>
      <c r="R48" s="132"/>
      <c r="S48" s="132"/>
      <c r="T48" s="132"/>
      <c r="U48" s="155"/>
      <c r="V48" s="156" t="s">
        <v>114</v>
      </c>
      <c r="W48" s="132"/>
      <c r="X48" s="132"/>
      <c r="Y48" s="132"/>
      <c r="Z48" s="132"/>
      <c r="AA48" s="132"/>
      <c r="AB48" s="132"/>
      <c r="AC48" s="132"/>
      <c r="AD48" s="132"/>
      <c r="AE48" s="132"/>
      <c r="AF48" s="132"/>
      <c r="AG48" s="132"/>
      <c r="AH48" s="132"/>
      <c r="AI48" s="132"/>
      <c r="AJ48" s="132"/>
      <c r="AK48" s="132"/>
      <c r="AL48" s="132"/>
      <c r="AM48" s="132"/>
      <c r="AN48" s="135" t="s">
        <v>120</v>
      </c>
      <c r="AO48" s="135"/>
      <c r="AP48" s="159"/>
      <c r="AQ48" s="144" t="s">
        <v>124</v>
      </c>
      <c r="AR48" s="106"/>
      <c r="AS48" s="106"/>
      <c r="AT48" s="106"/>
      <c r="AU48" s="106"/>
      <c r="AV48" s="106"/>
      <c r="AW48" s="106" t="s">
        <v>125</v>
      </c>
      <c r="AX48" s="106"/>
      <c r="AY48" s="106"/>
      <c r="AZ48" s="106"/>
      <c r="BA48" s="106"/>
      <c r="BB48" s="147"/>
      <c r="BC48" s="144" t="s">
        <v>124</v>
      </c>
      <c r="BD48" s="106"/>
      <c r="BE48" s="106"/>
      <c r="BF48" s="106"/>
      <c r="BG48" s="106"/>
      <c r="BH48" s="106"/>
      <c r="BI48" s="106" t="s">
        <v>125</v>
      </c>
      <c r="BJ48" s="106"/>
      <c r="BK48" s="106"/>
      <c r="BL48" s="106"/>
      <c r="BM48" s="106"/>
      <c r="BN48" s="147"/>
      <c r="BO48" s="158"/>
      <c r="BP48" s="134"/>
      <c r="BQ48" s="134"/>
      <c r="BR48" s="134"/>
      <c r="BS48" s="71"/>
      <c r="BT48" s="71"/>
      <c r="BU48" s="71"/>
      <c r="BV48" s="71"/>
      <c r="BW48" s="71"/>
      <c r="BX48" s="71"/>
      <c r="BY48" s="71"/>
      <c r="BZ48" s="71"/>
    </row>
    <row r="49" spans="1:78" ht="14.25" customHeight="1" x14ac:dyDescent="0.25">
      <c r="A49" s="106"/>
      <c r="B49" s="134"/>
      <c r="C49" s="134"/>
      <c r="D49" s="132"/>
      <c r="E49" s="132"/>
      <c r="F49" s="132"/>
      <c r="G49" s="132"/>
      <c r="H49" s="132"/>
      <c r="I49" s="132"/>
      <c r="J49" s="132"/>
      <c r="K49" s="132"/>
      <c r="L49" s="132"/>
      <c r="M49" s="132"/>
      <c r="N49" s="132"/>
      <c r="O49" s="155"/>
      <c r="P49" s="157"/>
      <c r="Q49" s="132"/>
      <c r="R49" s="132"/>
      <c r="S49" s="132"/>
      <c r="T49" s="132"/>
      <c r="U49" s="155"/>
      <c r="V49" s="156"/>
      <c r="W49" s="132"/>
      <c r="X49" s="132"/>
      <c r="Y49" s="132"/>
      <c r="Z49" s="132"/>
      <c r="AA49" s="132"/>
      <c r="AB49" s="132"/>
      <c r="AC49" s="132"/>
      <c r="AD49" s="132"/>
      <c r="AE49" s="132"/>
      <c r="AF49" s="132"/>
      <c r="AG49" s="132"/>
      <c r="AH49" s="132"/>
      <c r="AI49" s="132"/>
      <c r="AJ49" s="132"/>
      <c r="AK49" s="132"/>
      <c r="AL49" s="132"/>
      <c r="AM49" s="132"/>
      <c r="AN49" s="135"/>
      <c r="AO49" s="135"/>
      <c r="AP49" s="159"/>
      <c r="AQ49" s="144"/>
      <c r="AR49" s="106"/>
      <c r="AS49" s="106"/>
      <c r="AT49" s="106"/>
      <c r="AU49" s="106"/>
      <c r="AV49" s="106"/>
      <c r="AW49" s="106"/>
      <c r="AX49" s="106"/>
      <c r="AY49" s="106"/>
      <c r="AZ49" s="106"/>
      <c r="BA49" s="106"/>
      <c r="BB49" s="147"/>
      <c r="BC49" s="144"/>
      <c r="BD49" s="106"/>
      <c r="BE49" s="106"/>
      <c r="BF49" s="106"/>
      <c r="BG49" s="106"/>
      <c r="BH49" s="106"/>
      <c r="BI49" s="106"/>
      <c r="BJ49" s="106"/>
      <c r="BK49" s="106"/>
      <c r="BL49" s="106"/>
      <c r="BM49" s="106"/>
      <c r="BN49" s="147"/>
      <c r="BO49" s="158"/>
      <c r="BP49" s="134"/>
      <c r="BQ49" s="134"/>
      <c r="BR49" s="134"/>
      <c r="BS49" s="71"/>
      <c r="BT49" s="71"/>
      <c r="BU49" s="71"/>
      <c r="BV49" s="71"/>
      <c r="BW49" s="71"/>
      <c r="BX49" s="71"/>
      <c r="BY49" s="71"/>
      <c r="BZ49" s="71"/>
    </row>
    <row r="50" spans="1:78" ht="14.25" customHeight="1" x14ac:dyDescent="0.25">
      <c r="A50" s="106"/>
      <c r="B50" s="134"/>
      <c r="C50" s="134"/>
      <c r="D50" s="132"/>
      <c r="E50" s="132"/>
      <c r="F50" s="132"/>
      <c r="G50" s="132"/>
      <c r="H50" s="132"/>
      <c r="I50" s="132"/>
      <c r="J50" s="132"/>
      <c r="K50" s="132"/>
      <c r="L50" s="132"/>
      <c r="M50" s="132"/>
      <c r="N50" s="132"/>
      <c r="O50" s="155"/>
      <c r="P50" s="157"/>
      <c r="Q50" s="132"/>
      <c r="R50" s="132"/>
      <c r="S50" s="132"/>
      <c r="T50" s="132"/>
      <c r="U50" s="155"/>
      <c r="V50" s="176" t="s">
        <v>87</v>
      </c>
      <c r="W50" s="135"/>
      <c r="X50" s="135"/>
      <c r="Y50" s="135" t="s">
        <v>115</v>
      </c>
      <c r="Z50" s="135"/>
      <c r="AA50" s="135"/>
      <c r="AB50" s="135" t="s">
        <v>116</v>
      </c>
      <c r="AC50" s="135"/>
      <c r="AD50" s="135"/>
      <c r="AE50" s="135" t="s">
        <v>117</v>
      </c>
      <c r="AF50" s="135"/>
      <c r="AG50" s="135"/>
      <c r="AH50" s="135" t="s">
        <v>118</v>
      </c>
      <c r="AI50" s="135"/>
      <c r="AJ50" s="135"/>
      <c r="AK50" s="135" t="s">
        <v>119</v>
      </c>
      <c r="AL50" s="135"/>
      <c r="AM50" s="135"/>
      <c r="AN50" s="135"/>
      <c r="AO50" s="135"/>
      <c r="AP50" s="159"/>
      <c r="AQ50" s="144">
        <v>1</v>
      </c>
      <c r="AR50" s="106"/>
      <c r="AS50" s="106"/>
      <c r="AT50" s="106">
        <v>2</v>
      </c>
      <c r="AU50" s="106"/>
      <c r="AV50" s="106"/>
      <c r="AW50" s="106">
        <v>3</v>
      </c>
      <c r="AX50" s="106"/>
      <c r="AY50" s="106"/>
      <c r="AZ50" s="106">
        <v>4</v>
      </c>
      <c r="BA50" s="106"/>
      <c r="BB50" s="147"/>
      <c r="BC50" s="144">
        <v>1</v>
      </c>
      <c r="BD50" s="106"/>
      <c r="BE50" s="106"/>
      <c r="BF50" s="106">
        <v>2</v>
      </c>
      <c r="BG50" s="106"/>
      <c r="BH50" s="106"/>
      <c r="BI50" s="106">
        <v>3</v>
      </c>
      <c r="BJ50" s="106"/>
      <c r="BK50" s="106"/>
      <c r="BL50" s="106">
        <v>4</v>
      </c>
      <c r="BM50" s="106"/>
      <c r="BN50" s="147"/>
      <c r="BO50" s="158"/>
      <c r="BP50" s="134"/>
      <c r="BQ50" s="134"/>
      <c r="BR50" s="134"/>
      <c r="BS50" s="71"/>
      <c r="BT50" s="71"/>
      <c r="BU50" s="71"/>
      <c r="BV50" s="71"/>
      <c r="BW50" s="71"/>
      <c r="BX50" s="71"/>
      <c r="BY50" s="71"/>
      <c r="BZ50" s="71"/>
    </row>
    <row r="51" spans="1:78" ht="14.25" customHeight="1" x14ac:dyDescent="0.25">
      <c r="A51" s="106"/>
      <c r="B51" s="134"/>
      <c r="C51" s="134"/>
      <c r="D51" s="132"/>
      <c r="E51" s="132"/>
      <c r="F51" s="132"/>
      <c r="G51" s="132"/>
      <c r="H51" s="132"/>
      <c r="I51" s="132"/>
      <c r="J51" s="132"/>
      <c r="K51" s="132"/>
      <c r="L51" s="132"/>
      <c r="M51" s="132"/>
      <c r="N51" s="132"/>
      <c r="O51" s="155"/>
      <c r="P51" s="157"/>
      <c r="Q51" s="132"/>
      <c r="R51" s="132"/>
      <c r="S51" s="132"/>
      <c r="T51" s="132"/>
      <c r="U51" s="155"/>
      <c r="V51" s="176"/>
      <c r="W51" s="135"/>
      <c r="X51" s="135"/>
      <c r="Y51" s="135"/>
      <c r="Z51" s="135"/>
      <c r="AA51" s="135"/>
      <c r="AB51" s="135"/>
      <c r="AC51" s="135"/>
      <c r="AD51" s="135"/>
      <c r="AE51" s="135"/>
      <c r="AF51" s="135"/>
      <c r="AG51" s="135"/>
      <c r="AH51" s="135"/>
      <c r="AI51" s="135"/>
      <c r="AJ51" s="135"/>
      <c r="AK51" s="135"/>
      <c r="AL51" s="135"/>
      <c r="AM51" s="135"/>
      <c r="AN51" s="135"/>
      <c r="AO51" s="135"/>
      <c r="AP51" s="159"/>
      <c r="AQ51" s="144"/>
      <c r="AR51" s="106"/>
      <c r="AS51" s="106"/>
      <c r="AT51" s="106"/>
      <c r="AU51" s="106"/>
      <c r="AV51" s="106"/>
      <c r="AW51" s="106"/>
      <c r="AX51" s="106"/>
      <c r="AY51" s="106"/>
      <c r="AZ51" s="106"/>
      <c r="BA51" s="106"/>
      <c r="BB51" s="147"/>
      <c r="BC51" s="144"/>
      <c r="BD51" s="106"/>
      <c r="BE51" s="106"/>
      <c r="BF51" s="106"/>
      <c r="BG51" s="106"/>
      <c r="BH51" s="106"/>
      <c r="BI51" s="106"/>
      <c r="BJ51" s="106"/>
      <c r="BK51" s="106"/>
      <c r="BL51" s="106"/>
      <c r="BM51" s="106"/>
      <c r="BN51" s="147"/>
      <c r="BO51" s="158"/>
      <c r="BP51" s="134"/>
      <c r="BQ51" s="134"/>
      <c r="BR51" s="134"/>
      <c r="BS51" s="71"/>
      <c r="BT51" s="71"/>
      <c r="BU51" s="71"/>
      <c r="BV51" s="71"/>
      <c r="BW51" s="71"/>
      <c r="BX51" s="71"/>
      <c r="BY51" s="71"/>
      <c r="BZ51" s="71"/>
    </row>
    <row r="52" spans="1:78" ht="14.25" customHeight="1" x14ac:dyDescent="0.25">
      <c r="A52" s="106"/>
      <c r="B52" s="134"/>
      <c r="C52" s="134"/>
      <c r="D52" s="132"/>
      <c r="E52" s="132"/>
      <c r="F52" s="132"/>
      <c r="G52" s="132"/>
      <c r="H52" s="132"/>
      <c r="I52" s="132"/>
      <c r="J52" s="132"/>
      <c r="K52" s="132"/>
      <c r="L52" s="132"/>
      <c r="M52" s="132"/>
      <c r="N52" s="132"/>
      <c r="O52" s="155"/>
      <c r="P52" s="157"/>
      <c r="Q52" s="132"/>
      <c r="R52" s="132"/>
      <c r="S52" s="132"/>
      <c r="T52" s="132"/>
      <c r="U52" s="155"/>
      <c r="V52" s="176"/>
      <c r="W52" s="135"/>
      <c r="X52" s="135"/>
      <c r="Y52" s="135"/>
      <c r="Z52" s="135"/>
      <c r="AA52" s="135"/>
      <c r="AB52" s="135"/>
      <c r="AC52" s="135"/>
      <c r="AD52" s="135"/>
      <c r="AE52" s="135"/>
      <c r="AF52" s="135"/>
      <c r="AG52" s="135"/>
      <c r="AH52" s="135"/>
      <c r="AI52" s="135"/>
      <c r="AJ52" s="135"/>
      <c r="AK52" s="135"/>
      <c r="AL52" s="135"/>
      <c r="AM52" s="135"/>
      <c r="AN52" s="135"/>
      <c r="AO52" s="135"/>
      <c r="AP52" s="159"/>
      <c r="AQ52" s="157" t="s">
        <v>121</v>
      </c>
      <c r="AR52" s="132"/>
      <c r="AS52" s="132"/>
      <c r="AT52" s="132"/>
      <c r="AU52" s="132"/>
      <c r="AV52" s="132"/>
      <c r="AW52" s="132"/>
      <c r="AX52" s="132"/>
      <c r="AY52" s="132"/>
      <c r="AZ52" s="132"/>
      <c r="BA52" s="132"/>
      <c r="BB52" s="155"/>
      <c r="BC52" s="157" t="s">
        <v>122</v>
      </c>
      <c r="BD52" s="132"/>
      <c r="BE52" s="132"/>
      <c r="BF52" s="132"/>
      <c r="BG52" s="132"/>
      <c r="BH52" s="132"/>
      <c r="BI52" s="132"/>
      <c r="BJ52" s="132"/>
      <c r="BK52" s="132"/>
      <c r="BL52" s="132"/>
      <c r="BM52" s="132"/>
      <c r="BN52" s="155"/>
      <c r="BO52" s="158"/>
      <c r="BP52" s="134"/>
      <c r="BQ52" s="134"/>
      <c r="BR52" s="134"/>
      <c r="BS52" s="71"/>
      <c r="BT52" s="71"/>
      <c r="BU52" s="71"/>
      <c r="BV52" s="71"/>
      <c r="BW52" s="71"/>
      <c r="BX52" s="71"/>
      <c r="BY52" s="71"/>
      <c r="BZ52" s="71"/>
    </row>
    <row r="53" spans="1:78" ht="14.25" customHeight="1" x14ac:dyDescent="0.25">
      <c r="A53" s="106"/>
      <c r="B53" s="134"/>
      <c r="C53" s="134"/>
      <c r="D53" s="132"/>
      <c r="E53" s="132"/>
      <c r="F53" s="132"/>
      <c r="G53" s="132"/>
      <c r="H53" s="132"/>
      <c r="I53" s="132"/>
      <c r="J53" s="132"/>
      <c r="K53" s="132"/>
      <c r="L53" s="132"/>
      <c r="M53" s="132"/>
      <c r="N53" s="132"/>
      <c r="O53" s="155"/>
      <c r="P53" s="157"/>
      <c r="Q53" s="132"/>
      <c r="R53" s="132"/>
      <c r="S53" s="132"/>
      <c r="T53" s="132"/>
      <c r="U53" s="155"/>
      <c r="V53" s="176"/>
      <c r="W53" s="135"/>
      <c r="X53" s="135"/>
      <c r="Y53" s="135"/>
      <c r="Z53" s="135"/>
      <c r="AA53" s="135"/>
      <c r="AB53" s="135"/>
      <c r="AC53" s="135"/>
      <c r="AD53" s="135"/>
      <c r="AE53" s="135"/>
      <c r="AF53" s="135"/>
      <c r="AG53" s="135"/>
      <c r="AH53" s="135"/>
      <c r="AI53" s="135"/>
      <c r="AJ53" s="135"/>
      <c r="AK53" s="135"/>
      <c r="AL53" s="135"/>
      <c r="AM53" s="135"/>
      <c r="AN53" s="135"/>
      <c r="AO53" s="135"/>
      <c r="AP53" s="159"/>
      <c r="AQ53" s="157"/>
      <c r="AR53" s="132"/>
      <c r="AS53" s="132"/>
      <c r="AT53" s="132"/>
      <c r="AU53" s="132"/>
      <c r="AV53" s="132"/>
      <c r="AW53" s="132"/>
      <c r="AX53" s="132"/>
      <c r="AY53" s="132"/>
      <c r="AZ53" s="132"/>
      <c r="BA53" s="132"/>
      <c r="BB53" s="155"/>
      <c r="BC53" s="157"/>
      <c r="BD53" s="132"/>
      <c r="BE53" s="132"/>
      <c r="BF53" s="132"/>
      <c r="BG53" s="132"/>
      <c r="BH53" s="132"/>
      <c r="BI53" s="132"/>
      <c r="BJ53" s="132"/>
      <c r="BK53" s="132"/>
      <c r="BL53" s="132"/>
      <c r="BM53" s="132"/>
      <c r="BN53" s="155"/>
      <c r="BO53" s="158"/>
      <c r="BP53" s="134"/>
      <c r="BQ53" s="134"/>
      <c r="BR53" s="134"/>
      <c r="BS53" s="71"/>
      <c r="BT53" s="71"/>
      <c r="BU53" s="71"/>
      <c r="BV53" s="71"/>
      <c r="BW53" s="71"/>
      <c r="BX53" s="71"/>
      <c r="BY53" s="71"/>
      <c r="BZ53" s="71"/>
    </row>
    <row r="54" spans="1:78" ht="14.25" customHeight="1" x14ac:dyDescent="0.25">
      <c r="A54" s="106"/>
      <c r="B54" s="134"/>
      <c r="C54" s="134"/>
      <c r="D54" s="132"/>
      <c r="E54" s="132"/>
      <c r="F54" s="132"/>
      <c r="G54" s="132"/>
      <c r="H54" s="132"/>
      <c r="I54" s="132"/>
      <c r="J54" s="132"/>
      <c r="K54" s="132"/>
      <c r="L54" s="132"/>
      <c r="M54" s="132"/>
      <c r="N54" s="132"/>
      <c r="O54" s="155"/>
      <c r="P54" s="157"/>
      <c r="Q54" s="132"/>
      <c r="R54" s="132"/>
      <c r="S54" s="132"/>
      <c r="T54" s="132"/>
      <c r="U54" s="155"/>
      <c r="V54" s="176"/>
      <c r="W54" s="135"/>
      <c r="X54" s="135"/>
      <c r="Y54" s="135"/>
      <c r="Z54" s="135"/>
      <c r="AA54" s="135"/>
      <c r="AB54" s="135"/>
      <c r="AC54" s="135"/>
      <c r="AD54" s="135"/>
      <c r="AE54" s="135"/>
      <c r="AF54" s="135"/>
      <c r="AG54" s="135"/>
      <c r="AH54" s="135"/>
      <c r="AI54" s="135"/>
      <c r="AJ54" s="135"/>
      <c r="AK54" s="135"/>
      <c r="AL54" s="135"/>
      <c r="AM54" s="135"/>
      <c r="AN54" s="135"/>
      <c r="AO54" s="135"/>
      <c r="AP54" s="159"/>
      <c r="AQ54" s="144">
        <v>15</v>
      </c>
      <c r="AR54" s="106"/>
      <c r="AS54" s="106"/>
      <c r="AT54" s="106">
        <v>15</v>
      </c>
      <c r="AU54" s="106"/>
      <c r="AV54" s="106"/>
      <c r="AW54" s="106">
        <v>15</v>
      </c>
      <c r="AX54" s="106"/>
      <c r="AY54" s="106"/>
      <c r="AZ54" s="106">
        <v>15</v>
      </c>
      <c r="BA54" s="106"/>
      <c r="BB54" s="147"/>
      <c r="BC54" s="144">
        <v>15</v>
      </c>
      <c r="BD54" s="106"/>
      <c r="BE54" s="106"/>
      <c r="BF54" s="106">
        <v>15</v>
      </c>
      <c r="BG54" s="106"/>
      <c r="BH54" s="106"/>
      <c r="BI54" s="106">
        <v>15</v>
      </c>
      <c r="BJ54" s="106"/>
      <c r="BK54" s="106"/>
      <c r="BL54" s="106">
        <v>15</v>
      </c>
      <c r="BM54" s="106"/>
      <c r="BN54" s="147"/>
      <c r="BO54" s="158"/>
      <c r="BP54" s="134"/>
      <c r="BQ54" s="134"/>
      <c r="BR54" s="134"/>
      <c r="BS54" s="71"/>
      <c r="BT54" s="71"/>
      <c r="BU54" s="71"/>
      <c r="BV54" s="71"/>
      <c r="BW54" s="71"/>
      <c r="BX54" s="71"/>
      <c r="BY54" s="71"/>
      <c r="BZ54" s="71"/>
    </row>
    <row r="55" spans="1:78" ht="14.25" customHeight="1" x14ac:dyDescent="0.25">
      <c r="A55" s="106"/>
      <c r="B55" s="134"/>
      <c r="C55" s="134"/>
      <c r="D55" s="132"/>
      <c r="E55" s="132"/>
      <c r="F55" s="132"/>
      <c r="G55" s="132"/>
      <c r="H55" s="132"/>
      <c r="I55" s="132"/>
      <c r="J55" s="132"/>
      <c r="K55" s="132"/>
      <c r="L55" s="132"/>
      <c r="M55" s="132"/>
      <c r="N55" s="132"/>
      <c r="O55" s="155"/>
      <c r="P55" s="144" t="s">
        <v>110</v>
      </c>
      <c r="Q55" s="106"/>
      <c r="R55" s="106"/>
      <c r="S55" s="106" t="s">
        <v>5</v>
      </c>
      <c r="T55" s="106"/>
      <c r="U55" s="147"/>
      <c r="V55" s="176"/>
      <c r="W55" s="135"/>
      <c r="X55" s="135"/>
      <c r="Y55" s="135"/>
      <c r="Z55" s="135"/>
      <c r="AA55" s="135"/>
      <c r="AB55" s="135"/>
      <c r="AC55" s="135"/>
      <c r="AD55" s="135"/>
      <c r="AE55" s="135"/>
      <c r="AF55" s="135"/>
      <c r="AG55" s="135"/>
      <c r="AH55" s="135"/>
      <c r="AI55" s="135"/>
      <c r="AJ55" s="135"/>
      <c r="AK55" s="135"/>
      <c r="AL55" s="135"/>
      <c r="AM55" s="135"/>
      <c r="AN55" s="135"/>
      <c r="AO55" s="135"/>
      <c r="AP55" s="159"/>
      <c r="AQ55" s="144"/>
      <c r="AR55" s="106"/>
      <c r="AS55" s="106"/>
      <c r="AT55" s="106"/>
      <c r="AU55" s="106"/>
      <c r="AV55" s="106"/>
      <c r="AW55" s="106"/>
      <c r="AX55" s="106"/>
      <c r="AY55" s="106"/>
      <c r="AZ55" s="106"/>
      <c r="BA55" s="106"/>
      <c r="BB55" s="147"/>
      <c r="BC55" s="144"/>
      <c r="BD55" s="106"/>
      <c r="BE55" s="106"/>
      <c r="BF55" s="106"/>
      <c r="BG55" s="106"/>
      <c r="BH55" s="106"/>
      <c r="BI55" s="106"/>
      <c r="BJ55" s="106"/>
      <c r="BK55" s="106"/>
      <c r="BL55" s="106"/>
      <c r="BM55" s="106"/>
      <c r="BN55" s="147"/>
      <c r="BO55" s="158"/>
      <c r="BP55" s="134"/>
      <c r="BQ55" s="134"/>
      <c r="BR55" s="134"/>
      <c r="BS55" s="71"/>
      <c r="BT55" s="71"/>
      <c r="BU55" s="71"/>
      <c r="BV55" s="71"/>
      <c r="BW55" s="71"/>
      <c r="BX55" s="71"/>
      <c r="BY55" s="71"/>
      <c r="BZ55" s="71"/>
    </row>
    <row r="56" spans="1:78" ht="14.25" customHeight="1" x14ac:dyDescent="0.25">
      <c r="A56" s="72">
        <v>1</v>
      </c>
      <c r="B56" s="130"/>
      <c r="C56" s="130"/>
      <c r="D56" s="106">
        <v>2</v>
      </c>
      <c r="E56" s="106"/>
      <c r="F56" s="106"/>
      <c r="G56" s="106"/>
      <c r="H56" s="106"/>
      <c r="I56" s="106"/>
      <c r="J56" s="106"/>
      <c r="K56" s="106"/>
      <c r="L56" s="106"/>
      <c r="M56" s="106"/>
      <c r="N56" s="106"/>
      <c r="O56" s="147"/>
      <c r="P56" s="144">
        <v>3</v>
      </c>
      <c r="Q56" s="106"/>
      <c r="R56" s="106"/>
      <c r="S56" s="106">
        <v>4</v>
      </c>
      <c r="T56" s="106"/>
      <c r="U56" s="147"/>
      <c r="V56" s="152">
        <v>5</v>
      </c>
      <c r="W56" s="106"/>
      <c r="X56" s="106"/>
      <c r="Y56" s="106">
        <v>6</v>
      </c>
      <c r="Z56" s="106"/>
      <c r="AA56" s="106"/>
      <c r="AB56" s="106">
        <v>7</v>
      </c>
      <c r="AC56" s="106"/>
      <c r="AD56" s="106"/>
      <c r="AE56" s="106">
        <v>8</v>
      </c>
      <c r="AF56" s="106"/>
      <c r="AG56" s="106"/>
      <c r="AH56" s="106">
        <v>9</v>
      </c>
      <c r="AI56" s="106"/>
      <c r="AJ56" s="106"/>
      <c r="AK56" s="106">
        <v>10</v>
      </c>
      <c r="AL56" s="106"/>
      <c r="AM56" s="106"/>
      <c r="AN56" s="106">
        <v>11</v>
      </c>
      <c r="AO56" s="106"/>
      <c r="AP56" s="147"/>
      <c r="AQ56" s="144">
        <v>12</v>
      </c>
      <c r="AR56" s="106"/>
      <c r="AS56" s="106"/>
      <c r="AT56" s="106">
        <v>13</v>
      </c>
      <c r="AU56" s="106"/>
      <c r="AV56" s="106"/>
      <c r="AW56" s="106">
        <v>14</v>
      </c>
      <c r="AX56" s="106"/>
      <c r="AY56" s="106"/>
      <c r="AZ56" s="106">
        <v>15</v>
      </c>
      <c r="BA56" s="106"/>
      <c r="BB56" s="147"/>
      <c r="BC56" s="144">
        <v>16</v>
      </c>
      <c r="BD56" s="106"/>
      <c r="BE56" s="106"/>
      <c r="BF56" s="106">
        <v>17</v>
      </c>
      <c r="BG56" s="106"/>
      <c r="BH56" s="106"/>
      <c r="BI56" s="106">
        <v>18</v>
      </c>
      <c r="BJ56" s="106"/>
      <c r="BK56" s="106"/>
      <c r="BL56" s="106">
        <v>19</v>
      </c>
      <c r="BM56" s="106"/>
      <c r="BN56" s="147"/>
      <c r="BO56" s="152">
        <v>20</v>
      </c>
      <c r="BP56" s="106"/>
      <c r="BQ56" s="106"/>
      <c r="BR56" s="106"/>
      <c r="BS56" s="71"/>
      <c r="BT56" s="71"/>
      <c r="BU56" s="71"/>
      <c r="BV56" s="71"/>
      <c r="BW56" s="71"/>
      <c r="BX56" s="71"/>
      <c r="BY56" s="71"/>
      <c r="BZ56" s="71"/>
    </row>
    <row r="57" spans="1:78" ht="14.25" customHeight="1" x14ac:dyDescent="0.25">
      <c r="A57" s="72" t="s">
        <v>6</v>
      </c>
      <c r="B57" s="130"/>
      <c r="C57" s="130"/>
      <c r="D57" s="182" t="s">
        <v>111</v>
      </c>
      <c r="E57" s="182"/>
      <c r="F57" s="182"/>
      <c r="G57" s="182"/>
      <c r="H57" s="182"/>
      <c r="I57" s="182"/>
      <c r="J57" s="182"/>
      <c r="K57" s="182"/>
      <c r="L57" s="182"/>
      <c r="M57" s="182"/>
      <c r="N57" s="182"/>
      <c r="O57" s="183"/>
      <c r="P57" s="144">
        <f t="shared" ref="P57:P65" si="5">SUM(V57+AN57)</f>
        <v>1470</v>
      </c>
      <c r="Q57" s="106"/>
      <c r="R57" s="106"/>
      <c r="S57" s="131">
        <f>P57/3600*100</f>
        <v>40.833333333333336</v>
      </c>
      <c r="T57" s="131"/>
      <c r="U57" s="151"/>
      <c r="V57" s="152">
        <f t="shared" ref="V57:V69" si="6">SUM(AQ57+AT57+AW57+AZ57)*15</f>
        <v>570</v>
      </c>
      <c r="W57" s="106"/>
      <c r="X57" s="106"/>
      <c r="Y57" s="106">
        <f>SUM(Y58:AA67)</f>
        <v>110</v>
      </c>
      <c r="Z57" s="106"/>
      <c r="AA57" s="106"/>
      <c r="AB57" s="106">
        <f>SUM(AB58:AD67)</f>
        <v>286</v>
      </c>
      <c r="AC57" s="106"/>
      <c r="AD57" s="106"/>
      <c r="AE57" s="106">
        <f>SUM(AE58:AG67)</f>
        <v>120</v>
      </c>
      <c r="AF57" s="106"/>
      <c r="AG57" s="106"/>
      <c r="AH57" s="106">
        <f>SUM(AH58:AJ67)</f>
        <v>54</v>
      </c>
      <c r="AI57" s="106"/>
      <c r="AJ57" s="106"/>
      <c r="AK57" s="106">
        <f>SUM(AK58:AM67)</f>
        <v>0</v>
      </c>
      <c r="AL57" s="106"/>
      <c r="AM57" s="106"/>
      <c r="AN57" s="106">
        <f>SUM(AN58:AP67)</f>
        <v>900</v>
      </c>
      <c r="AO57" s="106"/>
      <c r="AP57" s="147"/>
      <c r="AQ57" s="144">
        <f>SUM(AQ58:AS67)</f>
        <v>16</v>
      </c>
      <c r="AR57" s="106"/>
      <c r="AS57" s="106"/>
      <c r="AT57" s="106">
        <f>SUM(AT58:AV67)</f>
        <v>6</v>
      </c>
      <c r="AU57" s="106"/>
      <c r="AV57" s="106"/>
      <c r="AW57" s="106">
        <f>SUM(AW58:AY67)</f>
        <v>10</v>
      </c>
      <c r="AX57" s="106"/>
      <c r="AY57" s="106"/>
      <c r="AZ57" s="106">
        <f>SUM(AZ58:BB67)</f>
        <v>6</v>
      </c>
      <c r="BA57" s="106"/>
      <c r="BB57" s="147"/>
      <c r="BC57" s="144">
        <f>SUM(BC58:BE67)</f>
        <v>22</v>
      </c>
      <c r="BD57" s="106"/>
      <c r="BE57" s="106"/>
      <c r="BF57" s="106">
        <f>SUM(BF58:BH67)</f>
        <v>7</v>
      </c>
      <c r="BG57" s="106"/>
      <c r="BH57" s="106"/>
      <c r="BI57" s="106">
        <f>SUM(BI58:BK67)</f>
        <v>12</v>
      </c>
      <c r="BJ57" s="106"/>
      <c r="BK57" s="106"/>
      <c r="BL57" s="106">
        <f>SUM(BL58:BN67)</f>
        <v>8</v>
      </c>
      <c r="BM57" s="106"/>
      <c r="BN57" s="147"/>
      <c r="BO57" s="148">
        <f>SUM(P57/30)</f>
        <v>49</v>
      </c>
      <c r="BP57" s="105"/>
      <c r="BQ57" s="105"/>
      <c r="BR57" s="105"/>
      <c r="BS57" s="71">
        <f>SUM(V57/P57)*100</f>
        <v>38.775510204081634</v>
      </c>
      <c r="BT57" s="71">
        <f>SUM(AN57/P57)*100</f>
        <v>61.224489795918366</v>
      </c>
      <c r="BU57" s="71">
        <f>SUM(Y57:AJ57)</f>
        <v>570</v>
      </c>
      <c r="BV57" s="15">
        <f>IF(BU57=V57,1,0)</f>
        <v>1</v>
      </c>
      <c r="BW57" s="15" t="str">
        <f>IF(BV57=1,"тўғри","хато")</f>
        <v>тўғри</v>
      </c>
      <c r="BX57" s="71">
        <f>SUM(BC57:BN57)</f>
        <v>49</v>
      </c>
      <c r="BY57" s="15">
        <f>IF(BX57=BO57,1,0)</f>
        <v>1</v>
      </c>
      <c r="BZ57" s="15" t="str">
        <f>IF(BY57=1,"тўғри","хато")</f>
        <v>тўғри</v>
      </c>
    </row>
    <row r="58" spans="1:78" ht="14.25" customHeight="1" x14ac:dyDescent="0.25">
      <c r="A58" s="14" t="s">
        <v>7</v>
      </c>
      <c r="B58" s="104" t="s">
        <v>31</v>
      </c>
      <c r="C58" s="104"/>
      <c r="D58" s="149" t="s">
        <v>142</v>
      </c>
      <c r="E58" s="149"/>
      <c r="F58" s="149"/>
      <c r="G58" s="149"/>
      <c r="H58" s="149"/>
      <c r="I58" s="149"/>
      <c r="J58" s="149"/>
      <c r="K58" s="149"/>
      <c r="L58" s="149"/>
      <c r="M58" s="149"/>
      <c r="N58" s="149"/>
      <c r="O58" s="150"/>
      <c r="P58" s="144">
        <f t="shared" si="5"/>
        <v>90</v>
      </c>
      <c r="Q58" s="106"/>
      <c r="R58" s="106"/>
      <c r="S58" s="131"/>
      <c r="T58" s="131"/>
      <c r="U58" s="151"/>
      <c r="V58" s="152">
        <f t="shared" si="6"/>
        <v>30</v>
      </c>
      <c r="W58" s="106"/>
      <c r="X58" s="106"/>
      <c r="Y58" s="104">
        <v>16</v>
      </c>
      <c r="Z58" s="104"/>
      <c r="AA58" s="104"/>
      <c r="AB58" s="104">
        <v>14</v>
      </c>
      <c r="AC58" s="104"/>
      <c r="AD58" s="104"/>
      <c r="AE58" s="104"/>
      <c r="AF58" s="104"/>
      <c r="AG58" s="104"/>
      <c r="AH58" s="104"/>
      <c r="AI58" s="104"/>
      <c r="AJ58" s="104"/>
      <c r="AK58" s="104"/>
      <c r="AL58" s="104"/>
      <c r="AM58" s="104"/>
      <c r="AN58" s="104">
        <v>60</v>
      </c>
      <c r="AO58" s="104"/>
      <c r="AP58" s="145"/>
      <c r="AQ58" s="146">
        <v>2</v>
      </c>
      <c r="AR58" s="104"/>
      <c r="AS58" s="104"/>
      <c r="AT58" s="104"/>
      <c r="AU58" s="104"/>
      <c r="AV58" s="104"/>
      <c r="AW58" s="104"/>
      <c r="AX58" s="104"/>
      <c r="AY58" s="104"/>
      <c r="AZ58" s="104"/>
      <c r="BA58" s="104"/>
      <c r="BB58" s="145"/>
      <c r="BC58" s="146">
        <v>3</v>
      </c>
      <c r="BD58" s="104"/>
      <c r="BE58" s="104"/>
      <c r="BF58" s="104"/>
      <c r="BG58" s="104"/>
      <c r="BH58" s="104"/>
      <c r="BI58" s="104"/>
      <c r="BJ58" s="104"/>
      <c r="BK58" s="104"/>
      <c r="BL58" s="104"/>
      <c r="BM58" s="104"/>
      <c r="BN58" s="145"/>
      <c r="BO58" s="148">
        <f t="shared" ref="BO58:BO78" si="7">SUM(P58/30)</f>
        <v>3</v>
      </c>
      <c r="BP58" s="105"/>
      <c r="BQ58" s="105"/>
      <c r="BR58" s="105"/>
      <c r="BS58" s="71">
        <f>SUM(V58/P58)*100</f>
        <v>33.333333333333329</v>
      </c>
      <c r="BT58" s="71">
        <f>SUM(AN58/P58)*100</f>
        <v>66.666666666666657</v>
      </c>
      <c r="BU58" s="71">
        <f>SUM(Y58:AJ58)</f>
        <v>30</v>
      </c>
      <c r="BV58" s="15">
        <f>IF(BU58=V58,1,0)</f>
        <v>1</v>
      </c>
      <c r="BW58" s="15" t="str">
        <f>IF(BV58=1,"тўғри","хато")</f>
        <v>тўғри</v>
      </c>
      <c r="BX58" s="71">
        <f>SUM(BC58:BN58)</f>
        <v>3</v>
      </c>
      <c r="BY58" s="15">
        <f>IF(BX58=BO58,1,0)</f>
        <v>1</v>
      </c>
      <c r="BZ58" s="15" t="str">
        <f>IF(BY58=1,"тўғри","хато")</f>
        <v>тўғри</v>
      </c>
    </row>
    <row r="59" spans="1:78" ht="14.25" customHeight="1" x14ac:dyDescent="0.25">
      <c r="A59" s="14" t="s">
        <v>8</v>
      </c>
      <c r="B59" s="104" t="s">
        <v>213</v>
      </c>
      <c r="C59" s="104"/>
      <c r="D59" s="149" t="s">
        <v>143</v>
      </c>
      <c r="E59" s="149"/>
      <c r="F59" s="149"/>
      <c r="G59" s="149"/>
      <c r="H59" s="149"/>
      <c r="I59" s="149"/>
      <c r="J59" s="149"/>
      <c r="K59" s="149"/>
      <c r="L59" s="149"/>
      <c r="M59" s="149"/>
      <c r="N59" s="149"/>
      <c r="O59" s="150"/>
      <c r="P59" s="144">
        <f t="shared" si="5"/>
        <v>90</v>
      </c>
      <c r="Q59" s="106"/>
      <c r="R59" s="106"/>
      <c r="S59" s="131"/>
      <c r="T59" s="131"/>
      <c r="U59" s="151"/>
      <c r="V59" s="152">
        <f t="shared" si="6"/>
        <v>30</v>
      </c>
      <c r="W59" s="106"/>
      <c r="X59" s="106"/>
      <c r="Y59" s="104">
        <v>16</v>
      </c>
      <c r="Z59" s="104"/>
      <c r="AA59" s="104"/>
      <c r="AB59" s="104">
        <v>14</v>
      </c>
      <c r="AC59" s="104"/>
      <c r="AD59" s="104"/>
      <c r="AE59" s="104"/>
      <c r="AF59" s="104"/>
      <c r="AG59" s="104"/>
      <c r="AH59" s="104"/>
      <c r="AI59" s="104"/>
      <c r="AJ59" s="104"/>
      <c r="AK59" s="104"/>
      <c r="AL59" s="104"/>
      <c r="AM59" s="104"/>
      <c r="AN59" s="104">
        <v>60</v>
      </c>
      <c r="AO59" s="104"/>
      <c r="AP59" s="145"/>
      <c r="AQ59" s="146"/>
      <c r="AR59" s="104"/>
      <c r="AS59" s="104"/>
      <c r="AT59" s="104"/>
      <c r="AU59" s="104"/>
      <c r="AV59" s="104"/>
      <c r="AW59" s="104">
        <v>2</v>
      </c>
      <c r="AX59" s="104"/>
      <c r="AY59" s="104"/>
      <c r="AZ59" s="104"/>
      <c r="BA59" s="104"/>
      <c r="BB59" s="145"/>
      <c r="BC59" s="146"/>
      <c r="BD59" s="104"/>
      <c r="BE59" s="104"/>
      <c r="BF59" s="104"/>
      <c r="BG59" s="104"/>
      <c r="BH59" s="104"/>
      <c r="BI59" s="104">
        <v>3</v>
      </c>
      <c r="BJ59" s="104"/>
      <c r="BK59" s="104"/>
      <c r="BL59" s="104"/>
      <c r="BM59" s="104"/>
      <c r="BN59" s="145"/>
      <c r="BO59" s="148">
        <f t="shared" si="7"/>
        <v>3</v>
      </c>
      <c r="BP59" s="105"/>
      <c r="BQ59" s="105"/>
      <c r="BR59" s="105"/>
      <c r="BS59" s="71">
        <f t="shared" ref="BS59" si="8">SUM(V59/P59)*100</f>
        <v>33.333333333333329</v>
      </c>
      <c r="BT59" s="71">
        <f t="shared" ref="BT59" si="9">SUM(AN59/P59)*100</f>
        <v>66.666666666666657</v>
      </c>
      <c r="BU59" s="71">
        <f t="shared" ref="BU59" si="10">SUM(Y59:AJ59)</f>
        <v>30</v>
      </c>
      <c r="BV59" s="15">
        <f t="shared" ref="BV59:BV78" si="11">IF(BU59=V59,1,0)</f>
        <v>1</v>
      </c>
      <c r="BW59" s="15" t="str">
        <f t="shared" ref="BW59:BW78" si="12">IF(BV59=1,"тўғри","хато")</f>
        <v>тўғри</v>
      </c>
      <c r="BX59" s="71">
        <f t="shared" ref="BX59:BX83" si="13">SUM(BC59:BN59)</f>
        <v>3</v>
      </c>
      <c r="BY59" s="15">
        <f t="shared" ref="BY59:BY83" si="14">IF(BX59=BO59,1,0)</f>
        <v>1</v>
      </c>
      <c r="BZ59" s="15" t="str">
        <f t="shared" ref="BZ59:BZ77" si="15">IF(BY59=1,"тўғри","хато")</f>
        <v>тўғри</v>
      </c>
    </row>
    <row r="60" spans="1:78" ht="14.25" customHeight="1" x14ac:dyDescent="0.25">
      <c r="A60" s="14" t="s">
        <v>23</v>
      </c>
      <c r="B60" s="104" t="s">
        <v>257</v>
      </c>
      <c r="C60" s="104"/>
      <c r="D60" s="149" t="s">
        <v>256</v>
      </c>
      <c r="E60" s="149"/>
      <c r="F60" s="149"/>
      <c r="G60" s="149"/>
      <c r="H60" s="149"/>
      <c r="I60" s="149"/>
      <c r="J60" s="149"/>
      <c r="K60" s="149"/>
      <c r="L60" s="149"/>
      <c r="M60" s="149"/>
      <c r="N60" s="149"/>
      <c r="O60" s="150"/>
      <c r="P60" s="144">
        <f t="shared" si="5"/>
        <v>270</v>
      </c>
      <c r="Q60" s="106"/>
      <c r="R60" s="106"/>
      <c r="S60" s="106"/>
      <c r="T60" s="106"/>
      <c r="U60" s="147"/>
      <c r="V60" s="152">
        <f t="shared" si="6"/>
        <v>120</v>
      </c>
      <c r="W60" s="106"/>
      <c r="X60" s="106"/>
      <c r="Y60" s="104"/>
      <c r="Z60" s="104"/>
      <c r="AA60" s="104"/>
      <c r="AB60" s="104"/>
      <c r="AC60" s="104"/>
      <c r="AD60" s="104"/>
      <c r="AE60" s="104">
        <v>120</v>
      </c>
      <c r="AF60" s="104"/>
      <c r="AG60" s="104"/>
      <c r="AH60" s="104"/>
      <c r="AI60" s="104"/>
      <c r="AJ60" s="104"/>
      <c r="AK60" s="106"/>
      <c r="AL60" s="106"/>
      <c r="AM60" s="106"/>
      <c r="AN60" s="104">
        <v>150</v>
      </c>
      <c r="AO60" s="104"/>
      <c r="AP60" s="145"/>
      <c r="AQ60" s="146">
        <v>2</v>
      </c>
      <c r="AR60" s="104"/>
      <c r="AS60" s="104"/>
      <c r="AT60" s="104">
        <v>2</v>
      </c>
      <c r="AU60" s="104"/>
      <c r="AV60" s="104"/>
      <c r="AW60" s="104">
        <v>2</v>
      </c>
      <c r="AX60" s="104"/>
      <c r="AY60" s="104"/>
      <c r="AZ60" s="104">
        <v>2</v>
      </c>
      <c r="BA60" s="104"/>
      <c r="BB60" s="145"/>
      <c r="BC60" s="146">
        <v>2</v>
      </c>
      <c r="BD60" s="104"/>
      <c r="BE60" s="104"/>
      <c r="BF60" s="104">
        <v>2</v>
      </c>
      <c r="BG60" s="104"/>
      <c r="BH60" s="104"/>
      <c r="BI60" s="104">
        <v>2</v>
      </c>
      <c r="BJ60" s="104"/>
      <c r="BK60" s="104"/>
      <c r="BL60" s="104">
        <v>3</v>
      </c>
      <c r="BM60" s="104"/>
      <c r="BN60" s="145"/>
      <c r="BO60" s="148">
        <f t="shared" si="7"/>
        <v>9</v>
      </c>
      <c r="BP60" s="105"/>
      <c r="BQ60" s="105"/>
      <c r="BR60" s="105"/>
      <c r="BS60" s="71">
        <f t="shared" ref="BS60:BS83" si="16">SUM(V60/P60)*100</f>
        <v>44.444444444444443</v>
      </c>
      <c r="BT60" s="71">
        <f t="shared" ref="BT60:BT83" si="17">SUM(AN60/P60)*100</f>
        <v>55.555555555555557</v>
      </c>
      <c r="BU60" s="71">
        <f t="shared" ref="BU60:BU65" si="18">SUM(Y60:AJ60)</f>
        <v>120</v>
      </c>
      <c r="BV60" s="15">
        <f t="shared" si="11"/>
        <v>1</v>
      </c>
      <c r="BW60" s="15" t="str">
        <f t="shared" si="12"/>
        <v>тўғри</v>
      </c>
      <c r="BX60" s="71">
        <f t="shared" si="13"/>
        <v>9</v>
      </c>
      <c r="BY60" s="15">
        <f t="shared" si="14"/>
        <v>1</v>
      </c>
      <c r="BZ60" s="15" t="str">
        <f t="shared" si="15"/>
        <v>тўғри</v>
      </c>
    </row>
    <row r="61" spans="1:78" ht="14.25" customHeight="1" x14ac:dyDescent="0.25">
      <c r="A61" s="14" t="s">
        <v>24</v>
      </c>
      <c r="B61" s="104" t="s">
        <v>259</v>
      </c>
      <c r="C61" s="104"/>
      <c r="D61" s="149" t="s">
        <v>258</v>
      </c>
      <c r="E61" s="149"/>
      <c r="F61" s="149"/>
      <c r="G61" s="149"/>
      <c r="H61" s="149"/>
      <c r="I61" s="149"/>
      <c r="J61" s="149"/>
      <c r="K61" s="149"/>
      <c r="L61" s="149"/>
      <c r="M61" s="149"/>
      <c r="N61" s="149"/>
      <c r="O61" s="150"/>
      <c r="P61" s="144">
        <f t="shared" si="5"/>
        <v>270</v>
      </c>
      <c r="Q61" s="106"/>
      <c r="R61" s="106"/>
      <c r="S61" s="106"/>
      <c r="T61" s="106"/>
      <c r="U61" s="147"/>
      <c r="V61" s="152">
        <f t="shared" si="6"/>
        <v>120</v>
      </c>
      <c r="W61" s="106"/>
      <c r="X61" s="106"/>
      <c r="Y61" s="104"/>
      <c r="Z61" s="104"/>
      <c r="AA61" s="104"/>
      <c r="AB61" s="104">
        <v>120</v>
      </c>
      <c r="AC61" s="104"/>
      <c r="AD61" s="104"/>
      <c r="AE61" s="104"/>
      <c r="AF61" s="104"/>
      <c r="AG61" s="104"/>
      <c r="AH61" s="104"/>
      <c r="AI61" s="104"/>
      <c r="AJ61" s="104"/>
      <c r="AK61" s="106"/>
      <c r="AL61" s="106"/>
      <c r="AM61" s="106"/>
      <c r="AN61" s="104">
        <v>150</v>
      </c>
      <c r="AO61" s="104"/>
      <c r="AP61" s="145"/>
      <c r="AQ61" s="146">
        <v>2</v>
      </c>
      <c r="AR61" s="104"/>
      <c r="AS61" s="104"/>
      <c r="AT61" s="104">
        <v>2</v>
      </c>
      <c r="AU61" s="104"/>
      <c r="AV61" s="104"/>
      <c r="AW61" s="104">
        <v>2</v>
      </c>
      <c r="AX61" s="104"/>
      <c r="AY61" s="104"/>
      <c r="AZ61" s="104">
        <v>2</v>
      </c>
      <c r="BA61" s="104"/>
      <c r="BB61" s="145"/>
      <c r="BC61" s="146">
        <v>2</v>
      </c>
      <c r="BD61" s="104"/>
      <c r="BE61" s="104"/>
      <c r="BF61" s="104">
        <v>2</v>
      </c>
      <c r="BG61" s="104"/>
      <c r="BH61" s="104"/>
      <c r="BI61" s="104">
        <v>2</v>
      </c>
      <c r="BJ61" s="104"/>
      <c r="BK61" s="104"/>
      <c r="BL61" s="104">
        <v>3</v>
      </c>
      <c r="BM61" s="104"/>
      <c r="BN61" s="145"/>
      <c r="BO61" s="148">
        <f t="shared" si="7"/>
        <v>9</v>
      </c>
      <c r="BP61" s="105"/>
      <c r="BQ61" s="105"/>
      <c r="BR61" s="105"/>
      <c r="BS61" s="71">
        <f t="shared" si="16"/>
        <v>44.444444444444443</v>
      </c>
      <c r="BT61" s="71">
        <f t="shared" si="17"/>
        <v>55.555555555555557</v>
      </c>
      <c r="BU61" s="71">
        <f t="shared" si="18"/>
        <v>120</v>
      </c>
      <c r="BV61" s="15">
        <f t="shared" si="11"/>
        <v>1</v>
      </c>
      <c r="BW61" s="15" t="str">
        <f t="shared" si="12"/>
        <v>тўғри</v>
      </c>
      <c r="BX61" s="71">
        <f t="shared" si="13"/>
        <v>9</v>
      </c>
      <c r="BY61" s="15">
        <f t="shared" si="14"/>
        <v>1</v>
      </c>
      <c r="BZ61" s="15" t="str">
        <f t="shared" si="15"/>
        <v>тўғри</v>
      </c>
    </row>
    <row r="62" spans="1:78" ht="14.25" customHeight="1" x14ac:dyDescent="0.25">
      <c r="A62" s="14" t="s">
        <v>25</v>
      </c>
      <c r="B62" s="104" t="s">
        <v>260</v>
      </c>
      <c r="C62" s="104"/>
      <c r="D62" s="149" t="s">
        <v>261</v>
      </c>
      <c r="E62" s="149"/>
      <c r="F62" s="149"/>
      <c r="G62" s="149"/>
      <c r="H62" s="149"/>
      <c r="I62" s="149"/>
      <c r="J62" s="149"/>
      <c r="K62" s="149"/>
      <c r="L62" s="149"/>
      <c r="M62" s="149"/>
      <c r="N62" s="149"/>
      <c r="O62" s="150"/>
      <c r="P62" s="144">
        <f t="shared" ref="P62" si="19">SUM(V62+AN62)</f>
        <v>240</v>
      </c>
      <c r="Q62" s="106"/>
      <c r="R62" s="106"/>
      <c r="S62" s="106"/>
      <c r="T62" s="106"/>
      <c r="U62" s="147"/>
      <c r="V62" s="152">
        <f t="shared" ref="V62" si="20">SUM(AQ62+AT62+AW62+AZ62)*15</f>
        <v>90</v>
      </c>
      <c r="W62" s="106"/>
      <c r="X62" s="106"/>
      <c r="Y62" s="104"/>
      <c r="Z62" s="104"/>
      <c r="AA62" s="104"/>
      <c r="AB62" s="104">
        <v>90</v>
      </c>
      <c r="AC62" s="104"/>
      <c r="AD62" s="104"/>
      <c r="AE62" s="104"/>
      <c r="AF62" s="104"/>
      <c r="AG62" s="104"/>
      <c r="AH62" s="104"/>
      <c r="AI62" s="104"/>
      <c r="AJ62" s="104"/>
      <c r="AK62" s="106"/>
      <c r="AL62" s="106"/>
      <c r="AM62" s="106"/>
      <c r="AN62" s="104">
        <v>150</v>
      </c>
      <c r="AO62" s="104"/>
      <c r="AP62" s="145"/>
      <c r="AQ62" s="146">
        <v>2</v>
      </c>
      <c r="AR62" s="104"/>
      <c r="AS62" s="104"/>
      <c r="AT62" s="104">
        <v>2</v>
      </c>
      <c r="AU62" s="104"/>
      <c r="AV62" s="104"/>
      <c r="AW62" s="104">
        <v>2</v>
      </c>
      <c r="AX62" s="104"/>
      <c r="AY62" s="104"/>
      <c r="AZ62" s="104"/>
      <c r="BA62" s="104"/>
      <c r="BB62" s="145"/>
      <c r="BC62" s="146">
        <v>3</v>
      </c>
      <c r="BD62" s="104"/>
      <c r="BE62" s="104"/>
      <c r="BF62" s="104">
        <v>3</v>
      </c>
      <c r="BG62" s="104"/>
      <c r="BH62" s="104"/>
      <c r="BI62" s="104">
        <v>2</v>
      </c>
      <c r="BJ62" s="104"/>
      <c r="BK62" s="104"/>
      <c r="BL62" s="104"/>
      <c r="BM62" s="104"/>
      <c r="BN62" s="145"/>
      <c r="BO62" s="148">
        <f t="shared" ref="BO62" si="21">SUM(P62/30)</f>
        <v>8</v>
      </c>
      <c r="BP62" s="105"/>
      <c r="BQ62" s="105"/>
      <c r="BR62" s="105"/>
      <c r="BS62" s="71">
        <f t="shared" ref="BS62" si="22">SUM(V62/P62)*100</f>
        <v>37.5</v>
      </c>
      <c r="BT62" s="71">
        <f t="shared" ref="BT62" si="23">SUM(AN62/P62)*100</f>
        <v>62.5</v>
      </c>
      <c r="BU62" s="71">
        <f t="shared" ref="BU62" si="24">SUM(Y62:AJ62)</f>
        <v>90</v>
      </c>
      <c r="BV62" s="15">
        <f t="shared" ref="BV62" si="25">IF(BU62=V62,1,0)</f>
        <v>1</v>
      </c>
      <c r="BW62" s="15" t="str">
        <f t="shared" ref="BW62" si="26">IF(BV62=1,"тўғри","хато")</f>
        <v>тўғри</v>
      </c>
      <c r="BX62" s="71">
        <f t="shared" ref="BX62" si="27">SUM(BC62:BN62)</f>
        <v>8</v>
      </c>
      <c r="BY62" s="15">
        <f t="shared" ref="BY62" si="28">IF(BX62=BO62,1,0)</f>
        <v>1</v>
      </c>
      <c r="BZ62" s="15" t="str">
        <f t="shared" ref="BZ62" si="29">IF(BY62=1,"тўғри","хато")</f>
        <v>тўғри</v>
      </c>
    </row>
    <row r="63" spans="1:78" ht="14.25" customHeight="1" x14ac:dyDescent="0.25">
      <c r="A63" s="14" t="s">
        <v>26</v>
      </c>
      <c r="B63" s="104" t="s">
        <v>34</v>
      </c>
      <c r="C63" s="104"/>
      <c r="D63" s="149" t="s">
        <v>151</v>
      </c>
      <c r="E63" s="149"/>
      <c r="F63" s="149"/>
      <c r="G63" s="149"/>
      <c r="H63" s="149"/>
      <c r="I63" s="149"/>
      <c r="J63" s="149"/>
      <c r="K63" s="149"/>
      <c r="L63" s="149"/>
      <c r="M63" s="149"/>
      <c r="N63" s="149"/>
      <c r="O63" s="150"/>
      <c r="P63" s="144">
        <f t="shared" si="5"/>
        <v>90</v>
      </c>
      <c r="Q63" s="106"/>
      <c r="R63" s="106"/>
      <c r="S63" s="127"/>
      <c r="T63" s="127"/>
      <c r="U63" s="208"/>
      <c r="V63" s="152">
        <f t="shared" si="6"/>
        <v>30</v>
      </c>
      <c r="W63" s="106"/>
      <c r="X63" s="106"/>
      <c r="Y63" s="104">
        <v>10</v>
      </c>
      <c r="Z63" s="104"/>
      <c r="AA63" s="104"/>
      <c r="AB63" s="104">
        <v>10</v>
      </c>
      <c r="AC63" s="104"/>
      <c r="AD63" s="104"/>
      <c r="AE63" s="104"/>
      <c r="AF63" s="104"/>
      <c r="AG63" s="104"/>
      <c r="AH63" s="104">
        <v>10</v>
      </c>
      <c r="AI63" s="104"/>
      <c r="AJ63" s="104"/>
      <c r="AK63" s="104"/>
      <c r="AL63" s="104"/>
      <c r="AM63" s="104"/>
      <c r="AN63" s="104">
        <v>60</v>
      </c>
      <c r="AO63" s="104"/>
      <c r="AP63" s="145"/>
      <c r="AQ63" s="146">
        <v>2</v>
      </c>
      <c r="AR63" s="104"/>
      <c r="AS63" s="104"/>
      <c r="AT63" s="104"/>
      <c r="AU63" s="104"/>
      <c r="AV63" s="104"/>
      <c r="AW63" s="104"/>
      <c r="AX63" s="104"/>
      <c r="AY63" s="104"/>
      <c r="AZ63" s="104"/>
      <c r="BA63" s="104"/>
      <c r="BB63" s="145"/>
      <c r="BC63" s="146">
        <v>3</v>
      </c>
      <c r="BD63" s="104"/>
      <c r="BE63" s="104"/>
      <c r="BF63" s="104"/>
      <c r="BG63" s="104"/>
      <c r="BH63" s="104"/>
      <c r="BI63" s="104"/>
      <c r="BJ63" s="104"/>
      <c r="BK63" s="104"/>
      <c r="BL63" s="104"/>
      <c r="BM63" s="104"/>
      <c r="BN63" s="145"/>
      <c r="BO63" s="148">
        <f t="shared" si="7"/>
        <v>3</v>
      </c>
      <c r="BP63" s="105"/>
      <c r="BQ63" s="105"/>
      <c r="BR63" s="105"/>
      <c r="BS63" s="71">
        <f t="shared" si="16"/>
        <v>33.333333333333329</v>
      </c>
      <c r="BT63" s="71">
        <f t="shared" si="17"/>
        <v>66.666666666666657</v>
      </c>
      <c r="BU63" s="71">
        <f t="shared" si="18"/>
        <v>30</v>
      </c>
      <c r="BV63" s="15">
        <f t="shared" si="11"/>
        <v>1</v>
      </c>
      <c r="BW63" s="15" t="str">
        <f t="shared" si="12"/>
        <v>тўғри</v>
      </c>
      <c r="BX63" s="71">
        <f t="shared" si="13"/>
        <v>3</v>
      </c>
      <c r="BY63" s="15">
        <f t="shared" si="14"/>
        <v>1</v>
      </c>
      <c r="BZ63" s="15" t="str">
        <f t="shared" si="15"/>
        <v>тўғри</v>
      </c>
    </row>
    <row r="64" spans="1:78" ht="14.25" customHeight="1" x14ac:dyDescent="0.25">
      <c r="A64" s="14" t="s">
        <v>27</v>
      </c>
      <c r="B64" s="104" t="s">
        <v>38</v>
      </c>
      <c r="C64" s="104"/>
      <c r="D64" s="149" t="s">
        <v>153</v>
      </c>
      <c r="E64" s="149"/>
      <c r="F64" s="149"/>
      <c r="G64" s="149"/>
      <c r="H64" s="149"/>
      <c r="I64" s="149"/>
      <c r="J64" s="149"/>
      <c r="K64" s="149"/>
      <c r="L64" s="149"/>
      <c r="M64" s="149"/>
      <c r="N64" s="149"/>
      <c r="O64" s="150"/>
      <c r="P64" s="144">
        <f t="shared" si="5"/>
        <v>90</v>
      </c>
      <c r="Q64" s="106"/>
      <c r="R64" s="106"/>
      <c r="S64" s="127"/>
      <c r="T64" s="127"/>
      <c r="U64" s="208"/>
      <c r="V64" s="152">
        <f t="shared" si="6"/>
        <v>30</v>
      </c>
      <c r="W64" s="106"/>
      <c r="X64" s="106"/>
      <c r="Y64" s="104">
        <v>10</v>
      </c>
      <c r="Z64" s="104"/>
      <c r="AA64" s="104"/>
      <c r="AB64" s="104">
        <v>10</v>
      </c>
      <c r="AC64" s="104"/>
      <c r="AD64" s="104"/>
      <c r="AE64" s="104"/>
      <c r="AF64" s="104"/>
      <c r="AG64" s="104"/>
      <c r="AH64" s="104">
        <v>10</v>
      </c>
      <c r="AI64" s="104"/>
      <c r="AJ64" s="104"/>
      <c r="AK64" s="104"/>
      <c r="AL64" s="104"/>
      <c r="AM64" s="104"/>
      <c r="AN64" s="104">
        <v>60</v>
      </c>
      <c r="AO64" s="104"/>
      <c r="AP64" s="145"/>
      <c r="AQ64" s="146">
        <v>2</v>
      </c>
      <c r="AR64" s="104"/>
      <c r="AS64" s="104"/>
      <c r="AT64" s="104"/>
      <c r="AU64" s="104"/>
      <c r="AV64" s="104"/>
      <c r="AW64" s="104"/>
      <c r="AX64" s="104"/>
      <c r="AY64" s="104"/>
      <c r="AZ64" s="104"/>
      <c r="BA64" s="104"/>
      <c r="BB64" s="145"/>
      <c r="BC64" s="146">
        <v>3</v>
      </c>
      <c r="BD64" s="104"/>
      <c r="BE64" s="104"/>
      <c r="BF64" s="104"/>
      <c r="BG64" s="104"/>
      <c r="BH64" s="104"/>
      <c r="BI64" s="104"/>
      <c r="BJ64" s="104"/>
      <c r="BK64" s="104"/>
      <c r="BL64" s="104"/>
      <c r="BM64" s="104"/>
      <c r="BN64" s="145"/>
      <c r="BO64" s="148">
        <f t="shared" si="7"/>
        <v>3</v>
      </c>
      <c r="BP64" s="105"/>
      <c r="BQ64" s="105"/>
      <c r="BR64" s="105"/>
      <c r="BS64" s="71">
        <f t="shared" si="16"/>
        <v>33.333333333333329</v>
      </c>
      <c r="BT64" s="71">
        <f t="shared" si="17"/>
        <v>66.666666666666657</v>
      </c>
      <c r="BU64" s="71">
        <f t="shared" si="18"/>
        <v>30</v>
      </c>
      <c r="BV64" s="15">
        <f t="shared" si="11"/>
        <v>1</v>
      </c>
      <c r="BW64" s="15" t="str">
        <f t="shared" si="12"/>
        <v>тўғри</v>
      </c>
      <c r="BX64" s="71">
        <f t="shared" si="13"/>
        <v>3</v>
      </c>
      <c r="BY64" s="15">
        <f t="shared" si="14"/>
        <v>1</v>
      </c>
      <c r="BZ64" s="15" t="str">
        <f t="shared" si="15"/>
        <v>тўғри</v>
      </c>
    </row>
    <row r="65" spans="1:78" ht="14.25" customHeight="1" x14ac:dyDescent="0.25">
      <c r="A65" s="14" t="s">
        <v>28</v>
      </c>
      <c r="B65" s="104" t="s">
        <v>37</v>
      </c>
      <c r="C65" s="104"/>
      <c r="D65" s="149" t="s">
        <v>152</v>
      </c>
      <c r="E65" s="149"/>
      <c r="F65" s="149"/>
      <c r="G65" s="149"/>
      <c r="H65" s="149"/>
      <c r="I65" s="149"/>
      <c r="J65" s="149"/>
      <c r="K65" s="149"/>
      <c r="L65" s="149"/>
      <c r="M65" s="149"/>
      <c r="N65" s="149"/>
      <c r="O65" s="150"/>
      <c r="P65" s="144">
        <f t="shared" si="5"/>
        <v>90</v>
      </c>
      <c r="Q65" s="106"/>
      <c r="R65" s="106"/>
      <c r="S65" s="127"/>
      <c r="T65" s="127"/>
      <c r="U65" s="208"/>
      <c r="V65" s="152">
        <f t="shared" si="6"/>
        <v>30</v>
      </c>
      <c r="W65" s="106"/>
      <c r="X65" s="106"/>
      <c r="Y65" s="104">
        <v>10</v>
      </c>
      <c r="Z65" s="104"/>
      <c r="AA65" s="104"/>
      <c r="AB65" s="104">
        <v>10</v>
      </c>
      <c r="AC65" s="104"/>
      <c r="AD65" s="104"/>
      <c r="AE65" s="104"/>
      <c r="AF65" s="104"/>
      <c r="AG65" s="104"/>
      <c r="AH65" s="104">
        <v>10</v>
      </c>
      <c r="AI65" s="104"/>
      <c r="AJ65" s="104"/>
      <c r="AK65" s="104"/>
      <c r="AL65" s="104"/>
      <c r="AM65" s="104"/>
      <c r="AN65" s="104">
        <v>60</v>
      </c>
      <c r="AO65" s="104"/>
      <c r="AP65" s="145"/>
      <c r="AQ65" s="146">
        <v>2</v>
      </c>
      <c r="AR65" s="104"/>
      <c r="AS65" s="104"/>
      <c r="AT65" s="104"/>
      <c r="AU65" s="104"/>
      <c r="AV65" s="104"/>
      <c r="AW65" s="104"/>
      <c r="AX65" s="104"/>
      <c r="AY65" s="104"/>
      <c r="AZ65" s="104"/>
      <c r="BA65" s="104"/>
      <c r="BB65" s="145"/>
      <c r="BC65" s="146">
        <v>3</v>
      </c>
      <c r="BD65" s="104"/>
      <c r="BE65" s="104"/>
      <c r="BF65" s="104"/>
      <c r="BG65" s="104"/>
      <c r="BH65" s="104"/>
      <c r="BI65" s="104"/>
      <c r="BJ65" s="104"/>
      <c r="BK65" s="104"/>
      <c r="BL65" s="104"/>
      <c r="BM65" s="104"/>
      <c r="BN65" s="145"/>
      <c r="BO65" s="148">
        <f t="shared" si="7"/>
        <v>3</v>
      </c>
      <c r="BP65" s="105"/>
      <c r="BQ65" s="105"/>
      <c r="BR65" s="105"/>
      <c r="BS65" s="71">
        <f t="shared" si="16"/>
        <v>33.333333333333329</v>
      </c>
      <c r="BT65" s="71">
        <f t="shared" si="17"/>
        <v>66.666666666666657</v>
      </c>
      <c r="BU65" s="71">
        <f t="shared" si="18"/>
        <v>30</v>
      </c>
      <c r="BV65" s="15">
        <f t="shared" si="11"/>
        <v>1</v>
      </c>
      <c r="BW65" s="15" t="str">
        <f t="shared" si="12"/>
        <v>тўғри</v>
      </c>
      <c r="BX65" s="71">
        <f t="shared" si="13"/>
        <v>3</v>
      </c>
      <c r="BY65" s="15">
        <f t="shared" si="14"/>
        <v>1</v>
      </c>
      <c r="BZ65" s="15" t="str">
        <f t="shared" si="15"/>
        <v>тўғри</v>
      </c>
    </row>
    <row r="66" spans="1:78" ht="14.25" customHeight="1" x14ac:dyDescent="0.25">
      <c r="A66" s="14" t="s">
        <v>29</v>
      </c>
      <c r="B66" s="104" t="s">
        <v>47</v>
      </c>
      <c r="C66" s="104"/>
      <c r="D66" s="149" t="s">
        <v>156</v>
      </c>
      <c r="E66" s="149"/>
      <c r="F66" s="149"/>
      <c r="G66" s="149"/>
      <c r="H66" s="149"/>
      <c r="I66" s="149"/>
      <c r="J66" s="149"/>
      <c r="K66" s="149"/>
      <c r="L66" s="149"/>
      <c r="M66" s="149"/>
      <c r="N66" s="149"/>
      <c r="O66" s="150"/>
      <c r="P66" s="144">
        <f>SUM(V66+AN66)</f>
        <v>90</v>
      </c>
      <c r="Q66" s="106"/>
      <c r="R66" s="106"/>
      <c r="S66" s="131"/>
      <c r="T66" s="131"/>
      <c r="U66" s="151"/>
      <c r="V66" s="152">
        <f t="shared" si="6"/>
        <v>30</v>
      </c>
      <c r="W66" s="106"/>
      <c r="X66" s="106"/>
      <c r="Y66" s="104">
        <v>16</v>
      </c>
      <c r="Z66" s="104"/>
      <c r="AA66" s="104"/>
      <c r="AB66" s="104">
        <v>6</v>
      </c>
      <c r="AC66" s="104"/>
      <c r="AD66" s="104"/>
      <c r="AE66" s="104"/>
      <c r="AF66" s="104"/>
      <c r="AG66" s="104"/>
      <c r="AH66" s="104">
        <v>8</v>
      </c>
      <c r="AI66" s="104"/>
      <c r="AJ66" s="104"/>
      <c r="AK66" s="106"/>
      <c r="AL66" s="106"/>
      <c r="AM66" s="106"/>
      <c r="AN66" s="104">
        <v>60</v>
      </c>
      <c r="AO66" s="104"/>
      <c r="AP66" s="145"/>
      <c r="AQ66" s="146">
        <v>2</v>
      </c>
      <c r="AR66" s="104"/>
      <c r="AS66" s="104"/>
      <c r="AT66" s="104"/>
      <c r="AU66" s="104"/>
      <c r="AV66" s="104"/>
      <c r="AW66" s="104"/>
      <c r="AX66" s="104"/>
      <c r="AY66" s="104"/>
      <c r="AZ66" s="104"/>
      <c r="BA66" s="104"/>
      <c r="BB66" s="145"/>
      <c r="BC66" s="146">
        <v>3</v>
      </c>
      <c r="BD66" s="104"/>
      <c r="BE66" s="104"/>
      <c r="BF66" s="104"/>
      <c r="BG66" s="104"/>
      <c r="BH66" s="104"/>
      <c r="BI66" s="104"/>
      <c r="BJ66" s="104"/>
      <c r="BK66" s="104"/>
      <c r="BL66" s="104"/>
      <c r="BM66" s="104"/>
      <c r="BN66" s="145"/>
      <c r="BO66" s="148">
        <f t="shared" si="7"/>
        <v>3</v>
      </c>
      <c r="BP66" s="105"/>
      <c r="BQ66" s="105"/>
      <c r="BR66" s="105"/>
      <c r="BS66" s="71">
        <f t="shared" ref="BS66:BS82" si="30">SUM(V66/P66)*100</f>
        <v>33.333333333333329</v>
      </c>
      <c r="BT66" s="71">
        <f t="shared" ref="BT66:BT82" si="31">SUM(AN66/P66)*100</f>
        <v>66.666666666666657</v>
      </c>
      <c r="BU66" s="71">
        <f t="shared" ref="BU66:BU78" si="32">SUM(Y66:AJ66)</f>
        <v>30</v>
      </c>
      <c r="BV66" s="15">
        <f t="shared" si="11"/>
        <v>1</v>
      </c>
      <c r="BW66" s="15" t="str">
        <f t="shared" si="12"/>
        <v>тўғри</v>
      </c>
      <c r="BX66" s="71">
        <f t="shared" si="13"/>
        <v>3</v>
      </c>
      <c r="BY66" s="15">
        <f t="shared" si="14"/>
        <v>1</v>
      </c>
      <c r="BZ66" s="15" t="str">
        <f t="shared" si="15"/>
        <v>тўғри</v>
      </c>
    </row>
    <row r="67" spans="1:78" ht="14.25" customHeight="1" x14ac:dyDescent="0.25">
      <c r="A67" s="14" t="s">
        <v>30</v>
      </c>
      <c r="B67" s="104" t="s">
        <v>35</v>
      </c>
      <c r="C67" s="104"/>
      <c r="D67" s="149" t="s">
        <v>157</v>
      </c>
      <c r="E67" s="149"/>
      <c r="F67" s="149"/>
      <c r="G67" s="149"/>
      <c r="H67" s="149"/>
      <c r="I67" s="149"/>
      <c r="J67" s="149"/>
      <c r="K67" s="149"/>
      <c r="L67" s="149"/>
      <c r="M67" s="149"/>
      <c r="N67" s="149"/>
      <c r="O67" s="150"/>
      <c r="P67" s="144">
        <f>SUM(V67+AN67)</f>
        <v>150</v>
      </c>
      <c r="Q67" s="106"/>
      <c r="R67" s="106"/>
      <c r="S67" s="131"/>
      <c r="T67" s="131"/>
      <c r="U67" s="151"/>
      <c r="V67" s="152">
        <f t="shared" si="6"/>
        <v>60</v>
      </c>
      <c r="W67" s="106"/>
      <c r="X67" s="106"/>
      <c r="Y67" s="104">
        <v>32</v>
      </c>
      <c r="Z67" s="104"/>
      <c r="AA67" s="104"/>
      <c r="AB67" s="104">
        <v>12</v>
      </c>
      <c r="AC67" s="104"/>
      <c r="AD67" s="104"/>
      <c r="AE67" s="104"/>
      <c r="AF67" s="104"/>
      <c r="AG67" s="104"/>
      <c r="AH67" s="104">
        <v>16</v>
      </c>
      <c r="AI67" s="104"/>
      <c r="AJ67" s="104"/>
      <c r="AK67" s="106"/>
      <c r="AL67" s="106"/>
      <c r="AM67" s="106"/>
      <c r="AN67" s="104">
        <v>90</v>
      </c>
      <c r="AO67" s="104"/>
      <c r="AP67" s="145"/>
      <c r="AQ67" s="146"/>
      <c r="AR67" s="104"/>
      <c r="AS67" s="104"/>
      <c r="AT67" s="104"/>
      <c r="AU67" s="104"/>
      <c r="AV67" s="104"/>
      <c r="AW67" s="104">
        <v>2</v>
      </c>
      <c r="AX67" s="104"/>
      <c r="AY67" s="104"/>
      <c r="AZ67" s="104">
        <v>2</v>
      </c>
      <c r="BA67" s="104"/>
      <c r="BB67" s="145"/>
      <c r="BC67" s="146"/>
      <c r="BD67" s="104"/>
      <c r="BE67" s="104"/>
      <c r="BF67" s="104"/>
      <c r="BG67" s="104"/>
      <c r="BH67" s="104"/>
      <c r="BI67" s="104">
        <v>3</v>
      </c>
      <c r="BJ67" s="104"/>
      <c r="BK67" s="104"/>
      <c r="BL67" s="104">
        <v>2</v>
      </c>
      <c r="BM67" s="104"/>
      <c r="BN67" s="145"/>
      <c r="BO67" s="148">
        <f t="shared" si="7"/>
        <v>5</v>
      </c>
      <c r="BP67" s="105"/>
      <c r="BQ67" s="105"/>
      <c r="BR67" s="105"/>
      <c r="BS67" s="71">
        <f t="shared" si="30"/>
        <v>40</v>
      </c>
      <c r="BT67" s="71">
        <f t="shared" si="31"/>
        <v>60</v>
      </c>
      <c r="BU67" s="71">
        <f t="shared" si="32"/>
        <v>60</v>
      </c>
      <c r="BV67" s="15">
        <f t="shared" si="11"/>
        <v>1</v>
      </c>
      <c r="BW67" s="15" t="str">
        <f t="shared" si="12"/>
        <v>тўғри</v>
      </c>
      <c r="BX67" s="71">
        <f t="shared" si="13"/>
        <v>5</v>
      </c>
      <c r="BY67" s="15">
        <f t="shared" si="14"/>
        <v>1</v>
      </c>
      <c r="BZ67" s="15" t="str">
        <f t="shared" si="15"/>
        <v>тўғри</v>
      </c>
    </row>
    <row r="68" spans="1:78" ht="14.25" customHeight="1" x14ac:dyDescent="0.25">
      <c r="A68" s="72" t="s">
        <v>9</v>
      </c>
      <c r="B68" s="104"/>
      <c r="C68" s="104"/>
      <c r="D68" s="182" t="s">
        <v>112</v>
      </c>
      <c r="E68" s="182"/>
      <c r="F68" s="182"/>
      <c r="G68" s="182"/>
      <c r="H68" s="182"/>
      <c r="I68" s="182"/>
      <c r="J68" s="182"/>
      <c r="K68" s="182"/>
      <c r="L68" s="182"/>
      <c r="M68" s="182"/>
      <c r="N68" s="182"/>
      <c r="O68" s="183"/>
      <c r="P68" s="144">
        <f t="shared" ref="P68" si="33">SUM(V68+AN68)</f>
        <v>330</v>
      </c>
      <c r="Q68" s="106"/>
      <c r="R68" s="106"/>
      <c r="S68" s="131">
        <f>P68/3600*100</f>
        <v>9.1666666666666661</v>
      </c>
      <c r="T68" s="131"/>
      <c r="U68" s="151"/>
      <c r="V68" s="152">
        <f t="shared" si="6"/>
        <v>120</v>
      </c>
      <c r="W68" s="106"/>
      <c r="X68" s="106"/>
      <c r="Y68" s="106">
        <f>SUM(Y69:AA77)</f>
        <v>10</v>
      </c>
      <c r="Z68" s="106"/>
      <c r="AA68" s="106"/>
      <c r="AB68" s="106">
        <f>SUM(AB69:AD77)</f>
        <v>100</v>
      </c>
      <c r="AC68" s="106"/>
      <c r="AD68" s="106"/>
      <c r="AE68" s="106">
        <f>SUM(AE69:AG77)</f>
        <v>0</v>
      </c>
      <c r="AF68" s="106"/>
      <c r="AG68" s="106"/>
      <c r="AH68" s="106">
        <f>SUM(AH69:AJ77)</f>
        <v>10</v>
      </c>
      <c r="AI68" s="106"/>
      <c r="AJ68" s="106"/>
      <c r="AK68" s="106">
        <f>SUM(AK69:AM77)</f>
        <v>0</v>
      </c>
      <c r="AL68" s="106"/>
      <c r="AM68" s="106"/>
      <c r="AN68" s="106">
        <f>SUM(AN69:AP77)</f>
        <v>210</v>
      </c>
      <c r="AO68" s="106"/>
      <c r="AP68" s="147"/>
      <c r="AQ68" s="144">
        <f>SUM(AQ69:AS77)</f>
        <v>2</v>
      </c>
      <c r="AR68" s="106"/>
      <c r="AS68" s="106"/>
      <c r="AT68" s="106">
        <f>SUM(AT69:AV77)</f>
        <v>4</v>
      </c>
      <c r="AU68" s="106"/>
      <c r="AV68" s="106"/>
      <c r="AW68" s="106">
        <f>SUM(AW69:AY77)</f>
        <v>2</v>
      </c>
      <c r="AX68" s="106"/>
      <c r="AY68" s="106"/>
      <c r="AZ68" s="106">
        <f>SUM(AZ69:BB77)</f>
        <v>0</v>
      </c>
      <c r="BA68" s="106"/>
      <c r="BB68" s="147"/>
      <c r="BC68" s="144">
        <f>SUM(BC69:BE77)</f>
        <v>2</v>
      </c>
      <c r="BD68" s="106"/>
      <c r="BE68" s="106"/>
      <c r="BF68" s="106">
        <f>SUM(BF69:BH77)</f>
        <v>6</v>
      </c>
      <c r="BG68" s="106"/>
      <c r="BH68" s="106"/>
      <c r="BI68" s="106">
        <f>SUM(BI69:BK77)</f>
        <v>3</v>
      </c>
      <c r="BJ68" s="106"/>
      <c r="BK68" s="106"/>
      <c r="BL68" s="106">
        <f>SUM(BL69:BN77)</f>
        <v>0</v>
      </c>
      <c r="BM68" s="106"/>
      <c r="BN68" s="147"/>
      <c r="BO68" s="148">
        <f t="shared" si="7"/>
        <v>11</v>
      </c>
      <c r="BP68" s="105"/>
      <c r="BQ68" s="105"/>
      <c r="BR68" s="105"/>
      <c r="BS68" s="71">
        <f t="shared" si="30"/>
        <v>36.363636363636367</v>
      </c>
      <c r="BT68" s="71">
        <f t="shared" si="31"/>
        <v>63.636363636363633</v>
      </c>
      <c r="BU68" s="71">
        <f t="shared" si="32"/>
        <v>120</v>
      </c>
      <c r="BV68" s="15">
        <f t="shared" si="11"/>
        <v>1</v>
      </c>
      <c r="BW68" s="15" t="str">
        <f t="shared" si="12"/>
        <v>тўғри</v>
      </c>
      <c r="BX68" s="71">
        <f t="shared" si="13"/>
        <v>11</v>
      </c>
      <c r="BY68" s="15">
        <f t="shared" si="14"/>
        <v>1</v>
      </c>
      <c r="BZ68" s="15" t="str">
        <f t="shared" si="15"/>
        <v>тўғри</v>
      </c>
    </row>
    <row r="69" spans="1:78" ht="14.25" customHeight="1" x14ac:dyDescent="0.25">
      <c r="A69" s="85" t="s">
        <v>10</v>
      </c>
      <c r="B69" s="104"/>
      <c r="C69" s="104"/>
      <c r="D69" s="178" t="s">
        <v>130</v>
      </c>
      <c r="E69" s="178"/>
      <c r="F69" s="178"/>
      <c r="G69" s="178"/>
      <c r="H69" s="178"/>
      <c r="I69" s="178"/>
      <c r="J69" s="178"/>
      <c r="K69" s="178"/>
      <c r="L69" s="178"/>
      <c r="M69" s="178"/>
      <c r="N69" s="178"/>
      <c r="O69" s="179"/>
      <c r="P69" s="144">
        <f>SUM(V69+AN69)</f>
        <v>90</v>
      </c>
      <c r="Q69" s="106"/>
      <c r="R69" s="106"/>
      <c r="S69" s="131"/>
      <c r="T69" s="131"/>
      <c r="U69" s="151"/>
      <c r="V69" s="152">
        <f t="shared" si="6"/>
        <v>30</v>
      </c>
      <c r="W69" s="106"/>
      <c r="X69" s="106"/>
      <c r="Y69" s="104"/>
      <c r="Z69" s="104"/>
      <c r="AA69" s="104"/>
      <c r="AB69" s="104">
        <v>30</v>
      </c>
      <c r="AC69" s="104"/>
      <c r="AD69" s="104"/>
      <c r="AE69" s="104"/>
      <c r="AF69" s="104"/>
      <c r="AG69" s="104"/>
      <c r="AH69" s="104"/>
      <c r="AI69" s="104"/>
      <c r="AJ69" s="104"/>
      <c r="AK69" s="104"/>
      <c r="AL69" s="104"/>
      <c r="AM69" s="104"/>
      <c r="AN69" s="104">
        <v>60</v>
      </c>
      <c r="AO69" s="104"/>
      <c r="AP69" s="145"/>
      <c r="AQ69" s="146"/>
      <c r="AR69" s="104"/>
      <c r="AS69" s="104"/>
      <c r="AT69" s="104">
        <v>2</v>
      </c>
      <c r="AU69" s="104"/>
      <c r="AV69" s="104"/>
      <c r="AW69" s="104"/>
      <c r="AX69" s="104"/>
      <c r="AY69" s="104"/>
      <c r="AZ69" s="104"/>
      <c r="BA69" s="104"/>
      <c r="BB69" s="145"/>
      <c r="BC69" s="146"/>
      <c r="BD69" s="104"/>
      <c r="BE69" s="104"/>
      <c r="BF69" s="104">
        <v>3</v>
      </c>
      <c r="BG69" s="104"/>
      <c r="BH69" s="104"/>
      <c r="BI69" s="104"/>
      <c r="BJ69" s="104"/>
      <c r="BK69" s="104"/>
      <c r="BL69" s="104"/>
      <c r="BM69" s="104"/>
      <c r="BN69" s="145"/>
      <c r="BO69" s="148">
        <f t="shared" si="7"/>
        <v>3</v>
      </c>
      <c r="BP69" s="105"/>
      <c r="BQ69" s="105"/>
      <c r="BR69" s="105"/>
      <c r="BS69" s="71">
        <f t="shared" si="30"/>
        <v>33.333333333333329</v>
      </c>
      <c r="BT69" s="71">
        <f t="shared" si="31"/>
        <v>66.666666666666657</v>
      </c>
      <c r="BU69" s="71">
        <f t="shared" si="32"/>
        <v>30</v>
      </c>
      <c r="BV69" s="15">
        <f t="shared" si="11"/>
        <v>1</v>
      </c>
      <c r="BW69" s="15" t="str">
        <f t="shared" si="12"/>
        <v>тўғри</v>
      </c>
      <c r="BX69" s="71">
        <f t="shared" si="13"/>
        <v>3</v>
      </c>
      <c r="BY69" s="15">
        <f t="shared" si="14"/>
        <v>1</v>
      </c>
      <c r="BZ69" s="15" t="str">
        <f t="shared" si="15"/>
        <v>тўғри</v>
      </c>
    </row>
    <row r="70" spans="1:78" ht="14.25" customHeight="1" x14ac:dyDescent="0.25">
      <c r="A70" s="71">
        <v>1</v>
      </c>
      <c r="B70" s="104" t="s">
        <v>214</v>
      </c>
      <c r="C70" s="104"/>
      <c r="D70" s="149" t="s">
        <v>136</v>
      </c>
      <c r="E70" s="149"/>
      <c r="F70" s="149"/>
      <c r="G70" s="149"/>
      <c r="H70" s="149"/>
      <c r="I70" s="149"/>
      <c r="J70" s="149"/>
      <c r="K70" s="149"/>
      <c r="L70" s="149"/>
      <c r="M70" s="149"/>
      <c r="N70" s="149"/>
      <c r="O70" s="150"/>
      <c r="P70" s="144"/>
      <c r="Q70" s="106"/>
      <c r="R70" s="106"/>
      <c r="S70" s="131"/>
      <c r="T70" s="131"/>
      <c r="U70" s="151"/>
      <c r="V70" s="152"/>
      <c r="W70" s="106"/>
      <c r="X70" s="106"/>
      <c r="Y70" s="104"/>
      <c r="Z70" s="104"/>
      <c r="AA70" s="104"/>
      <c r="AB70" s="104"/>
      <c r="AC70" s="104"/>
      <c r="AD70" s="104"/>
      <c r="AE70" s="104"/>
      <c r="AF70" s="104"/>
      <c r="AG70" s="104"/>
      <c r="AH70" s="104"/>
      <c r="AI70" s="104"/>
      <c r="AJ70" s="104"/>
      <c r="AK70" s="104"/>
      <c r="AL70" s="104"/>
      <c r="AM70" s="104"/>
      <c r="AN70" s="104"/>
      <c r="AO70" s="104"/>
      <c r="AP70" s="145"/>
      <c r="AQ70" s="146"/>
      <c r="AR70" s="104"/>
      <c r="AS70" s="104"/>
      <c r="AT70" s="104"/>
      <c r="AU70" s="104"/>
      <c r="AV70" s="104"/>
      <c r="AW70" s="104"/>
      <c r="AX70" s="104"/>
      <c r="AY70" s="104"/>
      <c r="AZ70" s="104"/>
      <c r="BA70" s="104"/>
      <c r="BB70" s="145"/>
      <c r="BC70" s="146"/>
      <c r="BD70" s="104"/>
      <c r="BE70" s="104"/>
      <c r="BF70" s="104"/>
      <c r="BG70" s="104"/>
      <c r="BH70" s="104"/>
      <c r="BI70" s="104"/>
      <c r="BJ70" s="104"/>
      <c r="BK70" s="104"/>
      <c r="BL70" s="104"/>
      <c r="BM70" s="104"/>
      <c r="BN70" s="145"/>
      <c r="BO70" s="148">
        <f t="shared" si="7"/>
        <v>0</v>
      </c>
      <c r="BP70" s="105"/>
      <c r="BQ70" s="105"/>
      <c r="BR70" s="105"/>
      <c r="BS70" s="71" t="e">
        <f t="shared" si="30"/>
        <v>#DIV/0!</v>
      </c>
      <c r="BT70" s="71" t="e">
        <f t="shared" si="31"/>
        <v>#DIV/0!</v>
      </c>
      <c r="BU70" s="71">
        <f t="shared" si="32"/>
        <v>0</v>
      </c>
      <c r="BV70" s="15">
        <f t="shared" si="11"/>
        <v>1</v>
      </c>
      <c r="BW70" s="15" t="str">
        <f t="shared" si="12"/>
        <v>тўғри</v>
      </c>
      <c r="BX70" s="71">
        <f t="shared" si="13"/>
        <v>0</v>
      </c>
      <c r="BY70" s="15">
        <f t="shared" si="14"/>
        <v>1</v>
      </c>
      <c r="BZ70" s="15" t="str">
        <f t="shared" si="15"/>
        <v>тўғри</v>
      </c>
    </row>
    <row r="71" spans="1:78" ht="14.25" customHeight="1" x14ac:dyDescent="0.25">
      <c r="A71" s="71">
        <v>2</v>
      </c>
      <c r="B71" s="104" t="s">
        <v>215</v>
      </c>
      <c r="C71" s="104"/>
      <c r="D71" s="149" t="s">
        <v>137</v>
      </c>
      <c r="E71" s="149"/>
      <c r="F71" s="149"/>
      <c r="G71" s="149"/>
      <c r="H71" s="149"/>
      <c r="I71" s="149"/>
      <c r="J71" s="149"/>
      <c r="K71" s="149"/>
      <c r="L71" s="149"/>
      <c r="M71" s="149"/>
      <c r="N71" s="149"/>
      <c r="O71" s="150"/>
      <c r="P71" s="144"/>
      <c r="Q71" s="106"/>
      <c r="R71" s="106"/>
      <c r="S71" s="131"/>
      <c r="T71" s="131"/>
      <c r="U71" s="151"/>
      <c r="V71" s="152"/>
      <c r="W71" s="106"/>
      <c r="X71" s="106"/>
      <c r="Y71" s="104"/>
      <c r="Z71" s="104"/>
      <c r="AA71" s="104"/>
      <c r="AB71" s="104"/>
      <c r="AC71" s="104"/>
      <c r="AD71" s="104"/>
      <c r="AE71" s="104"/>
      <c r="AF71" s="104"/>
      <c r="AG71" s="104"/>
      <c r="AH71" s="104"/>
      <c r="AI71" s="104"/>
      <c r="AJ71" s="104"/>
      <c r="AK71" s="104"/>
      <c r="AL71" s="104"/>
      <c r="AM71" s="104"/>
      <c r="AN71" s="104"/>
      <c r="AO71" s="104"/>
      <c r="AP71" s="145"/>
      <c r="AQ71" s="146"/>
      <c r="AR71" s="104"/>
      <c r="AS71" s="104"/>
      <c r="AT71" s="104"/>
      <c r="AU71" s="104"/>
      <c r="AV71" s="104"/>
      <c r="AW71" s="104"/>
      <c r="AX71" s="104"/>
      <c r="AY71" s="104"/>
      <c r="AZ71" s="104"/>
      <c r="BA71" s="104"/>
      <c r="BB71" s="145"/>
      <c r="BC71" s="146"/>
      <c r="BD71" s="104"/>
      <c r="BE71" s="104"/>
      <c r="BF71" s="104"/>
      <c r="BG71" s="104"/>
      <c r="BH71" s="104"/>
      <c r="BI71" s="104"/>
      <c r="BJ71" s="104"/>
      <c r="BK71" s="104"/>
      <c r="BL71" s="104"/>
      <c r="BM71" s="104"/>
      <c r="BN71" s="145"/>
      <c r="BO71" s="148">
        <f t="shared" si="7"/>
        <v>0</v>
      </c>
      <c r="BP71" s="105"/>
      <c r="BQ71" s="105"/>
      <c r="BR71" s="105"/>
      <c r="BS71" s="71" t="e">
        <f t="shared" si="30"/>
        <v>#DIV/0!</v>
      </c>
      <c r="BT71" s="71" t="e">
        <f t="shared" si="31"/>
        <v>#DIV/0!</v>
      </c>
      <c r="BU71" s="71">
        <f t="shared" si="32"/>
        <v>0</v>
      </c>
      <c r="BV71" s="15">
        <f t="shared" si="11"/>
        <v>1</v>
      </c>
      <c r="BW71" s="15" t="str">
        <f t="shared" si="12"/>
        <v>тўғри</v>
      </c>
      <c r="BX71" s="71">
        <f t="shared" si="13"/>
        <v>0</v>
      </c>
      <c r="BY71" s="15">
        <f t="shared" si="14"/>
        <v>1</v>
      </c>
      <c r="BZ71" s="15" t="str">
        <f t="shared" si="15"/>
        <v>тўғри</v>
      </c>
    </row>
    <row r="72" spans="1:78" ht="14.25" customHeight="1" x14ac:dyDescent="0.25">
      <c r="A72" s="85" t="s">
        <v>11</v>
      </c>
      <c r="B72" s="104"/>
      <c r="C72" s="104"/>
      <c r="D72" s="178" t="s">
        <v>130</v>
      </c>
      <c r="E72" s="178"/>
      <c r="F72" s="178"/>
      <c r="G72" s="178"/>
      <c r="H72" s="178"/>
      <c r="I72" s="178"/>
      <c r="J72" s="178"/>
      <c r="K72" s="178"/>
      <c r="L72" s="178"/>
      <c r="M72" s="178"/>
      <c r="N72" s="178"/>
      <c r="O72" s="179"/>
      <c r="P72" s="144">
        <f t="shared" ref="P72" si="34">SUM(V72+AN72)</f>
        <v>150</v>
      </c>
      <c r="Q72" s="106"/>
      <c r="R72" s="106"/>
      <c r="S72" s="131"/>
      <c r="T72" s="131"/>
      <c r="U72" s="151"/>
      <c r="V72" s="152">
        <f t="shared" ref="V72" si="35">SUM(AQ72+AT72+AW72+AZ72)*15</f>
        <v>60</v>
      </c>
      <c r="W72" s="106"/>
      <c r="X72" s="106"/>
      <c r="Y72" s="104"/>
      <c r="Z72" s="104"/>
      <c r="AA72" s="104"/>
      <c r="AB72" s="104">
        <v>60</v>
      </c>
      <c r="AC72" s="104"/>
      <c r="AD72" s="104"/>
      <c r="AE72" s="104"/>
      <c r="AF72" s="104"/>
      <c r="AG72" s="104"/>
      <c r="AH72" s="104"/>
      <c r="AI72" s="104"/>
      <c r="AJ72" s="104"/>
      <c r="AK72" s="106"/>
      <c r="AL72" s="106"/>
      <c r="AM72" s="106"/>
      <c r="AN72" s="104">
        <v>90</v>
      </c>
      <c r="AO72" s="104"/>
      <c r="AP72" s="145"/>
      <c r="AQ72" s="146">
        <v>2</v>
      </c>
      <c r="AR72" s="104"/>
      <c r="AS72" s="104"/>
      <c r="AT72" s="104">
        <v>2</v>
      </c>
      <c r="AU72" s="104"/>
      <c r="AV72" s="104"/>
      <c r="AW72" s="104"/>
      <c r="AX72" s="104"/>
      <c r="AY72" s="104"/>
      <c r="AZ72" s="104"/>
      <c r="BA72" s="104"/>
      <c r="BB72" s="145"/>
      <c r="BC72" s="146">
        <v>2</v>
      </c>
      <c r="BD72" s="104"/>
      <c r="BE72" s="104"/>
      <c r="BF72" s="104">
        <v>3</v>
      </c>
      <c r="BG72" s="104"/>
      <c r="BH72" s="104"/>
      <c r="BI72" s="104"/>
      <c r="BJ72" s="104"/>
      <c r="BK72" s="104"/>
      <c r="BL72" s="104"/>
      <c r="BM72" s="104"/>
      <c r="BN72" s="145"/>
      <c r="BO72" s="148">
        <f t="shared" si="7"/>
        <v>5</v>
      </c>
      <c r="BP72" s="105"/>
      <c r="BQ72" s="105"/>
      <c r="BR72" s="105"/>
      <c r="BS72" s="71">
        <f t="shared" si="30"/>
        <v>40</v>
      </c>
      <c r="BT72" s="71">
        <f t="shared" si="31"/>
        <v>60</v>
      </c>
      <c r="BU72" s="71">
        <f t="shared" si="32"/>
        <v>60</v>
      </c>
      <c r="BV72" s="15">
        <f t="shared" si="11"/>
        <v>1</v>
      </c>
      <c r="BW72" s="15" t="str">
        <f t="shared" si="12"/>
        <v>тўғри</v>
      </c>
      <c r="BX72" s="71">
        <f t="shared" si="13"/>
        <v>5</v>
      </c>
      <c r="BY72" s="15">
        <f t="shared" si="14"/>
        <v>1</v>
      </c>
      <c r="BZ72" s="15" t="str">
        <f t="shared" si="15"/>
        <v>тўғри</v>
      </c>
    </row>
    <row r="73" spans="1:78" ht="28.5" customHeight="1" x14ac:dyDescent="0.25">
      <c r="A73" s="71">
        <v>1</v>
      </c>
      <c r="B73" s="104" t="s">
        <v>216</v>
      </c>
      <c r="C73" s="104"/>
      <c r="D73" s="180" t="s">
        <v>138</v>
      </c>
      <c r="E73" s="180"/>
      <c r="F73" s="180"/>
      <c r="G73" s="180"/>
      <c r="H73" s="180"/>
      <c r="I73" s="180"/>
      <c r="J73" s="180"/>
      <c r="K73" s="180"/>
      <c r="L73" s="180"/>
      <c r="M73" s="180"/>
      <c r="N73" s="180"/>
      <c r="O73" s="181"/>
      <c r="P73" s="144"/>
      <c r="Q73" s="106"/>
      <c r="R73" s="106"/>
      <c r="S73" s="131"/>
      <c r="T73" s="131"/>
      <c r="U73" s="151"/>
      <c r="V73" s="152"/>
      <c r="W73" s="106"/>
      <c r="X73" s="106"/>
      <c r="Y73" s="104"/>
      <c r="Z73" s="104"/>
      <c r="AA73" s="104"/>
      <c r="AB73" s="104"/>
      <c r="AC73" s="104"/>
      <c r="AD73" s="104"/>
      <c r="AE73" s="104"/>
      <c r="AF73" s="104"/>
      <c r="AG73" s="104"/>
      <c r="AH73" s="104"/>
      <c r="AI73" s="104"/>
      <c r="AJ73" s="104"/>
      <c r="AK73" s="106"/>
      <c r="AL73" s="106"/>
      <c r="AM73" s="106"/>
      <c r="AN73" s="104"/>
      <c r="AO73" s="104"/>
      <c r="AP73" s="145"/>
      <c r="AQ73" s="146"/>
      <c r="AR73" s="104"/>
      <c r="AS73" s="104"/>
      <c r="AT73" s="104"/>
      <c r="AU73" s="104"/>
      <c r="AV73" s="104"/>
      <c r="AW73" s="104"/>
      <c r="AX73" s="104"/>
      <c r="AY73" s="104"/>
      <c r="AZ73" s="104"/>
      <c r="BA73" s="104"/>
      <c r="BB73" s="145"/>
      <c r="BC73" s="146"/>
      <c r="BD73" s="104"/>
      <c r="BE73" s="104"/>
      <c r="BF73" s="104"/>
      <c r="BG73" s="104"/>
      <c r="BH73" s="104"/>
      <c r="BI73" s="104"/>
      <c r="BJ73" s="104"/>
      <c r="BK73" s="104"/>
      <c r="BL73" s="104"/>
      <c r="BM73" s="104"/>
      <c r="BN73" s="145"/>
      <c r="BO73" s="148">
        <f t="shared" si="7"/>
        <v>0</v>
      </c>
      <c r="BP73" s="105"/>
      <c r="BQ73" s="105"/>
      <c r="BR73" s="105"/>
      <c r="BS73" s="71" t="e">
        <f t="shared" si="30"/>
        <v>#DIV/0!</v>
      </c>
      <c r="BT73" s="71" t="e">
        <f t="shared" si="31"/>
        <v>#DIV/0!</v>
      </c>
      <c r="BU73" s="71">
        <f t="shared" si="32"/>
        <v>0</v>
      </c>
      <c r="BV73" s="15">
        <f t="shared" si="11"/>
        <v>1</v>
      </c>
      <c r="BW73" s="15" t="str">
        <f t="shared" si="12"/>
        <v>тўғри</v>
      </c>
      <c r="BX73" s="71">
        <f t="shared" si="13"/>
        <v>0</v>
      </c>
      <c r="BY73" s="15">
        <f t="shared" si="14"/>
        <v>1</v>
      </c>
      <c r="BZ73" s="15" t="str">
        <f t="shared" si="15"/>
        <v>тўғри</v>
      </c>
    </row>
    <row r="74" spans="1:78" ht="14.25" customHeight="1" x14ac:dyDescent="0.25">
      <c r="A74" s="71">
        <v>2</v>
      </c>
      <c r="B74" s="104" t="s">
        <v>217</v>
      </c>
      <c r="C74" s="104"/>
      <c r="D74" s="149" t="s">
        <v>139</v>
      </c>
      <c r="E74" s="149"/>
      <c r="F74" s="149"/>
      <c r="G74" s="149"/>
      <c r="H74" s="149"/>
      <c r="I74" s="149"/>
      <c r="J74" s="149"/>
      <c r="K74" s="149"/>
      <c r="L74" s="149"/>
      <c r="M74" s="149"/>
      <c r="N74" s="149"/>
      <c r="O74" s="150"/>
      <c r="P74" s="144"/>
      <c r="Q74" s="106"/>
      <c r="R74" s="106"/>
      <c r="S74" s="131"/>
      <c r="T74" s="131"/>
      <c r="U74" s="151"/>
      <c r="V74" s="152"/>
      <c r="W74" s="106"/>
      <c r="X74" s="106"/>
      <c r="Y74" s="104"/>
      <c r="Z74" s="104"/>
      <c r="AA74" s="104"/>
      <c r="AB74" s="104"/>
      <c r="AC74" s="104"/>
      <c r="AD74" s="104"/>
      <c r="AE74" s="104"/>
      <c r="AF74" s="104"/>
      <c r="AG74" s="104"/>
      <c r="AH74" s="104"/>
      <c r="AI74" s="104"/>
      <c r="AJ74" s="104"/>
      <c r="AK74" s="106"/>
      <c r="AL74" s="106"/>
      <c r="AM74" s="106"/>
      <c r="AN74" s="104"/>
      <c r="AO74" s="104"/>
      <c r="AP74" s="145"/>
      <c r="AQ74" s="146"/>
      <c r="AR74" s="104"/>
      <c r="AS74" s="104"/>
      <c r="AT74" s="104"/>
      <c r="AU74" s="104"/>
      <c r="AV74" s="104"/>
      <c r="AW74" s="104"/>
      <c r="AX74" s="104"/>
      <c r="AY74" s="104"/>
      <c r="AZ74" s="104"/>
      <c r="BA74" s="104"/>
      <c r="BB74" s="145"/>
      <c r="BC74" s="146"/>
      <c r="BD74" s="104"/>
      <c r="BE74" s="104"/>
      <c r="BF74" s="104"/>
      <c r="BG74" s="104"/>
      <c r="BH74" s="104"/>
      <c r="BI74" s="104"/>
      <c r="BJ74" s="104"/>
      <c r="BK74" s="104"/>
      <c r="BL74" s="104"/>
      <c r="BM74" s="104"/>
      <c r="BN74" s="145"/>
      <c r="BO74" s="148">
        <f t="shared" si="7"/>
        <v>0</v>
      </c>
      <c r="BP74" s="105"/>
      <c r="BQ74" s="105"/>
      <c r="BR74" s="105"/>
      <c r="BS74" s="71" t="e">
        <f t="shared" si="30"/>
        <v>#DIV/0!</v>
      </c>
      <c r="BT74" s="71" t="e">
        <f t="shared" si="31"/>
        <v>#DIV/0!</v>
      </c>
      <c r="BU74" s="71">
        <f t="shared" si="32"/>
        <v>0</v>
      </c>
      <c r="BV74" s="15">
        <f t="shared" si="11"/>
        <v>1</v>
      </c>
      <c r="BW74" s="15" t="str">
        <f t="shared" si="12"/>
        <v>тўғри</v>
      </c>
      <c r="BX74" s="71">
        <f t="shared" si="13"/>
        <v>0</v>
      </c>
      <c r="BY74" s="15">
        <f t="shared" si="14"/>
        <v>1</v>
      </c>
      <c r="BZ74" s="15" t="str">
        <f t="shared" si="15"/>
        <v>тўғри</v>
      </c>
    </row>
    <row r="75" spans="1:78" ht="14.25" customHeight="1" x14ac:dyDescent="0.25">
      <c r="A75" s="85" t="s">
        <v>12</v>
      </c>
      <c r="B75" s="104"/>
      <c r="C75" s="104"/>
      <c r="D75" s="178" t="s">
        <v>131</v>
      </c>
      <c r="E75" s="178"/>
      <c r="F75" s="178"/>
      <c r="G75" s="178"/>
      <c r="H75" s="178"/>
      <c r="I75" s="178"/>
      <c r="J75" s="178"/>
      <c r="K75" s="178"/>
      <c r="L75" s="178"/>
      <c r="M75" s="178"/>
      <c r="N75" s="178"/>
      <c r="O75" s="179"/>
      <c r="P75" s="144">
        <f>SUM(V75+AN75)</f>
        <v>90</v>
      </c>
      <c r="Q75" s="106"/>
      <c r="R75" s="106"/>
      <c r="S75" s="131"/>
      <c r="T75" s="131"/>
      <c r="U75" s="151"/>
      <c r="V75" s="152">
        <f t="shared" ref="V75" si="36">SUM(AQ75+AT75+AW75+AZ75)*15</f>
        <v>30</v>
      </c>
      <c r="W75" s="106"/>
      <c r="X75" s="106"/>
      <c r="Y75" s="104">
        <v>10</v>
      </c>
      <c r="Z75" s="104"/>
      <c r="AA75" s="104"/>
      <c r="AB75" s="104">
        <v>10</v>
      </c>
      <c r="AC75" s="104"/>
      <c r="AD75" s="104"/>
      <c r="AE75" s="104"/>
      <c r="AF75" s="104"/>
      <c r="AG75" s="104"/>
      <c r="AH75" s="104">
        <v>10</v>
      </c>
      <c r="AI75" s="104"/>
      <c r="AJ75" s="104"/>
      <c r="AK75" s="106"/>
      <c r="AL75" s="106"/>
      <c r="AM75" s="106"/>
      <c r="AN75" s="104">
        <v>60</v>
      </c>
      <c r="AO75" s="104"/>
      <c r="AP75" s="145"/>
      <c r="AQ75" s="146"/>
      <c r="AR75" s="104"/>
      <c r="AS75" s="104"/>
      <c r="AT75" s="104"/>
      <c r="AU75" s="104"/>
      <c r="AV75" s="104"/>
      <c r="AW75" s="104">
        <v>2</v>
      </c>
      <c r="AX75" s="104"/>
      <c r="AY75" s="104"/>
      <c r="AZ75" s="104"/>
      <c r="BA75" s="104"/>
      <c r="BB75" s="145"/>
      <c r="BC75" s="146"/>
      <c r="BD75" s="104"/>
      <c r="BE75" s="104"/>
      <c r="BF75" s="104"/>
      <c r="BG75" s="104"/>
      <c r="BH75" s="104"/>
      <c r="BI75" s="104">
        <v>3</v>
      </c>
      <c r="BJ75" s="104"/>
      <c r="BK75" s="104"/>
      <c r="BL75" s="104"/>
      <c r="BM75" s="104"/>
      <c r="BN75" s="145"/>
      <c r="BO75" s="148">
        <f t="shared" si="7"/>
        <v>3</v>
      </c>
      <c r="BP75" s="105"/>
      <c r="BQ75" s="105"/>
      <c r="BR75" s="105"/>
      <c r="BS75" s="71">
        <f t="shared" si="30"/>
        <v>33.333333333333329</v>
      </c>
      <c r="BT75" s="71">
        <f t="shared" si="31"/>
        <v>66.666666666666657</v>
      </c>
      <c r="BU75" s="71">
        <f t="shared" si="32"/>
        <v>30</v>
      </c>
      <c r="BV75" s="15">
        <f t="shared" si="11"/>
        <v>1</v>
      </c>
      <c r="BW75" s="15" t="str">
        <f t="shared" si="12"/>
        <v>тўғри</v>
      </c>
      <c r="BX75" s="71">
        <f t="shared" si="13"/>
        <v>3</v>
      </c>
      <c r="BY75" s="15">
        <f t="shared" si="14"/>
        <v>1</v>
      </c>
      <c r="BZ75" s="15" t="str">
        <f t="shared" si="15"/>
        <v>тўғри</v>
      </c>
    </row>
    <row r="76" spans="1:78" ht="14.25" customHeight="1" x14ac:dyDescent="0.25">
      <c r="A76" s="71">
        <v>1</v>
      </c>
      <c r="B76" s="104" t="s">
        <v>32</v>
      </c>
      <c r="C76" s="104"/>
      <c r="D76" s="149" t="s">
        <v>247</v>
      </c>
      <c r="E76" s="149"/>
      <c r="F76" s="149"/>
      <c r="G76" s="149"/>
      <c r="H76" s="149"/>
      <c r="I76" s="149"/>
      <c r="J76" s="149"/>
      <c r="K76" s="149"/>
      <c r="L76" s="149"/>
      <c r="M76" s="149"/>
      <c r="N76" s="149"/>
      <c r="O76" s="150"/>
      <c r="P76" s="144"/>
      <c r="Q76" s="106"/>
      <c r="R76" s="106"/>
      <c r="S76" s="131"/>
      <c r="T76" s="131"/>
      <c r="U76" s="151"/>
      <c r="V76" s="152"/>
      <c r="W76" s="106"/>
      <c r="X76" s="106"/>
      <c r="Y76" s="104"/>
      <c r="Z76" s="104"/>
      <c r="AA76" s="104"/>
      <c r="AB76" s="104"/>
      <c r="AC76" s="104"/>
      <c r="AD76" s="104"/>
      <c r="AE76" s="104"/>
      <c r="AF76" s="104"/>
      <c r="AG76" s="104"/>
      <c r="AH76" s="104"/>
      <c r="AI76" s="104"/>
      <c r="AJ76" s="104"/>
      <c r="AK76" s="106"/>
      <c r="AL76" s="106"/>
      <c r="AM76" s="106"/>
      <c r="AN76" s="104"/>
      <c r="AO76" s="104"/>
      <c r="AP76" s="145"/>
      <c r="AQ76" s="146"/>
      <c r="AR76" s="104"/>
      <c r="AS76" s="104"/>
      <c r="AT76" s="104"/>
      <c r="AU76" s="104"/>
      <c r="AV76" s="104"/>
      <c r="AW76" s="104"/>
      <c r="AX76" s="104"/>
      <c r="AY76" s="104"/>
      <c r="AZ76" s="104"/>
      <c r="BA76" s="104"/>
      <c r="BB76" s="145"/>
      <c r="BC76" s="146"/>
      <c r="BD76" s="104"/>
      <c r="BE76" s="104"/>
      <c r="BF76" s="104"/>
      <c r="BG76" s="104"/>
      <c r="BH76" s="104"/>
      <c r="BI76" s="104"/>
      <c r="BJ76" s="104"/>
      <c r="BK76" s="104"/>
      <c r="BL76" s="104"/>
      <c r="BM76" s="104"/>
      <c r="BN76" s="145"/>
      <c r="BO76" s="148">
        <f t="shared" si="7"/>
        <v>0</v>
      </c>
      <c r="BP76" s="105"/>
      <c r="BQ76" s="105"/>
      <c r="BR76" s="105"/>
      <c r="BS76" s="71" t="e">
        <f t="shared" si="30"/>
        <v>#DIV/0!</v>
      </c>
      <c r="BT76" s="71" t="e">
        <f t="shared" si="31"/>
        <v>#DIV/0!</v>
      </c>
      <c r="BU76" s="71">
        <f t="shared" si="32"/>
        <v>0</v>
      </c>
      <c r="BV76" s="15">
        <f t="shared" si="11"/>
        <v>1</v>
      </c>
      <c r="BW76" s="15" t="str">
        <f t="shared" si="12"/>
        <v>тўғри</v>
      </c>
      <c r="BX76" s="71">
        <f t="shared" si="13"/>
        <v>0</v>
      </c>
      <c r="BY76" s="15">
        <f t="shared" si="14"/>
        <v>1</v>
      </c>
      <c r="BZ76" s="15" t="str">
        <f t="shared" si="15"/>
        <v>тўғри</v>
      </c>
    </row>
    <row r="77" spans="1:78" ht="26.25" customHeight="1" x14ac:dyDescent="0.25">
      <c r="A77" s="71">
        <v>2</v>
      </c>
      <c r="B77" s="104" t="s">
        <v>33</v>
      </c>
      <c r="C77" s="104"/>
      <c r="D77" s="180" t="s">
        <v>140</v>
      </c>
      <c r="E77" s="180"/>
      <c r="F77" s="180"/>
      <c r="G77" s="180"/>
      <c r="H77" s="180"/>
      <c r="I77" s="180"/>
      <c r="J77" s="180"/>
      <c r="K77" s="180"/>
      <c r="L77" s="180"/>
      <c r="M77" s="180"/>
      <c r="N77" s="180"/>
      <c r="O77" s="181"/>
      <c r="P77" s="144"/>
      <c r="Q77" s="106"/>
      <c r="R77" s="106"/>
      <c r="S77" s="131"/>
      <c r="T77" s="131"/>
      <c r="U77" s="151"/>
      <c r="V77" s="152"/>
      <c r="W77" s="106"/>
      <c r="X77" s="106"/>
      <c r="Y77" s="104"/>
      <c r="Z77" s="104"/>
      <c r="AA77" s="104"/>
      <c r="AB77" s="104"/>
      <c r="AC77" s="104"/>
      <c r="AD77" s="104"/>
      <c r="AE77" s="104"/>
      <c r="AF77" s="104"/>
      <c r="AG77" s="104"/>
      <c r="AH77" s="104"/>
      <c r="AI77" s="104"/>
      <c r="AJ77" s="104"/>
      <c r="AK77" s="106"/>
      <c r="AL77" s="106"/>
      <c r="AM77" s="106"/>
      <c r="AN77" s="104"/>
      <c r="AO77" s="104"/>
      <c r="AP77" s="145"/>
      <c r="AQ77" s="146"/>
      <c r="AR77" s="104"/>
      <c r="AS77" s="104"/>
      <c r="AT77" s="104"/>
      <c r="AU77" s="104"/>
      <c r="AV77" s="104"/>
      <c r="AW77" s="104"/>
      <c r="AX77" s="104"/>
      <c r="AY77" s="104"/>
      <c r="AZ77" s="104"/>
      <c r="BA77" s="104"/>
      <c r="BB77" s="145"/>
      <c r="BC77" s="146"/>
      <c r="BD77" s="104"/>
      <c r="BE77" s="104"/>
      <c r="BF77" s="104"/>
      <c r="BG77" s="104"/>
      <c r="BH77" s="104"/>
      <c r="BI77" s="104"/>
      <c r="BJ77" s="104"/>
      <c r="BK77" s="104"/>
      <c r="BL77" s="104"/>
      <c r="BM77" s="104"/>
      <c r="BN77" s="145"/>
      <c r="BO77" s="148">
        <f t="shared" si="7"/>
        <v>0</v>
      </c>
      <c r="BP77" s="105"/>
      <c r="BQ77" s="105"/>
      <c r="BR77" s="105"/>
      <c r="BS77" s="71" t="e">
        <f t="shared" si="30"/>
        <v>#DIV/0!</v>
      </c>
      <c r="BT77" s="71" t="e">
        <f t="shared" si="31"/>
        <v>#DIV/0!</v>
      </c>
      <c r="BU77" s="71">
        <f t="shared" si="32"/>
        <v>0</v>
      </c>
      <c r="BV77" s="15">
        <f t="shared" si="11"/>
        <v>1</v>
      </c>
      <c r="BW77" s="15" t="str">
        <f t="shared" si="12"/>
        <v>тўғри</v>
      </c>
      <c r="BX77" s="71">
        <f t="shared" si="13"/>
        <v>0</v>
      </c>
      <c r="BY77" s="15">
        <f t="shared" si="14"/>
        <v>1</v>
      </c>
      <c r="BZ77" s="15" t="str">
        <f t="shared" si="15"/>
        <v>тўғри</v>
      </c>
    </row>
    <row r="78" spans="1:78" ht="14.25" customHeight="1" x14ac:dyDescent="0.25">
      <c r="A78" s="71"/>
      <c r="B78" s="104"/>
      <c r="C78" s="104"/>
      <c r="D78" s="184" t="s">
        <v>133</v>
      </c>
      <c r="E78" s="184"/>
      <c r="F78" s="184"/>
      <c r="G78" s="184"/>
      <c r="H78" s="184"/>
      <c r="I78" s="184"/>
      <c r="J78" s="184"/>
      <c r="K78" s="184"/>
      <c r="L78" s="184"/>
      <c r="M78" s="184"/>
      <c r="N78" s="184"/>
      <c r="O78" s="185"/>
      <c r="P78" s="144">
        <f>SUM(V78+AN78)</f>
        <v>1800</v>
      </c>
      <c r="Q78" s="106"/>
      <c r="R78" s="106"/>
      <c r="S78" s="131">
        <f>P78/3600*100</f>
        <v>50</v>
      </c>
      <c r="T78" s="131"/>
      <c r="U78" s="151"/>
      <c r="V78" s="152">
        <f t="shared" ref="V78" si="37">SUM(AQ78+AT78+AW78+AZ78)*15</f>
        <v>690</v>
      </c>
      <c r="W78" s="106"/>
      <c r="X78" s="106"/>
      <c r="Y78" s="106">
        <f>SUM(Y68+Y57)</f>
        <v>120</v>
      </c>
      <c r="Z78" s="106"/>
      <c r="AA78" s="106"/>
      <c r="AB78" s="106">
        <f t="shared" ref="AB78" si="38">SUM(AB68+AB57)</f>
        <v>386</v>
      </c>
      <c r="AC78" s="106"/>
      <c r="AD78" s="106"/>
      <c r="AE78" s="106">
        <f t="shared" ref="AE78" si="39">SUM(AE68+AE57)</f>
        <v>120</v>
      </c>
      <c r="AF78" s="106"/>
      <c r="AG78" s="106"/>
      <c r="AH78" s="106">
        <f t="shared" ref="AH78" si="40">SUM(AH68+AH57)</f>
        <v>64</v>
      </c>
      <c r="AI78" s="106"/>
      <c r="AJ78" s="106"/>
      <c r="AK78" s="106"/>
      <c r="AL78" s="106"/>
      <c r="AM78" s="106"/>
      <c r="AN78" s="106">
        <f>SUM(AN68+AN57)</f>
        <v>1110</v>
      </c>
      <c r="AO78" s="106"/>
      <c r="AP78" s="147"/>
      <c r="AQ78" s="144">
        <f>SUM(AQ68+AQ57)</f>
        <v>18</v>
      </c>
      <c r="AR78" s="106"/>
      <c r="AS78" s="106"/>
      <c r="AT78" s="106">
        <f>SUM(AT68+AT57)</f>
        <v>10</v>
      </c>
      <c r="AU78" s="106"/>
      <c r="AV78" s="106"/>
      <c r="AW78" s="106">
        <f>SUM(AW68+AW57)</f>
        <v>12</v>
      </c>
      <c r="AX78" s="106"/>
      <c r="AY78" s="106"/>
      <c r="AZ78" s="106">
        <f>SUM(AZ68+AZ57)</f>
        <v>6</v>
      </c>
      <c r="BA78" s="106"/>
      <c r="BB78" s="147"/>
      <c r="BC78" s="144">
        <f>SUM(BC68+BC57)</f>
        <v>24</v>
      </c>
      <c r="BD78" s="106"/>
      <c r="BE78" s="106"/>
      <c r="BF78" s="106">
        <f>SUM(BF68+BF57)</f>
        <v>13</v>
      </c>
      <c r="BG78" s="106"/>
      <c r="BH78" s="106"/>
      <c r="BI78" s="106">
        <f>SUM(BI68+BI57)</f>
        <v>15</v>
      </c>
      <c r="BJ78" s="106"/>
      <c r="BK78" s="106"/>
      <c r="BL78" s="106">
        <f>SUM(BL68+BL57)</f>
        <v>8</v>
      </c>
      <c r="BM78" s="106"/>
      <c r="BN78" s="147"/>
      <c r="BO78" s="148">
        <f t="shared" si="7"/>
        <v>60</v>
      </c>
      <c r="BP78" s="105"/>
      <c r="BQ78" s="105"/>
      <c r="BR78" s="105"/>
      <c r="BS78" s="71">
        <f t="shared" si="30"/>
        <v>38.333333333333336</v>
      </c>
      <c r="BT78" s="71">
        <f t="shared" si="31"/>
        <v>61.666666666666671</v>
      </c>
      <c r="BU78" s="71">
        <f t="shared" si="32"/>
        <v>690</v>
      </c>
      <c r="BV78" s="15">
        <f t="shared" si="11"/>
        <v>1</v>
      </c>
      <c r="BW78" s="15" t="str">
        <f t="shared" si="12"/>
        <v>тўғри</v>
      </c>
      <c r="BX78" s="71">
        <f t="shared" si="13"/>
        <v>60</v>
      </c>
      <c r="BY78" s="15">
        <f t="shared" si="14"/>
        <v>1</v>
      </c>
      <c r="BZ78" s="15" t="str">
        <f>IF(BY78=1,"тўғри","хато")</f>
        <v>тўғри</v>
      </c>
    </row>
    <row r="79" spans="1:78" ht="14.25" customHeight="1" x14ac:dyDescent="0.25">
      <c r="A79" s="72" t="s">
        <v>49</v>
      </c>
      <c r="B79" s="104"/>
      <c r="C79" s="104"/>
      <c r="D79" s="182" t="s">
        <v>132</v>
      </c>
      <c r="E79" s="182"/>
      <c r="F79" s="182"/>
      <c r="G79" s="182"/>
      <c r="H79" s="182"/>
      <c r="I79" s="182"/>
      <c r="J79" s="182"/>
      <c r="K79" s="182"/>
      <c r="L79" s="182"/>
      <c r="M79" s="182"/>
      <c r="N79" s="182"/>
      <c r="O79" s="183"/>
      <c r="P79" s="144">
        <f>SUM(V79+AN79)</f>
        <v>1800</v>
      </c>
      <c r="Q79" s="106"/>
      <c r="R79" s="106"/>
      <c r="S79" s="131">
        <f>P79/3600*100</f>
        <v>50</v>
      </c>
      <c r="T79" s="131"/>
      <c r="U79" s="151"/>
      <c r="V79" s="152">
        <f>SUM(V80:X82)</f>
        <v>750</v>
      </c>
      <c r="W79" s="106"/>
      <c r="X79" s="106"/>
      <c r="Y79" s="106"/>
      <c r="Z79" s="106"/>
      <c r="AA79" s="106"/>
      <c r="AB79" s="106"/>
      <c r="AC79" s="106"/>
      <c r="AD79" s="106"/>
      <c r="AE79" s="106"/>
      <c r="AF79" s="106"/>
      <c r="AG79" s="106"/>
      <c r="AH79" s="106"/>
      <c r="AI79" s="106"/>
      <c r="AJ79" s="106"/>
      <c r="AK79" s="106"/>
      <c r="AL79" s="106"/>
      <c r="AM79" s="106"/>
      <c r="AN79" s="106">
        <f>SUM(AN80:AP82)</f>
        <v>1050</v>
      </c>
      <c r="AO79" s="106"/>
      <c r="AP79" s="147"/>
      <c r="AQ79" s="144">
        <f>SUM(AQ80:AS82)</f>
        <v>6</v>
      </c>
      <c r="AR79" s="106"/>
      <c r="AS79" s="106"/>
      <c r="AT79" s="106">
        <f>SUM(AT80:AV82)</f>
        <v>14</v>
      </c>
      <c r="AU79" s="106"/>
      <c r="AV79" s="106"/>
      <c r="AW79" s="106">
        <f>SUM(AW80:AY82)</f>
        <v>12</v>
      </c>
      <c r="AX79" s="106"/>
      <c r="AY79" s="106"/>
      <c r="AZ79" s="106">
        <f>SUM(AZ80:BB82)</f>
        <v>18</v>
      </c>
      <c r="BA79" s="106"/>
      <c r="BB79" s="147"/>
      <c r="BC79" s="144">
        <f>SUM(BC80:BE82)</f>
        <v>6</v>
      </c>
      <c r="BD79" s="106"/>
      <c r="BE79" s="106"/>
      <c r="BF79" s="106">
        <f>SUM(BF80:BH82)</f>
        <v>17</v>
      </c>
      <c r="BG79" s="106"/>
      <c r="BH79" s="106"/>
      <c r="BI79" s="106">
        <f>SUM(BI80:BK82)</f>
        <v>15</v>
      </c>
      <c r="BJ79" s="106"/>
      <c r="BK79" s="106"/>
      <c r="BL79" s="106">
        <f>SUM(BL80:BN82)</f>
        <v>22</v>
      </c>
      <c r="BM79" s="106"/>
      <c r="BN79" s="147"/>
      <c r="BO79" s="148">
        <f>SUM(P79/30)</f>
        <v>60</v>
      </c>
      <c r="BP79" s="105"/>
      <c r="BQ79" s="105"/>
      <c r="BR79" s="105"/>
      <c r="BS79" s="71">
        <f t="shared" si="30"/>
        <v>41.666666666666671</v>
      </c>
      <c r="BT79" s="71">
        <f t="shared" si="31"/>
        <v>58.333333333333336</v>
      </c>
      <c r="BU79" s="71"/>
      <c r="BV79" s="15"/>
      <c r="BW79" s="15"/>
      <c r="BX79" s="71">
        <f>SUM(BC79:BN79)</f>
        <v>60</v>
      </c>
      <c r="BY79" s="15">
        <f t="shared" si="14"/>
        <v>1</v>
      </c>
      <c r="BZ79" s="15" t="str">
        <f t="shared" ref="BZ79:BZ81" si="41">IF(BY79=1,"тўғри","хато")</f>
        <v>тўғри</v>
      </c>
    </row>
    <row r="80" spans="1:78" ht="28.5" customHeight="1" x14ac:dyDescent="0.25">
      <c r="A80" s="14" t="s">
        <v>50</v>
      </c>
      <c r="B80" s="104"/>
      <c r="C80" s="104"/>
      <c r="D80" s="180" t="s">
        <v>99</v>
      </c>
      <c r="E80" s="180"/>
      <c r="F80" s="180"/>
      <c r="G80" s="180"/>
      <c r="H80" s="180"/>
      <c r="I80" s="180"/>
      <c r="J80" s="180"/>
      <c r="K80" s="180"/>
      <c r="L80" s="180"/>
      <c r="M80" s="180"/>
      <c r="N80" s="180"/>
      <c r="O80" s="181"/>
      <c r="P80" s="144">
        <f>SUM(V80+AN80)</f>
        <v>1080</v>
      </c>
      <c r="Q80" s="106"/>
      <c r="R80" s="106"/>
      <c r="S80" s="106"/>
      <c r="T80" s="106"/>
      <c r="U80" s="147"/>
      <c r="V80" s="152">
        <f t="shared" ref="V80:V82" si="42">SUM(AQ80+AT80+AW80+AZ80)*15</f>
        <v>480</v>
      </c>
      <c r="W80" s="106"/>
      <c r="X80" s="106"/>
      <c r="Y80" s="106"/>
      <c r="Z80" s="106"/>
      <c r="AA80" s="106"/>
      <c r="AB80" s="106"/>
      <c r="AC80" s="106"/>
      <c r="AD80" s="106"/>
      <c r="AE80" s="106"/>
      <c r="AF80" s="106"/>
      <c r="AG80" s="106"/>
      <c r="AH80" s="106"/>
      <c r="AI80" s="106"/>
      <c r="AJ80" s="106"/>
      <c r="AK80" s="106"/>
      <c r="AL80" s="106"/>
      <c r="AM80" s="106"/>
      <c r="AN80" s="104">
        <v>600</v>
      </c>
      <c r="AO80" s="104"/>
      <c r="AP80" s="145"/>
      <c r="AQ80" s="146">
        <v>4</v>
      </c>
      <c r="AR80" s="104"/>
      <c r="AS80" s="104"/>
      <c r="AT80" s="104">
        <v>6</v>
      </c>
      <c r="AU80" s="104"/>
      <c r="AV80" s="104"/>
      <c r="AW80" s="104">
        <v>10</v>
      </c>
      <c r="AX80" s="104"/>
      <c r="AY80" s="104"/>
      <c r="AZ80" s="104">
        <v>12</v>
      </c>
      <c r="BA80" s="104"/>
      <c r="BB80" s="145"/>
      <c r="BC80" s="146">
        <v>4</v>
      </c>
      <c r="BD80" s="104"/>
      <c r="BE80" s="104"/>
      <c r="BF80" s="104">
        <v>6</v>
      </c>
      <c r="BG80" s="104"/>
      <c r="BH80" s="104"/>
      <c r="BI80" s="104">
        <v>12</v>
      </c>
      <c r="BJ80" s="104"/>
      <c r="BK80" s="104"/>
      <c r="BL80" s="104">
        <v>14</v>
      </c>
      <c r="BM80" s="104"/>
      <c r="BN80" s="145"/>
      <c r="BO80" s="148">
        <f t="shared" ref="BO80:BO82" si="43">SUM(P80/30)</f>
        <v>36</v>
      </c>
      <c r="BP80" s="105"/>
      <c r="BQ80" s="105"/>
      <c r="BR80" s="105"/>
      <c r="BS80" s="71">
        <f t="shared" si="30"/>
        <v>44.444444444444443</v>
      </c>
      <c r="BT80" s="71">
        <f t="shared" si="31"/>
        <v>55.555555555555557</v>
      </c>
      <c r="BU80" s="71"/>
      <c r="BV80" s="15"/>
      <c r="BW80" s="15" t="str">
        <f>IF(BV80=1,"тўғри","хато")</f>
        <v>хато</v>
      </c>
      <c r="BX80" s="71">
        <f>SUM(BC80:BN80)</f>
        <v>36</v>
      </c>
      <c r="BY80" s="15">
        <f t="shared" si="14"/>
        <v>1</v>
      </c>
      <c r="BZ80" s="15" t="str">
        <f t="shared" si="41"/>
        <v>тўғри</v>
      </c>
    </row>
    <row r="81" spans="1:78" ht="14.25" customHeight="1" x14ac:dyDescent="0.25">
      <c r="A81" s="14" t="s">
        <v>51</v>
      </c>
      <c r="B81" s="104"/>
      <c r="C81" s="104"/>
      <c r="D81" s="149" t="s">
        <v>134</v>
      </c>
      <c r="E81" s="149"/>
      <c r="F81" s="149"/>
      <c r="G81" s="149"/>
      <c r="H81" s="149"/>
      <c r="I81" s="149"/>
      <c r="J81" s="149"/>
      <c r="K81" s="149"/>
      <c r="L81" s="149"/>
      <c r="M81" s="149"/>
      <c r="N81" s="149"/>
      <c r="O81" s="150"/>
      <c r="P81" s="144">
        <f t="shared" ref="P81:P82" si="44">SUM(V81+AN81)</f>
        <v>240</v>
      </c>
      <c r="Q81" s="106"/>
      <c r="R81" s="106"/>
      <c r="S81" s="106"/>
      <c r="T81" s="106"/>
      <c r="U81" s="147"/>
      <c r="V81" s="152">
        <f t="shared" si="42"/>
        <v>90</v>
      </c>
      <c r="W81" s="106"/>
      <c r="X81" s="106"/>
      <c r="Y81" s="106"/>
      <c r="Z81" s="106"/>
      <c r="AA81" s="106"/>
      <c r="AB81" s="106"/>
      <c r="AC81" s="106"/>
      <c r="AD81" s="106"/>
      <c r="AE81" s="106"/>
      <c r="AF81" s="106"/>
      <c r="AG81" s="106"/>
      <c r="AH81" s="106"/>
      <c r="AI81" s="106"/>
      <c r="AJ81" s="106"/>
      <c r="AK81" s="106"/>
      <c r="AL81" s="106"/>
      <c r="AM81" s="106"/>
      <c r="AN81" s="104">
        <v>150</v>
      </c>
      <c r="AO81" s="104"/>
      <c r="AP81" s="145"/>
      <c r="AQ81" s="146">
        <v>2</v>
      </c>
      <c r="AR81" s="104"/>
      <c r="AS81" s="104"/>
      <c r="AT81" s="104">
        <v>2</v>
      </c>
      <c r="AU81" s="104"/>
      <c r="AV81" s="104"/>
      <c r="AW81" s="104">
        <v>2</v>
      </c>
      <c r="AX81" s="104"/>
      <c r="AY81" s="104"/>
      <c r="AZ81" s="104"/>
      <c r="BA81" s="104"/>
      <c r="BB81" s="145"/>
      <c r="BC81" s="146">
        <v>2</v>
      </c>
      <c r="BD81" s="104"/>
      <c r="BE81" s="104"/>
      <c r="BF81" s="104">
        <v>3</v>
      </c>
      <c r="BG81" s="104"/>
      <c r="BH81" s="104"/>
      <c r="BI81" s="104">
        <v>3</v>
      </c>
      <c r="BJ81" s="104"/>
      <c r="BK81" s="104"/>
      <c r="BL81" s="104"/>
      <c r="BM81" s="104"/>
      <c r="BN81" s="145"/>
      <c r="BO81" s="148">
        <f t="shared" si="43"/>
        <v>8</v>
      </c>
      <c r="BP81" s="105"/>
      <c r="BQ81" s="105"/>
      <c r="BR81" s="105"/>
      <c r="BS81" s="71">
        <f t="shared" si="30"/>
        <v>37.5</v>
      </c>
      <c r="BT81" s="71">
        <f t="shared" si="31"/>
        <v>62.5</v>
      </c>
      <c r="BU81" s="71"/>
      <c r="BV81" s="15"/>
      <c r="BW81" s="15" t="str">
        <f t="shared" ref="BW81:BW82" si="45">IF(BV81=1,"тўғри","хато")</f>
        <v>хато</v>
      </c>
      <c r="BX81" s="71">
        <f t="shared" ref="BX81:BX82" si="46">SUM(BC81:BN81)</f>
        <v>8</v>
      </c>
      <c r="BY81" s="15">
        <f t="shared" si="14"/>
        <v>1</v>
      </c>
      <c r="BZ81" s="15" t="str">
        <f t="shared" si="41"/>
        <v>тўғри</v>
      </c>
    </row>
    <row r="82" spans="1:78" ht="14.25" customHeight="1" x14ac:dyDescent="0.25">
      <c r="A82" s="14" t="s">
        <v>52</v>
      </c>
      <c r="B82" s="104"/>
      <c r="C82" s="104"/>
      <c r="D82" s="149" t="s">
        <v>135</v>
      </c>
      <c r="E82" s="149"/>
      <c r="F82" s="149"/>
      <c r="G82" s="149"/>
      <c r="H82" s="149"/>
      <c r="I82" s="149"/>
      <c r="J82" s="149"/>
      <c r="K82" s="149"/>
      <c r="L82" s="149"/>
      <c r="M82" s="149"/>
      <c r="N82" s="149"/>
      <c r="O82" s="150"/>
      <c r="P82" s="144">
        <f t="shared" si="44"/>
        <v>480</v>
      </c>
      <c r="Q82" s="106"/>
      <c r="R82" s="106"/>
      <c r="S82" s="106"/>
      <c r="T82" s="106"/>
      <c r="U82" s="147"/>
      <c r="V82" s="152">
        <f t="shared" si="42"/>
        <v>180</v>
      </c>
      <c r="W82" s="106"/>
      <c r="X82" s="106"/>
      <c r="Y82" s="106"/>
      <c r="Z82" s="106"/>
      <c r="AA82" s="106"/>
      <c r="AB82" s="106"/>
      <c r="AC82" s="106"/>
      <c r="AD82" s="106"/>
      <c r="AE82" s="106"/>
      <c r="AF82" s="106"/>
      <c r="AG82" s="106"/>
      <c r="AH82" s="106"/>
      <c r="AI82" s="106"/>
      <c r="AJ82" s="106"/>
      <c r="AK82" s="106"/>
      <c r="AL82" s="106"/>
      <c r="AM82" s="106"/>
      <c r="AN82" s="104">
        <v>300</v>
      </c>
      <c r="AO82" s="104"/>
      <c r="AP82" s="145"/>
      <c r="AQ82" s="146"/>
      <c r="AR82" s="104"/>
      <c r="AS82" s="104"/>
      <c r="AT82" s="104">
        <v>6</v>
      </c>
      <c r="AU82" s="104"/>
      <c r="AV82" s="104"/>
      <c r="AW82" s="104"/>
      <c r="AX82" s="104"/>
      <c r="AY82" s="104"/>
      <c r="AZ82" s="104">
        <v>6</v>
      </c>
      <c r="BA82" s="104"/>
      <c r="BB82" s="145"/>
      <c r="BC82" s="146"/>
      <c r="BD82" s="104"/>
      <c r="BE82" s="104"/>
      <c r="BF82" s="104">
        <v>8</v>
      </c>
      <c r="BG82" s="104"/>
      <c r="BH82" s="104"/>
      <c r="BI82" s="104"/>
      <c r="BJ82" s="104"/>
      <c r="BK82" s="104"/>
      <c r="BL82" s="104">
        <v>8</v>
      </c>
      <c r="BM82" s="104"/>
      <c r="BN82" s="145"/>
      <c r="BO82" s="148">
        <f t="shared" si="43"/>
        <v>16</v>
      </c>
      <c r="BP82" s="105"/>
      <c r="BQ82" s="105"/>
      <c r="BR82" s="105"/>
      <c r="BS82" s="71">
        <f t="shared" si="30"/>
        <v>37.5</v>
      </c>
      <c r="BT82" s="71">
        <f t="shared" si="31"/>
        <v>62.5</v>
      </c>
      <c r="BU82" s="71"/>
      <c r="BV82" s="15"/>
      <c r="BW82" s="15" t="str">
        <f t="shared" si="45"/>
        <v>хато</v>
      </c>
      <c r="BX82" s="71">
        <f t="shared" si="46"/>
        <v>16</v>
      </c>
      <c r="BY82" s="15">
        <f t="shared" si="14"/>
        <v>1</v>
      </c>
      <c r="BZ82" s="15" t="str">
        <f>IF(BY82=1,"тўғри","хато")</f>
        <v>тўғри</v>
      </c>
    </row>
    <row r="83" spans="1:78" ht="14.25" customHeight="1" x14ac:dyDescent="0.25">
      <c r="A83" s="71"/>
      <c r="B83" s="130"/>
      <c r="C83" s="130"/>
      <c r="D83" s="184" t="s">
        <v>133</v>
      </c>
      <c r="E83" s="184"/>
      <c r="F83" s="184"/>
      <c r="G83" s="184"/>
      <c r="H83" s="184"/>
      <c r="I83" s="184"/>
      <c r="J83" s="184"/>
      <c r="K83" s="184"/>
      <c r="L83" s="184"/>
      <c r="M83" s="184"/>
      <c r="N83" s="184"/>
      <c r="O83" s="185"/>
      <c r="P83" s="144">
        <f>SUM(P79,P78)</f>
        <v>3600</v>
      </c>
      <c r="Q83" s="106"/>
      <c r="R83" s="106"/>
      <c r="S83" s="131">
        <f>P83/3600*100</f>
        <v>100</v>
      </c>
      <c r="T83" s="131"/>
      <c r="U83" s="151"/>
      <c r="V83" s="152">
        <f>SUM(V79+V77)</f>
        <v>750</v>
      </c>
      <c r="W83" s="106"/>
      <c r="X83" s="106"/>
      <c r="Y83" s="106"/>
      <c r="Z83" s="106"/>
      <c r="AA83" s="106"/>
      <c r="AB83" s="106"/>
      <c r="AC83" s="106"/>
      <c r="AD83" s="106"/>
      <c r="AE83" s="106"/>
      <c r="AF83" s="106"/>
      <c r="AG83" s="106"/>
      <c r="AH83" s="106"/>
      <c r="AI83" s="106"/>
      <c r="AJ83" s="106"/>
      <c r="AK83" s="106"/>
      <c r="AL83" s="106"/>
      <c r="AM83" s="106"/>
      <c r="AN83" s="106">
        <f>SUM(AN79+AN78)</f>
        <v>2160</v>
      </c>
      <c r="AO83" s="106"/>
      <c r="AP83" s="147"/>
      <c r="AQ83" s="144">
        <f>SUM(AQ79+AQ78)</f>
        <v>24</v>
      </c>
      <c r="AR83" s="106"/>
      <c r="AS83" s="106"/>
      <c r="AT83" s="106">
        <f>SUM(AT79+AT78)</f>
        <v>24</v>
      </c>
      <c r="AU83" s="106"/>
      <c r="AV83" s="106"/>
      <c r="AW83" s="106">
        <f>SUM(AW79+AW78)</f>
        <v>24</v>
      </c>
      <c r="AX83" s="106"/>
      <c r="AY83" s="106"/>
      <c r="AZ83" s="106">
        <f>SUM(AZ79+AZ78)</f>
        <v>24</v>
      </c>
      <c r="BA83" s="106"/>
      <c r="BB83" s="147"/>
      <c r="BC83" s="144">
        <f>SUM(BC79+BC78)</f>
        <v>30</v>
      </c>
      <c r="BD83" s="106"/>
      <c r="BE83" s="106"/>
      <c r="BF83" s="106">
        <f>SUM(BF79+BF78)</f>
        <v>30</v>
      </c>
      <c r="BG83" s="106"/>
      <c r="BH83" s="106"/>
      <c r="BI83" s="106">
        <f>SUM(BI79+BI78)</f>
        <v>30</v>
      </c>
      <c r="BJ83" s="106"/>
      <c r="BK83" s="106"/>
      <c r="BL83" s="106">
        <f>SUM(BL79+BL78)</f>
        <v>30</v>
      </c>
      <c r="BM83" s="106"/>
      <c r="BN83" s="147"/>
      <c r="BO83" s="148">
        <f>SUM(P83/30)</f>
        <v>120</v>
      </c>
      <c r="BP83" s="105"/>
      <c r="BQ83" s="105"/>
      <c r="BR83" s="105"/>
      <c r="BS83" s="71">
        <f t="shared" si="16"/>
        <v>20.833333333333336</v>
      </c>
      <c r="BT83" s="71">
        <f t="shared" si="17"/>
        <v>60</v>
      </c>
      <c r="BU83" s="71"/>
      <c r="BV83" s="15"/>
      <c r="BW83" s="15"/>
      <c r="BX83" s="71">
        <f t="shared" si="13"/>
        <v>120</v>
      </c>
      <c r="BY83" s="15">
        <f t="shared" si="14"/>
        <v>1</v>
      </c>
      <c r="BZ83" s="15" t="str">
        <f>IF(BY83=1,"тўғри","хато")</f>
        <v>тўғри</v>
      </c>
    </row>
    <row r="84" spans="1:78" ht="14.25" customHeight="1" x14ac:dyDescent="0.25">
      <c r="A84" s="1"/>
      <c r="B84" s="16"/>
      <c r="C84" s="16"/>
      <c r="D84" s="17"/>
      <c r="E84" s="17"/>
      <c r="F84" s="17"/>
      <c r="G84" s="17"/>
      <c r="H84" s="17"/>
      <c r="I84" s="17"/>
      <c r="J84" s="17"/>
      <c r="K84" s="17"/>
      <c r="L84" s="17"/>
      <c r="M84" s="17"/>
      <c r="N84" s="17"/>
      <c r="O84" s="17"/>
      <c r="P84" s="18"/>
      <c r="Q84" s="18"/>
      <c r="R84" s="18"/>
      <c r="S84" s="18"/>
      <c r="T84" s="18"/>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
      <c r="BC84" s="1"/>
      <c r="BD84" s="1"/>
      <c r="BE84" s="1"/>
      <c r="BF84" s="1"/>
      <c r="BG84" s="1"/>
      <c r="BH84" s="1"/>
      <c r="BI84" s="1"/>
      <c r="BJ84" s="1"/>
      <c r="BK84" s="1"/>
      <c r="BL84" s="1"/>
      <c r="BM84" s="1"/>
      <c r="BN84" s="1"/>
      <c r="BO84" s="20"/>
      <c r="BP84" s="20"/>
      <c r="BQ84" s="20"/>
      <c r="BR84" s="20"/>
    </row>
    <row r="85" spans="1:78" ht="14.25" customHeight="1" thickBot="1" x14ac:dyDescent="0.3">
      <c r="A85" s="1"/>
      <c r="B85" s="16"/>
      <c r="C85" s="16"/>
      <c r="D85" s="17"/>
      <c r="E85" s="17"/>
      <c r="F85" s="17"/>
      <c r="G85" s="17"/>
      <c r="H85" s="17"/>
      <c r="I85" s="17"/>
      <c r="J85" s="17"/>
      <c r="K85" s="17"/>
      <c r="L85" s="17"/>
      <c r="M85" s="17"/>
      <c r="N85" s="17"/>
      <c r="O85" s="17"/>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
      <c r="BC85" s="1"/>
      <c r="BD85" s="1"/>
      <c r="BE85" s="1"/>
      <c r="BF85" s="1"/>
      <c r="BG85" s="1"/>
      <c r="BH85" s="1"/>
      <c r="BI85" s="1"/>
      <c r="BJ85" s="1"/>
      <c r="BK85" s="1"/>
      <c r="BL85" s="1"/>
      <c r="BM85" s="1"/>
      <c r="BN85" s="1"/>
      <c r="BO85" s="20"/>
      <c r="BP85" s="20"/>
      <c r="BQ85" s="20"/>
      <c r="BR85" s="20"/>
    </row>
    <row r="86" spans="1:78" s="24" customFormat="1" ht="14.25" customHeight="1" x14ac:dyDescent="0.35">
      <c r="A86" s="21"/>
      <c r="B86" s="16"/>
      <c r="C86" s="16"/>
      <c r="D86" s="74"/>
      <c r="E86" s="74"/>
      <c r="F86" s="74"/>
      <c r="G86" s="74"/>
      <c r="H86" s="74"/>
      <c r="I86" s="74"/>
      <c r="J86" s="74"/>
      <c r="K86" s="74"/>
      <c r="L86" s="74"/>
      <c r="M86" s="74"/>
      <c r="N86" s="74"/>
      <c r="O86" s="74"/>
      <c r="P86" s="22"/>
      <c r="Q86" s="22"/>
      <c r="R86" s="22"/>
      <c r="S86" s="22"/>
      <c r="T86" s="22"/>
      <c r="U86" s="22"/>
      <c r="V86" s="191" t="s">
        <v>129</v>
      </c>
      <c r="W86" s="192"/>
      <c r="X86" s="192"/>
      <c r="Y86" s="192"/>
      <c r="Z86" s="192"/>
      <c r="AA86" s="192"/>
      <c r="AB86" s="192"/>
      <c r="AC86" s="192"/>
      <c r="AD86" s="192"/>
      <c r="AE86" s="192"/>
      <c r="AF86" s="192"/>
      <c r="AG86" s="192"/>
      <c r="AH86" s="192"/>
      <c r="AI86" s="192"/>
      <c r="AJ86" s="192"/>
      <c r="AK86" s="192"/>
      <c r="AL86" s="192"/>
      <c r="AM86" s="192"/>
      <c r="AN86" s="192"/>
      <c r="AO86" s="192"/>
      <c r="AP86" s="192"/>
      <c r="AQ86" s="192"/>
      <c r="AR86" s="192"/>
      <c r="AS86" s="192"/>
      <c r="AT86" s="192"/>
      <c r="AU86" s="192"/>
      <c r="AV86" s="192"/>
      <c r="AW86" s="192"/>
      <c r="AX86" s="192"/>
      <c r="AY86" s="192"/>
      <c r="AZ86" s="193"/>
      <c r="BA86" s="22"/>
      <c r="BB86" s="22"/>
      <c r="BC86" s="22"/>
      <c r="BD86" s="22"/>
      <c r="BE86" s="22"/>
      <c r="BF86" s="22"/>
      <c r="BG86" s="22"/>
      <c r="BH86" s="22"/>
      <c r="BI86" s="22"/>
      <c r="BJ86" s="22"/>
      <c r="BK86" s="22"/>
      <c r="BL86" s="22"/>
      <c r="BM86" s="22"/>
      <c r="BN86" s="22"/>
      <c r="BO86" s="23"/>
      <c r="BP86" s="23"/>
      <c r="BQ86" s="23"/>
      <c r="BR86" s="23"/>
      <c r="BS86" s="1"/>
      <c r="BT86" s="1"/>
      <c r="BU86" s="1"/>
      <c r="BV86" s="1"/>
      <c r="BW86" s="1"/>
      <c r="BX86" s="1"/>
      <c r="BY86" s="1"/>
      <c r="BZ86" s="1"/>
    </row>
    <row r="87" spans="1:78" s="24" customFormat="1" ht="14.25" customHeight="1" x14ac:dyDescent="0.35">
      <c r="A87" s="21"/>
      <c r="B87" s="16"/>
      <c r="C87" s="16"/>
      <c r="D87" s="74"/>
      <c r="E87" s="74"/>
      <c r="F87" s="74"/>
      <c r="G87" s="74"/>
      <c r="H87" s="74"/>
      <c r="I87" s="74"/>
      <c r="J87" s="74"/>
      <c r="K87" s="74"/>
      <c r="L87" s="74"/>
      <c r="M87" s="74"/>
      <c r="N87" s="74"/>
      <c r="O87" s="74"/>
      <c r="P87" s="22"/>
      <c r="Q87" s="22"/>
      <c r="R87" s="22"/>
      <c r="S87" s="22"/>
      <c r="T87" s="22"/>
      <c r="U87" s="22"/>
      <c r="V87" s="194"/>
      <c r="W87" s="195"/>
      <c r="X87" s="195"/>
      <c r="Y87" s="195"/>
      <c r="Z87" s="195"/>
      <c r="AA87" s="195"/>
      <c r="AB87" s="195"/>
      <c r="AC87" s="195"/>
      <c r="AD87" s="195"/>
      <c r="AE87" s="195"/>
      <c r="AF87" s="195"/>
      <c r="AG87" s="195"/>
      <c r="AH87" s="195"/>
      <c r="AI87" s="195"/>
      <c r="AJ87" s="195"/>
      <c r="AK87" s="195"/>
      <c r="AL87" s="195"/>
      <c r="AM87" s="195"/>
      <c r="AN87" s="195"/>
      <c r="AO87" s="195"/>
      <c r="AP87" s="195"/>
      <c r="AQ87" s="195"/>
      <c r="AR87" s="195"/>
      <c r="AS87" s="195"/>
      <c r="AT87" s="195"/>
      <c r="AU87" s="195"/>
      <c r="AV87" s="195"/>
      <c r="AW87" s="195"/>
      <c r="AX87" s="195"/>
      <c r="AY87" s="195"/>
      <c r="AZ87" s="196"/>
      <c r="BA87" s="22"/>
      <c r="BB87" s="22"/>
      <c r="BC87" s="22"/>
      <c r="BD87" s="22"/>
      <c r="BE87" s="22"/>
      <c r="BF87" s="22"/>
      <c r="BG87" s="22"/>
      <c r="BH87" s="22"/>
      <c r="BI87" s="22"/>
      <c r="BJ87" s="22"/>
      <c r="BK87" s="22"/>
      <c r="BL87" s="22"/>
      <c r="BM87" s="22"/>
      <c r="BN87" s="22"/>
      <c r="BO87" s="23"/>
      <c r="BP87" s="23"/>
      <c r="BQ87" s="23"/>
      <c r="BR87" s="23"/>
      <c r="BS87" s="1"/>
      <c r="BT87" s="1"/>
      <c r="BU87" s="1"/>
      <c r="BV87" s="1"/>
      <c r="BW87" s="1"/>
      <c r="BX87" s="1"/>
      <c r="BY87" s="1"/>
      <c r="BZ87" s="1"/>
    </row>
    <row r="88" spans="1:78" s="24" customFormat="1" ht="14.25" customHeight="1" x14ac:dyDescent="0.35">
      <c r="A88" s="21"/>
      <c r="B88" s="16"/>
      <c r="C88" s="16"/>
      <c r="D88" s="74"/>
      <c r="E88" s="74"/>
      <c r="F88" s="74"/>
      <c r="G88" s="74"/>
      <c r="H88" s="74"/>
      <c r="I88" s="74"/>
      <c r="J88" s="74"/>
      <c r="K88" s="74"/>
      <c r="L88" s="74"/>
      <c r="M88" s="74"/>
      <c r="N88" s="74"/>
      <c r="O88" s="74"/>
      <c r="P88" s="22"/>
      <c r="Q88" s="22"/>
      <c r="R88" s="22"/>
      <c r="S88" s="22"/>
      <c r="T88" s="22"/>
      <c r="U88" s="22"/>
      <c r="V88" s="197" t="s">
        <v>141</v>
      </c>
      <c r="W88" s="198"/>
      <c r="X88" s="198"/>
      <c r="Y88" s="198"/>
      <c r="Z88" s="198"/>
      <c r="AA88" s="198"/>
      <c r="AB88" s="198"/>
      <c r="AC88" s="198"/>
      <c r="AD88" s="198"/>
      <c r="AE88" s="198"/>
      <c r="AF88" s="198"/>
      <c r="AG88" s="198"/>
      <c r="AH88" s="198"/>
      <c r="AI88" s="198"/>
      <c r="AJ88" s="198"/>
      <c r="AK88" s="198"/>
      <c r="AL88" s="198"/>
      <c r="AM88" s="198"/>
      <c r="AN88" s="198"/>
      <c r="AO88" s="198"/>
      <c r="AP88" s="198"/>
      <c r="AQ88" s="198"/>
      <c r="AR88" s="198"/>
      <c r="AS88" s="198"/>
      <c r="AT88" s="198"/>
      <c r="AU88" s="198"/>
      <c r="AV88" s="198"/>
      <c r="AW88" s="198"/>
      <c r="AX88" s="198"/>
      <c r="AY88" s="198"/>
      <c r="AZ88" s="199"/>
      <c r="BA88" s="22"/>
      <c r="BB88" s="22"/>
      <c r="BC88" s="22"/>
      <c r="BD88" s="22"/>
      <c r="BE88" s="22"/>
      <c r="BF88" s="22"/>
      <c r="BG88" s="22"/>
      <c r="BH88" s="22"/>
      <c r="BI88" s="22"/>
      <c r="BJ88" s="22"/>
      <c r="BK88" s="22"/>
      <c r="BL88" s="22"/>
      <c r="BM88" s="22"/>
      <c r="BN88" s="22"/>
      <c r="BO88" s="23"/>
      <c r="BP88" s="23"/>
      <c r="BQ88" s="23"/>
      <c r="BR88" s="23"/>
      <c r="BS88" s="1"/>
      <c r="BT88" s="1"/>
      <c r="BU88" s="1"/>
      <c r="BV88" s="1"/>
      <c r="BW88" s="1"/>
      <c r="BX88" s="1"/>
      <c r="BY88" s="1"/>
      <c r="BZ88" s="1"/>
    </row>
    <row r="89" spans="1:78" ht="14.25" customHeight="1" thickBot="1" x14ac:dyDescent="0.3">
      <c r="A89" s="1"/>
      <c r="B89" s="16"/>
      <c r="C89" s="16"/>
      <c r="D89" s="18"/>
      <c r="E89" s="18"/>
      <c r="F89" s="18"/>
      <c r="G89" s="18"/>
      <c r="H89" s="18"/>
      <c r="I89" s="18"/>
      <c r="J89" s="18"/>
      <c r="K89" s="18"/>
      <c r="L89" s="18"/>
      <c r="M89" s="18"/>
      <c r="N89" s="18"/>
      <c r="O89" s="18"/>
      <c r="P89" s="25"/>
      <c r="Q89" s="25"/>
      <c r="R89" s="25"/>
      <c r="S89" s="25"/>
      <c r="T89" s="25"/>
      <c r="U89" s="25"/>
      <c r="V89" s="200"/>
      <c r="W89" s="201"/>
      <c r="X89" s="201"/>
      <c r="Y89" s="201"/>
      <c r="Z89" s="201"/>
      <c r="AA89" s="201"/>
      <c r="AB89" s="201"/>
      <c r="AC89" s="201"/>
      <c r="AD89" s="201"/>
      <c r="AE89" s="201"/>
      <c r="AF89" s="201"/>
      <c r="AG89" s="201"/>
      <c r="AH89" s="201"/>
      <c r="AI89" s="201"/>
      <c r="AJ89" s="201"/>
      <c r="AK89" s="201"/>
      <c r="AL89" s="201"/>
      <c r="AM89" s="201"/>
      <c r="AN89" s="201"/>
      <c r="AO89" s="201"/>
      <c r="AP89" s="201"/>
      <c r="AQ89" s="201"/>
      <c r="AR89" s="201"/>
      <c r="AS89" s="201"/>
      <c r="AT89" s="201"/>
      <c r="AU89" s="201"/>
      <c r="AV89" s="201"/>
      <c r="AW89" s="201"/>
      <c r="AX89" s="201"/>
      <c r="AY89" s="201"/>
      <c r="AZ89" s="202"/>
      <c r="BA89" s="25"/>
      <c r="BB89" s="25"/>
      <c r="BC89" s="25"/>
      <c r="BD89" s="25"/>
      <c r="BE89" s="25"/>
      <c r="BF89" s="25"/>
      <c r="BG89" s="25"/>
      <c r="BH89" s="25"/>
      <c r="BI89" s="25"/>
      <c r="BJ89" s="25"/>
      <c r="BK89" s="25"/>
      <c r="BL89" s="25"/>
      <c r="BM89" s="25"/>
      <c r="BN89" s="25"/>
      <c r="BO89" s="26"/>
      <c r="BP89" s="26"/>
      <c r="BQ89" s="26"/>
      <c r="BR89" s="26"/>
    </row>
    <row r="90" spans="1:78" ht="14.25" customHeight="1" x14ac:dyDescent="0.25">
      <c r="A90" s="1"/>
      <c r="B90" s="10"/>
      <c r="C90" s="10"/>
      <c r="D90" s="18"/>
      <c r="E90" s="18"/>
      <c r="F90" s="18"/>
      <c r="G90" s="18"/>
      <c r="H90" s="18"/>
      <c r="I90" s="18"/>
      <c r="J90" s="18"/>
      <c r="K90" s="18"/>
      <c r="L90" s="18"/>
      <c r="M90" s="18"/>
      <c r="N90" s="18"/>
      <c r="O90" s="18"/>
      <c r="P90" s="25"/>
      <c r="Q90" s="25"/>
      <c r="R90" s="25"/>
      <c r="S90" s="25"/>
      <c r="T90" s="25"/>
      <c r="U90" s="25"/>
      <c r="V90" s="80"/>
      <c r="W90" s="80"/>
      <c r="X90" s="80"/>
      <c r="Y90" s="80"/>
      <c r="Z90" s="80"/>
      <c r="AA90" s="80"/>
      <c r="AB90" s="80"/>
      <c r="AC90" s="80"/>
      <c r="AD90" s="80"/>
      <c r="AE90" s="80"/>
      <c r="AF90" s="80"/>
      <c r="AG90" s="80"/>
      <c r="AH90" s="80"/>
      <c r="AI90" s="80"/>
      <c r="AJ90" s="80"/>
      <c r="AK90" s="80"/>
      <c r="AL90" s="80"/>
      <c r="AM90" s="80"/>
      <c r="AN90" s="80"/>
      <c r="AO90" s="80"/>
      <c r="AP90" s="80"/>
      <c r="AQ90" s="80"/>
      <c r="AR90" s="80"/>
      <c r="AS90" s="80"/>
      <c r="AT90" s="80"/>
      <c r="AU90" s="80"/>
      <c r="AV90" s="80"/>
      <c r="AW90" s="80"/>
      <c r="AX90" s="80"/>
      <c r="AY90" s="80"/>
      <c r="AZ90" s="80"/>
      <c r="BA90" s="25"/>
      <c r="BB90" s="25"/>
      <c r="BC90" s="25"/>
      <c r="BD90" s="25"/>
      <c r="BE90" s="25"/>
      <c r="BF90" s="25"/>
      <c r="BG90" s="25"/>
      <c r="BH90" s="25"/>
      <c r="BI90" s="25"/>
      <c r="BJ90" s="25"/>
      <c r="BK90" s="25"/>
      <c r="BL90" s="25"/>
      <c r="BM90" s="25"/>
      <c r="BN90" s="25"/>
      <c r="BO90" s="26"/>
      <c r="BP90" s="26"/>
      <c r="BQ90" s="26"/>
      <c r="BR90" s="26"/>
    </row>
    <row r="91" spans="1:78" ht="14.25" customHeight="1" x14ac:dyDescent="0.25">
      <c r="A91" s="27" t="s">
        <v>149</v>
      </c>
      <c r="B91" s="28"/>
      <c r="C91" s="28"/>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30"/>
      <c r="BP91" s="30"/>
    </row>
    <row r="92" spans="1:78" ht="14.25" customHeight="1" x14ac:dyDescent="0.25">
      <c r="A92" s="31" t="s">
        <v>13</v>
      </c>
      <c r="B92" s="207" t="s">
        <v>144</v>
      </c>
      <c r="C92" s="207"/>
      <c r="D92" s="207"/>
      <c r="E92" s="207"/>
      <c r="F92" s="207"/>
      <c r="G92" s="207"/>
      <c r="H92" s="207"/>
      <c r="I92" s="207"/>
      <c r="J92" s="207"/>
      <c r="K92" s="207"/>
      <c r="L92" s="207"/>
      <c r="M92" s="207"/>
      <c r="N92" s="207"/>
      <c r="O92" s="207"/>
      <c r="P92" s="207"/>
      <c r="Q92" s="207"/>
      <c r="R92" s="207"/>
      <c r="S92" s="207"/>
      <c r="T92" s="207"/>
      <c r="U92" s="207"/>
      <c r="V92" s="207"/>
      <c r="W92" s="207"/>
      <c r="X92" s="207"/>
      <c r="Y92" s="207"/>
      <c r="Z92" s="207"/>
      <c r="AA92" s="207"/>
      <c r="AB92" s="207"/>
      <c r="AC92" s="207"/>
      <c r="AD92" s="207"/>
      <c r="AE92" s="207"/>
      <c r="AF92" s="207"/>
      <c r="AG92" s="207"/>
      <c r="AH92" s="207"/>
      <c r="AI92" s="207"/>
      <c r="AJ92" s="207"/>
      <c r="AK92" s="207"/>
      <c r="AL92" s="207"/>
      <c r="AM92" s="207"/>
      <c r="AN92" s="207"/>
      <c r="AO92" s="207"/>
      <c r="AP92" s="207"/>
      <c r="AQ92" s="207"/>
      <c r="AR92" s="207"/>
      <c r="AS92" s="207"/>
      <c r="AT92" s="207"/>
      <c r="AU92" s="207"/>
      <c r="AV92" s="207"/>
      <c r="AW92" s="207"/>
      <c r="AX92" s="207"/>
      <c r="AY92" s="207"/>
      <c r="AZ92" s="207"/>
      <c r="BA92" s="207"/>
      <c r="BB92" s="207"/>
      <c r="BC92" s="207"/>
      <c r="BD92" s="207"/>
      <c r="BE92" s="207"/>
      <c r="BF92" s="207"/>
      <c r="BG92" s="207"/>
      <c r="BH92" s="207"/>
      <c r="BI92" s="207"/>
      <c r="BJ92" s="207"/>
      <c r="BK92" s="207"/>
      <c r="BL92" s="207"/>
      <c r="BM92" s="207"/>
      <c r="BN92" s="207"/>
      <c r="BO92" s="207"/>
      <c r="BP92" s="207"/>
      <c r="BQ92" s="207"/>
    </row>
    <row r="93" spans="1:78" ht="14.25" customHeight="1" x14ac:dyDescent="0.25">
      <c r="A93" s="31" t="s">
        <v>14</v>
      </c>
      <c r="B93" s="189" t="s">
        <v>145</v>
      </c>
      <c r="C93" s="189"/>
      <c r="D93" s="189"/>
      <c r="E93" s="189"/>
      <c r="F93" s="189"/>
      <c r="G93" s="189"/>
      <c r="H93" s="189"/>
      <c r="I93" s="189"/>
      <c r="J93" s="189"/>
      <c r="K93" s="189"/>
      <c r="L93" s="189"/>
      <c r="M93" s="189"/>
      <c r="N93" s="189"/>
      <c r="O93" s="189"/>
      <c r="P93" s="189"/>
      <c r="Q93" s="189"/>
      <c r="R93" s="189"/>
      <c r="S93" s="189"/>
      <c r="T93" s="189"/>
      <c r="U93" s="189"/>
      <c r="V93" s="189"/>
      <c r="W93" s="189"/>
      <c r="X93" s="189"/>
      <c r="Y93" s="189"/>
      <c r="Z93" s="189"/>
      <c r="AA93" s="189"/>
      <c r="AB93" s="189"/>
      <c r="AC93" s="189"/>
      <c r="AD93" s="189"/>
      <c r="AE93" s="189"/>
      <c r="AF93" s="189"/>
      <c r="AG93" s="189"/>
      <c r="AH93" s="189"/>
      <c r="AI93" s="189"/>
      <c r="AJ93" s="189"/>
      <c r="AK93" s="189"/>
      <c r="AL93" s="189"/>
      <c r="AM93" s="189"/>
      <c r="AN93" s="189"/>
      <c r="AO93" s="189"/>
      <c r="AP93" s="189"/>
      <c r="AQ93" s="189"/>
      <c r="AR93" s="189"/>
      <c r="AS93" s="189"/>
      <c r="AT93" s="189"/>
      <c r="AU93" s="189"/>
      <c r="AV93" s="189"/>
      <c r="AW93" s="189"/>
      <c r="AX93" s="189"/>
      <c r="AY93" s="189"/>
      <c r="AZ93" s="189"/>
      <c r="BA93" s="189"/>
      <c r="BB93" s="189"/>
      <c r="BC93" s="189"/>
      <c r="BD93" s="189"/>
      <c r="BE93" s="189"/>
      <c r="BF93" s="189"/>
      <c r="BG93" s="189"/>
      <c r="BH93" s="189"/>
      <c r="BI93" s="189"/>
      <c r="BJ93" s="189"/>
      <c r="BK93" s="189"/>
      <c r="BL93" s="189"/>
      <c r="BM93" s="189"/>
      <c r="BN93" s="189"/>
      <c r="BO93" s="189"/>
      <c r="BP93" s="189"/>
      <c r="BQ93" s="190"/>
    </row>
    <row r="94" spans="1:78" ht="14.25" customHeight="1" x14ac:dyDescent="0.25">
      <c r="A94" s="31" t="s">
        <v>15</v>
      </c>
      <c r="B94" s="189" t="s">
        <v>146</v>
      </c>
      <c r="C94" s="189"/>
      <c r="D94" s="189"/>
      <c r="E94" s="189"/>
      <c r="F94" s="189"/>
      <c r="G94" s="189"/>
      <c r="H94" s="189"/>
      <c r="I94" s="189"/>
      <c r="J94" s="189"/>
      <c r="K94" s="189"/>
      <c r="L94" s="189"/>
      <c r="M94" s="189"/>
      <c r="N94" s="189"/>
      <c r="O94" s="189"/>
      <c r="P94" s="189"/>
      <c r="Q94" s="189"/>
      <c r="R94" s="189"/>
      <c r="S94" s="189"/>
      <c r="T94" s="189"/>
      <c r="U94" s="189"/>
      <c r="V94" s="189"/>
      <c r="W94" s="189"/>
      <c r="X94" s="189"/>
      <c r="Y94" s="189"/>
      <c r="Z94" s="189"/>
      <c r="AA94" s="189"/>
      <c r="AB94" s="189"/>
      <c r="AC94" s="189"/>
      <c r="AD94" s="189"/>
      <c r="AE94" s="189"/>
      <c r="AF94" s="189"/>
      <c r="AG94" s="189"/>
      <c r="AH94" s="189"/>
      <c r="AI94" s="189"/>
      <c r="AJ94" s="189"/>
      <c r="AK94" s="189"/>
      <c r="AL94" s="189"/>
      <c r="AM94" s="189"/>
      <c r="AN94" s="189"/>
      <c r="AO94" s="189"/>
      <c r="AP94" s="189"/>
      <c r="AQ94" s="189"/>
      <c r="AR94" s="189"/>
      <c r="AS94" s="189"/>
      <c r="AT94" s="189"/>
      <c r="AU94" s="189"/>
      <c r="AV94" s="189"/>
      <c r="AW94" s="189"/>
      <c r="AX94" s="189"/>
      <c r="AY94" s="189"/>
      <c r="AZ94" s="189"/>
      <c r="BA94" s="189"/>
      <c r="BB94" s="189"/>
      <c r="BC94" s="189"/>
      <c r="BD94" s="189"/>
      <c r="BE94" s="189"/>
      <c r="BF94" s="189"/>
      <c r="BG94" s="189"/>
      <c r="BH94" s="189"/>
      <c r="BI94" s="189"/>
      <c r="BJ94" s="189"/>
      <c r="BK94" s="189"/>
      <c r="BL94" s="189"/>
      <c r="BM94" s="189"/>
      <c r="BN94" s="189"/>
      <c r="BO94" s="189"/>
      <c r="BP94" s="189"/>
      <c r="BQ94" s="190"/>
    </row>
    <row r="95" spans="1:78" ht="14.25" customHeight="1" x14ac:dyDescent="0.25">
      <c r="A95" s="31" t="s">
        <v>16</v>
      </c>
      <c r="B95" s="189" t="s">
        <v>147</v>
      </c>
      <c r="C95" s="189"/>
      <c r="D95" s="189"/>
      <c r="E95" s="189"/>
      <c r="F95" s="189"/>
      <c r="G95" s="189"/>
      <c r="H95" s="189"/>
      <c r="I95" s="189"/>
      <c r="J95" s="189"/>
      <c r="K95" s="189"/>
      <c r="L95" s="189"/>
      <c r="M95" s="189"/>
      <c r="N95" s="189"/>
      <c r="O95" s="189"/>
      <c r="P95" s="189"/>
      <c r="Q95" s="189"/>
      <c r="R95" s="189"/>
      <c r="S95" s="189"/>
      <c r="T95" s="189"/>
      <c r="U95" s="189"/>
      <c r="V95" s="189"/>
      <c r="W95" s="189"/>
      <c r="X95" s="189"/>
      <c r="Y95" s="189"/>
      <c r="Z95" s="189"/>
      <c r="AA95" s="189"/>
      <c r="AB95" s="189"/>
      <c r="AC95" s="189"/>
      <c r="AD95" s="189"/>
      <c r="AE95" s="189"/>
      <c r="AF95" s="189"/>
      <c r="AG95" s="189"/>
      <c r="AH95" s="189"/>
      <c r="AI95" s="189"/>
      <c r="AJ95" s="189"/>
      <c r="AK95" s="189"/>
      <c r="AL95" s="189"/>
      <c r="AM95" s="189"/>
      <c r="AN95" s="189"/>
      <c r="AO95" s="189"/>
      <c r="AP95" s="189"/>
      <c r="AQ95" s="189"/>
      <c r="AR95" s="189"/>
      <c r="AS95" s="189"/>
      <c r="AT95" s="189"/>
      <c r="AU95" s="189"/>
      <c r="AV95" s="189"/>
      <c r="AW95" s="189"/>
      <c r="AX95" s="189"/>
      <c r="AY95" s="189"/>
      <c r="AZ95" s="189"/>
      <c r="BA95" s="189"/>
      <c r="BB95" s="189"/>
      <c r="BC95" s="189"/>
      <c r="BD95" s="189"/>
      <c r="BE95" s="189"/>
      <c r="BF95" s="189"/>
      <c r="BG95" s="189"/>
      <c r="BH95" s="189"/>
      <c r="BI95" s="189"/>
      <c r="BJ95" s="189"/>
      <c r="BK95" s="189"/>
      <c r="BL95" s="189"/>
      <c r="BM95" s="189"/>
      <c r="BN95" s="189"/>
      <c r="BO95" s="189"/>
      <c r="BP95" s="189"/>
      <c r="BQ95" s="190"/>
    </row>
    <row r="96" spans="1:78" ht="14.25" customHeight="1" x14ac:dyDescent="0.25">
      <c r="A96" s="31" t="s">
        <v>17</v>
      </c>
      <c r="B96" s="189" t="s">
        <v>148</v>
      </c>
      <c r="C96" s="189"/>
      <c r="D96" s="189"/>
      <c r="E96" s="189"/>
      <c r="F96" s="189"/>
      <c r="G96" s="189"/>
      <c r="H96" s="189"/>
      <c r="I96" s="189"/>
      <c r="J96" s="189"/>
      <c r="K96" s="189"/>
      <c r="L96" s="189"/>
      <c r="M96" s="189"/>
      <c r="N96" s="189"/>
      <c r="O96" s="189"/>
      <c r="P96" s="189"/>
      <c r="Q96" s="189"/>
      <c r="R96" s="189"/>
      <c r="S96" s="189"/>
      <c r="T96" s="189"/>
      <c r="U96" s="189"/>
      <c r="V96" s="189"/>
      <c r="W96" s="189"/>
      <c r="X96" s="189"/>
      <c r="Y96" s="189"/>
      <c r="Z96" s="189"/>
      <c r="AA96" s="189"/>
      <c r="AB96" s="189"/>
      <c r="AC96" s="189"/>
      <c r="AD96" s="189"/>
      <c r="AE96" s="189"/>
      <c r="AF96" s="189"/>
      <c r="AG96" s="189"/>
      <c r="AH96" s="189"/>
      <c r="AI96" s="189"/>
      <c r="AJ96" s="189"/>
      <c r="AK96" s="189"/>
      <c r="AL96" s="189"/>
      <c r="AM96" s="189"/>
      <c r="AN96" s="189"/>
      <c r="AO96" s="189"/>
      <c r="AP96" s="189"/>
      <c r="AQ96" s="189"/>
      <c r="AR96" s="189"/>
      <c r="AS96" s="189"/>
      <c r="AT96" s="189"/>
      <c r="AU96" s="189"/>
      <c r="AV96" s="189"/>
      <c r="AW96" s="189"/>
      <c r="AX96" s="189"/>
      <c r="AY96" s="189"/>
      <c r="AZ96" s="189"/>
      <c r="BA96" s="189"/>
      <c r="BB96" s="189"/>
      <c r="BC96" s="189"/>
      <c r="BD96" s="189"/>
      <c r="BE96" s="189"/>
      <c r="BF96" s="189"/>
      <c r="BG96" s="189"/>
      <c r="BH96" s="189"/>
      <c r="BI96" s="189"/>
      <c r="BJ96" s="189"/>
      <c r="BK96" s="189"/>
      <c r="BL96" s="189"/>
      <c r="BM96" s="189"/>
      <c r="BN96" s="189"/>
      <c r="BO96" s="189"/>
      <c r="BP96" s="190"/>
      <c r="BQ96" s="190"/>
    </row>
    <row r="97" spans="1:70" ht="14.25" customHeight="1" x14ac:dyDescent="0.25">
      <c r="A97" s="31" t="s">
        <v>18</v>
      </c>
      <c r="B97" s="188" t="s">
        <v>162</v>
      </c>
      <c r="C97" s="188"/>
      <c r="D97" s="188"/>
      <c r="E97" s="188"/>
      <c r="F97" s="188"/>
      <c r="G97" s="188"/>
      <c r="H97" s="188"/>
      <c r="I97" s="188"/>
      <c r="J97" s="188"/>
      <c r="K97" s="188"/>
      <c r="L97" s="188"/>
      <c r="M97" s="188"/>
      <c r="N97" s="188"/>
      <c r="O97" s="188"/>
      <c r="P97" s="188"/>
      <c r="Q97" s="188"/>
      <c r="R97" s="188"/>
      <c r="S97" s="188"/>
      <c r="T97" s="188"/>
      <c r="U97" s="188"/>
      <c r="V97" s="188"/>
      <c r="W97" s="188"/>
      <c r="X97" s="188"/>
      <c r="Y97" s="188"/>
      <c r="Z97" s="188"/>
      <c r="AA97" s="188"/>
      <c r="AB97" s="188"/>
      <c r="AC97" s="188"/>
      <c r="AD97" s="188"/>
      <c r="AE97" s="188"/>
      <c r="AF97" s="188"/>
      <c r="AG97" s="188"/>
      <c r="AH97" s="188"/>
      <c r="AI97" s="188"/>
      <c r="AJ97" s="188"/>
      <c r="AK97" s="188"/>
      <c r="AL97" s="188"/>
      <c r="AM97" s="188"/>
      <c r="AN97" s="188"/>
      <c r="AO97" s="188"/>
      <c r="AP97" s="188"/>
      <c r="AQ97" s="188"/>
      <c r="AR97" s="188"/>
      <c r="AS97" s="188"/>
      <c r="AT97" s="188"/>
      <c r="AU97" s="188"/>
      <c r="AV97" s="188"/>
      <c r="AW97" s="188"/>
      <c r="AX97" s="188"/>
      <c r="AY97" s="188"/>
      <c r="AZ97" s="188"/>
      <c r="BA97" s="188"/>
      <c r="BB97" s="188"/>
      <c r="BC97" s="188"/>
      <c r="BD97" s="188"/>
      <c r="BE97" s="188"/>
      <c r="BF97" s="188"/>
      <c r="BG97" s="188"/>
      <c r="BH97" s="188"/>
      <c r="BI97" s="188"/>
      <c r="BJ97" s="188"/>
      <c r="BK97" s="188"/>
      <c r="BL97" s="188"/>
      <c r="BM97" s="188"/>
      <c r="BN97" s="188"/>
      <c r="BO97" s="188"/>
      <c r="BP97" s="188"/>
    </row>
    <row r="98" spans="1:70" ht="14.25" customHeight="1" x14ac:dyDescent="0.25">
      <c r="A98" s="31"/>
      <c r="B98" s="188" t="s">
        <v>263</v>
      </c>
      <c r="C98" s="188"/>
      <c r="D98" s="188"/>
      <c r="E98" s="188"/>
      <c r="F98" s="188"/>
      <c r="G98" s="188"/>
      <c r="H98" s="188"/>
      <c r="I98" s="188"/>
      <c r="J98" s="188"/>
      <c r="K98" s="188"/>
      <c r="L98" s="188"/>
      <c r="M98" s="188"/>
      <c r="N98" s="188"/>
      <c r="O98" s="188"/>
      <c r="P98" s="188"/>
      <c r="Q98" s="188"/>
      <c r="R98" s="188"/>
      <c r="S98" s="188"/>
      <c r="T98" s="188"/>
      <c r="U98" s="188"/>
      <c r="V98" s="188"/>
      <c r="W98" s="188"/>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88"/>
      <c r="AX98" s="188"/>
      <c r="AY98" s="188"/>
      <c r="AZ98" s="188"/>
      <c r="BA98" s="188"/>
      <c r="BB98" s="188"/>
      <c r="BC98" s="188"/>
      <c r="BD98" s="188"/>
      <c r="BE98" s="188"/>
      <c r="BF98" s="188"/>
      <c r="BG98" s="188"/>
      <c r="BH98" s="188"/>
      <c r="BI98" s="188"/>
      <c r="BJ98" s="188"/>
      <c r="BK98" s="188"/>
      <c r="BL98" s="188"/>
      <c r="BM98" s="188"/>
      <c r="BN98" s="188"/>
      <c r="BO98" s="188"/>
      <c r="BP98" s="188"/>
    </row>
    <row r="99" spans="1:70" ht="14.25" customHeight="1" x14ac:dyDescent="0.25">
      <c r="A99" s="31" t="s">
        <v>19</v>
      </c>
      <c r="B99" s="188" t="s">
        <v>158</v>
      </c>
      <c r="C99" s="188"/>
      <c r="D99" s="188"/>
      <c r="E99" s="188"/>
      <c r="F99" s="188"/>
      <c r="G99" s="188"/>
      <c r="H99" s="188"/>
      <c r="I99" s="188"/>
      <c r="J99" s="188"/>
      <c r="K99" s="188"/>
      <c r="L99" s="188"/>
      <c r="M99" s="188"/>
      <c r="N99" s="188"/>
      <c r="O99" s="188"/>
      <c r="P99" s="188"/>
      <c r="Q99" s="188"/>
      <c r="R99" s="188"/>
      <c r="S99" s="188"/>
      <c r="T99" s="188"/>
      <c r="U99" s="188"/>
      <c r="V99" s="188"/>
      <c r="W99" s="188"/>
      <c r="X99" s="188"/>
      <c r="Y99" s="188"/>
      <c r="Z99" s="188"/>
      <c r="AA99" s="188"/>
      <c r="AB99" s="188"/>
      <c r="AC99" s="188"/>
      <c r="AD99" s="188"/>
      <c r="AE99" s="188"/>
      <c r="AF99" s="188"/>
      <c r="AG99" s="188"/>
      <c r="AH99" s="188"/>
      <c r="AI99" s="188"/>
      <c r="AJ99" s="188"/>
      <c r="AK99" s="188"/>
      <c r="AL99" s="188"/>
      <c r="AM99" s="188"/>
      <c r="AN99" s="188"/>
      <c r="AO99" s="188"/>
      <c r="AP99" s="188"/>
      <c r="AQ99" s="188"/>
      <c r="AR99" s="188"/>
      <c r="AS99" s="188"/>
      <c r="AT99" s="188"/>
      <c r="AU99" s="188"/>
      <c r="AV99" s="188"/>
      <c r="AW99" s="188"/>
      <c r="AX99" s="188"/>
      <c r="AY99" s="188"/>
      <c r="AZ99" s="188"/>
      <c r="BA99" s="188"/>
      <c r="BB99" s="188"/>
      <c r="BC99" s="188"/>
      <c r="BD99" s="188"/>
      <c r="BE99" s="188"/>
      <c r="BF99" s="188"/>
      <c r="BG99" s="188"/>
      <c r="BH99" s="188"/>
      <c r="BI99" s="188"/>
      <c r="BJ99" s="188"/>
      <c r="BK99" s="188"/>
      <c r="BL99" s="188"/>
      <c r="BM99" s="188"/>
      <c r="BN99" s="188"/>
      <c r="BO99" s="188"/>
      <c r="BP99" s="188"/>
    </row>
    <row r="100" spans="1:70" ht="14.25" customHeight="1" x14ac:dyDescent="0.25">
      <c r="A100" s="31" t="s">
        <v>20</v>
      </c>
      <c r="B100" s="188" t="s">
        <v>167</v>
      </c>
      <c r="C100" s="188"/>
      <c r="D100" s="188"/>
      <c r="E100" s="188"/>
      <c r="F100" s="188"/>
      <c r="G100" s="188"/>
      <c r="H100" s="188"/>
      <c r="I100" s="188"/>
      <c r="J100" s="188"/>
      <c r="K100" s="188"/>
      <c r="L100" s="188"/>
      <c r="M100" s="188"/>
      <c r="N100" s="188"/>
      <c r="O100" s="188"/>
      <c r="P100" s="188"/>
      <c r="Q100" s="188"/>
      <c r="R100" s="188"/>
      <c r="S100" s="188"/>
      <c r="T100" s="188"/>
      <c r="U100" s="188"/>
      <c r="V100" s="188"/>
      <c r="W100" s="188"/>
      <c r="X100" s="188"/>
      <c r="Y100" s="188"/>
      <c r="Z100" s="188"/>
      <c r="AA100" s="188"/>
      <c r="AB100" s="188"/>
      <c r="AC100" s="188"/>
      <c r="AD100" s="188"/>
      <c r="AE100" s="188"/>
      <c r="AF100" s="188"/>
      <c r="AG100" s="188"/>
      <c r="AH100" s="188"/>
      <c r="AI100" s="188"/>
      <c r="AJ100" s="188"/>
      <c r="AK100" s="188"/>
      <c r="AL100" s="188"/>
      <c r="AM100" s="188"/>
      <c r="AN100" s="188"/>
      <c r="AO100" s="188"/>
      <c r="AP100" s="188"/>
      <c r="AQ100" s="188"/>
      <c r="AR100" s="188"/>
      <c r="AS100" s="188"/>
      <c r="AT100" s="188"/>
      <c r="AU100" s="188"/>
      <c r="AV100" s="188"/>
      <c r="AW100" s="188"/>
      <c r="AX100" s="188"/>
      <c r="AY100" s="188"/>
      <c r="AZ100" s="188"/>
      <c r="BA100" s="188"/>
      <c r="BB100" s="188"/>
      <c r="BC100" s="188"/>
      <c r="BD100" s="188"/>
      <c r="BE100" s="188"/>
      <c r="BF100" s="188"/>
      <c r="BG100" s="188"/>
      <c r="BH100" s="188"/>
      <c r="BI100" s="188"/>
      <c r="BJ100" s="188"/>
      <c r="BK100" s="188"/>
      <c r="BL100" s="188"/>
      <c r="BM100" s="188"/>
      <c r="BN100" s="188"/>
      <c r="BO100" s="188"/>
      <c r="BP100" s="188"/>
    </row>
    <row r="101" spans="1:70" ht="14.25" customHeight="1" x14ac:dyDescent="0.25">
      <c r="A101" s="31"/>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row>
    <row r="102" spans="1:70" ht="14.25" customHeight="1" x14ac:dyDescent="0.25">
      <c r="A102" s="31"/>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row>
    <row r="103" spans="1:70" ht="14.25" customHeight="1" x14ac:dyDescent="0.25">
      <c r="A103" s="143"/>
      <c r="B103" s="143"/>
      <c r="C103" s="143"/>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32"/>
      <c r="Z103" s="32"/>
      <c r="AA103" s="32"/>
      <c r="AB103" s="32"/>
      <c r="AC103" s="32"/>
      <c r="AD103" s="32"/>
      <c r="AE103" s="32"/>
      <c r="AF103" s="32"/>
      <c r="AG103" s="32"/>
      <c r="AH103" s="32"/>
      <c r="AI103" s="32"/>
      <c r="AJ103" s="142" t="s">
        <v>71</v>
      </c>
      <c r="AK103" s="142"/>
      <c r="AL103" s="142"/>
      <c r="AM103" s="142"/>
      <c r="AN103" s="142"/>
      <c r="AO103" s="142"/>
      <c r="AP103" s="142"/>
      <c r="AQ103" s="142"/>
      <c r="AR103" s="142"/>
      <c r="AS103" s="142"/>
      <c r="AT103" s="142"/>
      <c r="AU103" s="142"/>
      <c r="AV103" s="142"/>
      <c r="AW103" s="142"/>
      <c r="AX103" s="142"/>
      <c r="AY103" s="142"/>
      <c r="AZ103" s="142"/>
      <c r="BA103" s="142"/>
      <c r="BB103" s="142"/>
      <c r="BC103" s="142"/>
      <c r="BD103" s="142"/>
      <c r="BE103" s="142"/>
      <c r="BF103" s="142"/>
      <c r="BG103" s="142"/>
      <c r="BH103" s="142"/>
      <c r="BI103" s="142"/>
      <c r="BJ103" s="142"/>
      <c r="BK103" s="142"/>
      <c r="BL103" s="142"/>
      <c r="BM103" s="142"/>
      <c r="BN103" s="142"/>
      <c r="BO103" s="142"/>
      <c r="BP103" s="142"/>
      <c r="BQ103" s="142"/>
      <c r="BR103" s="142"/>
    </row>
    <row r="104" spans="1:70" ht="14.25" customHeight="1" x14ac:dyDescent="0.25">
      <c r="A104" s="33"/>
      <c r="B104" s="34"/>
      <c r="C104" s="34"/>
      <c r="D104" s="33"/>
      <c r="E104" s="33"/>
      <c r="F104" s="33"/>
      <c r="G104" s="33"/>
      <c r="H104" s="33"/>
      <c r="I104" s="33"/>
      <c r="J104" s="33"/>
      <c r="K104" s="33"/>
      <c r="L104" s="33"/>
      <c r="M104" s="33"/>
      <c r="N104" s="33"/>
      <c r="O104" s="33"/>
      <c r="P104" s="33"/>
      <c r="Q104" s="33"/>
      <c r="R104" s="33"/>
      <c r="S104" s="33"/>
      <c r="T104" s="35"/>
      <c r="U104" s="35"/>
      <c r="V104" s="35"/>
      <c r="W104" s="35"/>
      <c r="X104" s="35"/>
      <c r="Y104" s="36"/>
      <c r="Z104" s="36"/>
      <c r="AA104" s="36"/>
      <c r="AB104" s="36"/>
      <c r="AC104" s="36"/>
      <c r="AD104" s="36"/>
      <c r="AE104" s="36"/>
      <c r="AF104" s="36"/>
      <c r="AG104" s="36"/>
      <c r="AH104" s="36"/>
      <c r="AI104" s="36"/>
      <c r="AJ104" s="142"/>
      <c r="AK104" s="142"/>
      <c r="AL104" s="142"/>
      <c r="AM104" s="142"/>
      <c r="AN104" s="142"/>
      <c r="AO104" s="142"/>
      <c r="AP104" s="142"/>
      <c r="AQ104" s="142"/>
      <c r="AR104" s="142"/>
      <c r="AS104" s="142"/>
      <c r="AT104" s="142"/>
      <c r="AU104" s="142"/>
      <c r="AV104" s="142"/>
      <c r="AW104" s="142"/>
      <c r="AX104" s="142"/>
      <c r="AY104" s="142"/>
      <c r="AZ104" s="142"/>
      <c r="BA104" s="142"/>
      <c r="BB104" s="142"/>
      <c r="BC104" s="142"/>
      <c r="BD104" s="142"/>
      <c r="BE104" s="142"/>
      <c r="BF104" s="142"/>
      <c r="BG104" s="142"/>
      <c r="BH104" s="142"/>
      <c r="BI104" s="142"/>
      <c r="BJ104" s="142"/>
      <c r="BK104" s="142"/>
      <c r="BL104" s="142"/>
      <c r="BM104" s="142"/>
      <c r="BN104" s="142"/>
      <c r="BO104" s="142"/>
      <c r="BP104" s="142"/>
      <c r="BQ104" s="142"/>
      <c r="BR104" s="142"/>
    </row>
    <row r="105" spans="1:70" ht="14.25" customHeight="1" x14ac:dyDescent="0.25">
      <c r="A105" s="33"/>
      <c r="B105" s="34"/>
      <c r="C105" s="34"/>
      <c r="D105" s="33"/>
      <c r="E105" s="33"/>
      <c r="F105" s="33"/>
      <c r="G105" s="33"/>
      <c r="H105" s="33"/>
      <c r="I105" s="33"/>
      <c r="J105" s="33"/>
      <c r="K105" s="33"/>
      <c r="L105" s="33"/>
      <c r="M105" s="33"/>
      <c r="N105" s="33"/>
      <c r="O105" s="33"/>
      <c r="P105" s="33"/>
      <c r="Q105" s="33"/>
      <c r="R105" s="33"/>
      <c r="S105" s="33"/>
      <c r="T105" s="35"/>
      <c r="U105" s="35"/>
      <c r="V105" s="35"/>
      <c r="W105" s="35"/>
      <c r="X105" s="35"/>
      <c r="Y105" s="36"/>
      <c r="Z105" s="36"/>
      <c r="AA105" s="36"/>
      <c r="AB105" s="36"/>
      <c r="AC105" s="36"/>
      <c r="AD105" s="36"/>
      <c r="AE105" s="36"/>
      <c r="AF105" s="36"/>
      <c r="AG105" s="36"/>
      <c r="AH105" s="36"/>
      <c r="AI105" s="36"/>
      <c r="AJ105" s="142"/>
      <c r="AK105" s="142"/>
      <c r="AL105" s="142"/>
      <c r="AM105" s="142"/>
      <c r="AN105" s="142"/>
      <c r="AO105" s="142"/>
      <c r="AP105" s="142"/>
      <c r="AQ105" s="142"/>
      <c r="AR105" s="142"/>
      <c r="AS105" s="142"/>
      <c r="AT105" s="142"/>
      <c r="AU105" s="142"/>
      <c r="AV105" s="142"/>
      <c r="AW105" s="142"/>
      <c r="AX105" s="142"/>
      <c r="AY105" s="142"/>
      <c r="AZ105" s="142"/>
      <c r="BA105" s="142"/>
      <c r="BB105" s="142"/>
      <c r="BC105" s="142"/>
      <c r="BD105" s="142"/>
      <c r="BE105" s="142"/>
      <c r="BF105" s="142"/>
      <c r="BG105" s="142"/>
      <c r="BH105" s="142"/>
      <c r="BI105" s="142"/>
      <c r="BJ105" s="142"/>
      <c r="BK105" s="142"/>
      <c r="BL105" s="142"/>
      <c r="BM105" s="142"/>
      <c r="BN105" s="142"/>
      <c r="BO105" s="142"/>
      <c r="BP105" s="142"/>
      <c r="BQ105" s="142"/>
      <c r="BR105" s="142"/>
    </row>
    <row r="106" spans="1:70" ht="14.25" customHeight="1" x14ac:dyDescent="0.25">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6"/>
      <c r="AG106" s="36"/>
      <c r="AH106" s="36"/>
      <c r="AI106" s="36"/>
      <c r="AJ106" s="142"/>
      <c r="AK106" s="142"/>
      <c r="AL106" s="142"/>
      <c r="AM106" s="142"/>
      <c r="AN106" s="142"/>
      <c r="AO106" s="142"/>
      <c r="AP106" s="142"/>
      <c r="AQ106" s="142"/>
      <c r="AR106" s="142"/>
      <c r="AS106" s="142"/>
      <c r="AT106" s="142"/>
      <c r="AU106" s="142"/>
      <c r="AV106" s="142"/>
      <c r="AW106" s="142"/>
      <c r="AX106" s="142"/>
      <c r="AY106" s="142"/>
      <c r="AZ106" s="142"/>
      <c r="BA106" s="142"/>
      <c r="BB106" s="142"/>
      <c r="BC106" s="142"/>
      <c r="BD106" s="142"/>
      <c r="BE106" s="142"/>
      <c r="BF106" s="142"/>
      <c r="BG106" s="142"/>
      <c r="BH106" s="142"/>
      <c r="BI106" s="142"/>
      <c r="BJ106" s="142"/>
      <c r="BK106" s="142"/>
      <c r="BL106" s="142"/>
      <c r="BM106" s="142"/>
      <c r="BN106" s="142"/>
      <c r="BO106" s="142"/>
      <c r="BP106" s="142"/>
      <c r="BQ106" s="142"/>
      <c r="BR106" s="142"/>
    </row>
    <row r="107" spans="1:70" ht="14.25" customHeight="1" x14ac:dyDescent="0.25">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6"/>
      <c r="AG107" s="36"/>
      <c r="AH107" s="36"/>
      <c r="AI107" s="36"/>
      <c r="AJ107" s="142"/>
      <c r="AK107" s="142"/>
      <c r="AL107" s="142"/>
      <c r="AM107" s="142"/>
      <c r="AN107" s="142"/>
      <c r="AO107" s="142"/>
      <c r="AP107" s="142"/>
      <c r="AQ107" s="142"/>
      <c r="AR107" s="142"/>
      <c r="AS107" s="142"/>
      <c r="AT107" s="142"/>
      <c r="AU107" s="142"/>
      <c r="AV107" s="142"/>
      <c r="AW107" s="142"/>
      <c r="AX107" s="142"/>
      <c r="AY107" s="142"/>
      <c r="AZ107" s="142"/>
      <c r="BA107" s="142"/>
      <c r="BB107" s="142"/>
      <c r="BC107" s="142"/>
      <c r="BD107" s="142"/>
      <c r="BE107" s="142"/>
      <c r="BF107" s="142"/>
      <c r="BG107" s="142"/>
      <c r="BH107" s="142"/>
      <c r="BI107" s="142"/>
      <c r="BJ107" s="142"/>
      <c r="BK107" s="142"/>
      <c r="BL107" s="142"/>
      <c r="BM107" s="142"/>
      <c r="BN107" s="142"/>
      <c r="BO107" s="142"/>
      <c r="BP107" s="142"/>
      <c r="BQ107" s="142"/>
      <c r="BR107" s="142"/>
    </row>
    <row r="108" spans="1:70" ht="14.25" customHeight="1" x14ac:dyDescent="0.25">
      <c r="A108" s="38"/>
      <c r="B108" s="16"/>
      <c r="C108" s="16"/>
      <c r="D108" s="38"/>
      <c r="E108" s="38"/>
      <c r="F108" s="38"/>
      <c r="G108" s="38"/>
      <c r="H108" s="38"/>
      <c r="I108" s="38"/>
      <c r="J108" s="38"/>
      <c r="K108" s="38"/>
      <c r="L108" s="38"/>
      <c r="M108" s="38"/>
      <c r="N108" s="38"/>
      <c r="O108" s="38"/>
      <c r="P108" s="38"/>
      <c r="Q108" s="38"/>
      <c r="R108" s="38"/>
      <c r="S108" s="38"/>
      <c r="T108" s="39"/>
      <c r="U108" s="39"/>
      <c r="V108" s="39"/>
      <c r="W108" s="39"/>
      <c r="X108" s="39"/>
      <c r="Y108" s="38"/>
      <c r="Z108" s="38"/>
      <c r="AA108" s="38"/>
      <c r="AB108" s="38"/>
      <c r="AC108" s="38"/>
      <c r="AD108" s="38"/>
      <c r="AE108" s="38"/>
      <c r="AF108" s="36"/>
      <c r="AG108" s="36"/>
      <c r="AH108" s="36"/>
      <c r="AI108" s="36"/>
      <c r="AJ108" s="142"/>
      <c r="AK108" s="142"/>
      <c r="AL108" s="142"/>
      <c r="AM108" s="142"/>
      <c r="AN108" s="142"/>
      <c r="AO108" s="142"/>
      <c r="AP108" s="142"/>
      <c r="AQ108" s="142"/>
      <c r="AR108" s="142"/>
      <c r="AS108" s="142"/>
      <c r="AT108" s="142"/>
      <c r="AU108" s="142"/>
      <c r="AV108" s="142"/>
      <c r="AW108" s="142"/>
      <c r="AX108" s="142"/>
      <c r="AY108" s="142"/>
      <c r="AZ108" s="142"/>
      <c r="BA108" s="142"/>
      <c r="BB108" s="142"/>
      <c r="BC108" s="142"/>
      <c r="BD108" s="142"/>
      <c r="BE108" s="142"/>
      <c r="BF108" s="142"/>
      <c r="BG108" s="142"/>
      <c r="BH108" s="142"/>
      <c r="BI108" s="142"/>
      <c r="BJ108" s="142"/>
      <c r="BK108" s="142"/>
      <c r="BL108" s="142"/>
      <c r="BM108" s="142"/>
      <c r="BN108" s="142"/>
      <c r="BO108" s="142"/>
      <c r="BP108" s="142"/>
      <c r="BQ108" s="142"/>
      <c r="BR108" s="142"/>
    </row>
    <row r="109" spans="1:70" ht="14.25" customHeight="1" x14ac:dyDescent="0.25">
      <c r="A109" s="70"/>
      <c r="B109" s="16"/>
      <c r="C109" s="16"/>
      <c r="D109" s="70"/>
      <c r="E109" s="70"/>
      <c r="F109" s="70"/>
      <c r="G109" s="70"/>
      <c r="H109" s="70"/>
      <c r="I109" s="70"/>
      <c r="J109" s="70"/>
      <c r="K109" s="70"/>
      <c r="L109" s="70"/>
      <c r="M109" s="70"/>
      <c r="N109" s="70"/>
      <c r="O109" s="70"/>
      <c r="P109" s="70"/>
      <c r="Q109" s="70"/>
      <c r="R109" s="70"/>
      <c r="S109" s="70"/>
      <c r="T109" s="40"/>
      <c r="U109" s="40"/>
      <c r="V109" s="40"/>
      <c r="W109" s="40"/>
      <c r="X109" s="40"/>
      <c r="Y109" s="38"/>
      <c r="Z109" s="38"/>
      <c r="AA109" s="38"/>
      <c r="AB109" s="38"/>
      <c r="AC109" s="38"/>
      <c r="AD109" s="38"/>
      <c r="AE109" s="38"/>
      <c r="AF109" s="36"/>
      <c r="AG109" s="36"/>
      <c r="AH109" s="36"/>
      <c r="AI109" s="36"/>
      <c r="AJ109" s="142"/>
      <c r="AK109" s="142"/>
      <c r="AL109" s="142"/>
      <c r="AM109" s="142"/>
      <c r="AN109" s="142"/>
      <c r="AO109" s="142"/>
      <c r="AP109" s="142"/>
      <c r="AQ109" s="142"/>
      <c r="AR109" s="142"/>
      <c r="AS109" s="142"/>
      <c r="AT109" s="142"/>
      <c r="AU109" s="142"/>
      <c r="AV109" s="142"/>
      <c r="AW109" s="142"/>
      <c r="AX109" s="142"/>
      <c r="AY109" s="142"/>
      <c r="AZ109" s="142"/>
      <c r="BA109" s="142"/>
      <c r="BB109" s="142"/>
      <c r="BC109" s="142"/>
      <c r="BD109" s="142"/>
      <c r="BE109" s="142"/>
      <c r="BF109" s="142"/>
      <c r="BG109" s="142"/>
      <c r="BH109" s="142"/>
      <c r="BI109" s="142"/>
      <c r="BJ109" s="142"/>
      <c r="BK109" s="142"/>
      <c r="BL109" s="142"/>
      <c r="BM109" s="142"/>
      <c r="BN109" s="142"/>
      <c r="BO109" s="142"/>
      <c r="BP109" s="142"/>
      <c r="BQ109" s="142"/>
      <c r="BR109" s="142"/>
    </row>
    <row r="110" spans="1:70" ht="14.25" customHeight="1" x14ac:dyDescent="0.3">
      <c r="A110" s="70"/>
      <c r="B110" s="16"/>
      <c r="C110" s="16"/>
      <c r="D110" s="70"/>
      <c r="E110" s="70"/>
      <c r="F110" s="70"/>
      <c r="G110" s="70"/>
      <c r="H110" s="70"/>
      <c r="I110" s="70"/>
      <c r="J110" s="70"/>
      <c r="K110" s="70"/>
      <c r="L110" s="70"/>
      <c r="M110" s="70"/>
      <c r="N110" s="70"/>
      <c r="O110" s="70"/>
      <c r="P110" s="70"/>
      <c r="Q110" s="70"/>
      <c r="R110" s="70"/>
      <c r="S110" s="70"/>
      <c r="T110" s="40"/>
      <c r="U110" s="40"/>
      <c r="V110" s="40"/>
      <c r="W110" s="40"/>
      <c r="X110" s="40"/>
      <c r="Y110" s="38"/>
      <c r="Z110" s="38"/>
      <c r="AA110" s="38"/>
      <c r="AB110" s="38"/>
      <c r="AC110" s="38"/>
      <c r="AD110" s="38"/>
      <c r="AE110" s="38"/>
      <c r="AF110" s="36"/>
      <c r="AG110" s="36"/>
      <c r="AH110" s="36"/>
      <c r="AI110" s="36"/>
      <c r="AJ110" s="36"/>
      <c r="AK110" s="41"/>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c r="BI110" s="69"/>
      <c r="BJ110" s="69"/>
      <c r="BK110" s="69"/>
      <c r="BL110" s="69"/>
      <c r="BM110" s="69"/>
      <c r="BN110" s="69"/>
      <c r="BO110" s="69"/>
      <c r="BP110" s="69"/>
    </row>
    <row r="111" spans="1:70" ht="14.25" customHeight="1" x14ac:dyDescent="0.3">
      <c r="A111" s="70"/>
      <c r="B111" s="16"/>
      <c r="C111" s="16"/>
      <c r="D111" s="70"/>
      <c r="E111" s="70"/>
      <c r="F111" s="70"/>
      <c r="G111" s="70"/>
      <c r="H111" s="70"/>
      <c r="I111" s="70"/>
      <c r="J111" s="70"/>
      <c r="K111" s="70"/>
      <c r="L111" s="70"/>
      <c r="M111" s="70"/>
      <c r="N111" s="70"/>
      <c r="O111" s="70"/>
      <c r="P111" s="70"/>
      <c r="Q111" s="70"/>
      <c r="R111" s="70"/>
      <c r="S111" s="70"/>
      <c r="T111" s="40"/>
      <c r="U111" s="40"/>
      <c r="V111" s="40"/>
      <c r="W111" s="40"/>
      <c r="X111" s="40"/>
      <c r="Y111" s="38"/>
      <c r="Z111" s="38"/>
      <c r="AA111" s="38"/>
      <c r="AB111" s="38"/>
      <c r="AC111" s="38"/>
      <c r="AD111" s="38"/>
      <c r="AE111" s="38"/>
      <c r="AF111" s="36"/>
      <c r="AG111" s="36"/>
      <c r="AH111" s="36"/>
      <c r="AI111" s="36"/>
      <c r="AJ111" s="36"/>
      <c r="AK111" s="41"/>
      <c r="AL111" s="69"/>
      <c r="AM111" s="69"/>
      <c r="AN111" s="69"/>
      <c r="AO111" s="69"/>
      <c r="AP111" s="69"/>
      <c r="AQ111" s="69"/>
      <c r="AR111" s="69"/>
      <c r="AS111" s="69"/>
      <c r="AT111" s="69"/>
      <c r="AU111" s="69"/>
      <c r="AV111" s="69"/>
      <c r="AW111" s="69"/>
      <c r="AX111" s="69"/>
      <c r="AY111" s="69"/>
      <c r="AZ111" s="69"/>
      <c r="BA111" s="69"/>
      <c r="BB111" s="69"/>
      <c r="BC111" s="69"/>
      <c r="BD111" s="69"/>
      <c r="BE111" s="69"/>
      <c r="BF111" s="69"/>
      <c r="BG111" s="69"/>
      <c r="BH111" s="69"/>
      <c r="BI111" s="69"/>
      <c r="BJ111" s="69"/>
      <c r="BK111" s="69"/>
      <c r="BL111" s="69"/>
      <c r="BM111" s="69"/>
      <c r="BN111" s="69"/>
      <c r="BO111" s="69"/>
      <c r="BP111" s="69"/>
    </row>
    <row r="112" spans="1:70" ht="14.25" customHeight="1" x14ac:dyDescent="0.25">
      <c r="A112" s="141" t="s">
        <v>67</v>
      </c>
      <c r="B112" s="141"/>
      <c r="C112" s="141"/>
      <c r="D112" s="141"/>
      <c r="E112" s="141"/>
      <c r="F112" s="141"/>
      <c r="G112" s="141"/>
      <c r="H112" s="141"/>
      <c r="I112" s="141"/>
      <c r="J112" s="141"/>
      <c r="K112" s="141"/>
      <c r="L112" s="141"/>
      <c r="M112" s="141"/>
      <c r="N112" s="141"/>
      <c r="O112" s="141"/>
      <c r="P112" s="142" t="s">
        <v>21</v>
      </c>
      <c r="Q112" s="142"/>
      <c r="R112" s="142"/>
      <c r="S112" s="142"/>
      <c r="T112" s="142"/>
      <c r="U112" s="142"/>
      <c r="V112" s="142"/>
      <c r="W112" s="142"/>
      <c r="X112" s="142"/>
      <c r="Y112" s="141" t="s">
        <v>68</v>
      </c>
      <c r="Z112" s="141"/>
      <c r="AA112" s="141"/>
      <c r="AB112" s="141"/>
      <c r="AC112" s="141"/>
      <c r="AD112" s="141"/>
      <c r="AE112" s="141"/>
      <c r="AF112" s="42"/>
      <c r="AG112" s="42"/>
      <c r="AH112" s="43"/>
      <c r="AI112" s="43"/>
      <c r="AJ112" s="203" t="s">
        <v>238</v>
      </c>
      <c r="AK112" s="203"/>
      <c r="AL112" s="203"/>
      <c r="AM112" s="203"/>
      <c r="AN112" s="203"/>
      <c r="AO112" s="203"/>
      <c r="AP112" s="203"/>
      <c r="AQ112" s="203"/>
      <c r="AR112" s="203"/>
      <c r="AS112" s="203"/>
      <c r="AT112" s="203"/>
      <c r="AU112" s="203"/>
      <c r="AV112" s="203"/>
      <c r="AW112" s="203"/>
      <c r="AX112" s="203"/>
      <c r="AY112" s="142" t="s">
        <v>21</v>
      </c>
      <c r="AZ112" s="142"/>
      <c r="BA112" s="142"/>
      <c r="BB112" s="142"/>
      <c r="BC112" s="142"/>
      <c r="BD112" s="142"/>
      <c r="BE112" s="142"/>
      <c r="BF112" s="142"/>
      <c r="BG112" s="142"/>
      <c r="BH112" s="203" t="s">
        <v>244</v>
      </c>
      <c r="BI112" s="203"/>
      <c r="BJ112" s="203"/>
      <c r="BK112" s="203"/>
      <c r="BL112" s="203"/>
      <c r="BM112" s="203"/>
      <c r="BN112" s="203"/>
      <c r="BO112" s="203"/>
      <c r="BP112" s="203"/>
      <c r="BQ112" s="203"/>
      <c r="BR112" s="203"/>
    </row>
    <row r="113" spans="1:70" ht="14.25" customHeight="1" x14ac:dyDescent="0.25">
      <c r="A113" s="141"/>
      <c r="B113" s="141"/>
      <c r="C113" s="141"/>
      <c r="D113" s="141"/>
      <c r="E113" s="141"/>
      <c r="F113" s="141"/>
      <c r="G113" s="141"/>
      <c r="H113" s="141"/>
      <c r="I113" s="141"/>
      <c r="J113" s="141"/>
      <c r="K113" s="141"/>
      <c r="L113" s="141"/>
      <c r="M113" s="141"/>
      <c r="N113" s="141"/>
      <c r="O113" s="141"/>
      <c r="P113" s="142"/>
      <c r="Q113" s="142"/>
      <c r="R113" s="142"/>
      <c r="S113" s="142"/>
      <c r="T113" s="142"/>
      <c r="U113" s="142"/>
      <c r="V113" s="142"/>
      <c r="W113" s="142"/>
      <c r="X113" s="142"/>
      <c r="Y113" s="141"/>
      <c r="Z113" s="141"/>
      <c r="AA113" s="141"/>
      <c r="AB113" s="141"/>
      <c r="AC113" s="141"/>
      <c r="AD113" s="141"/>
      <c r="AE113" s="141"/>
      <c r="AF113" s="42"/>
      <c r="AG113" s="42"/>
      <c r="AH113" s="43"/>
      <c r="AI113" s="43"/>
      <c r="AJ113" s="203"/>
      <c r="AK113" s="203"/>
      <c r="AL113" s="203"/>
      <c r="AM113" s="203"/>
      <c r="AN113" s="203"/>
      <c r="AO113" s="203"/>
      <c r="AP113" s="203"/>
      <c r="AQ113" s="203"/>
      <c r="AR113" s="203"/>
      <c r="AS113" s="203"/>
      <c r="AT113" s="203"/>
      <c r="AU113" s="203"/>
      <c r="AV113" s="203"/>
      <c r="AW113" s="203"/>
      <c r="AX113" s="203"/>
      <c r="AY113" s="142"/>
      <c r="AZ113" s="142"/>
      <c r="BA113" s="142"/>
      <c r="BB113" s="142"/>
      <c r="BC113" s="142"/>
      <c r="BD113" s="142"/>
      <c r="BE113" s="142"/>
      <c r="BF113" s="142"/>
      <c r="BG113" s="142"/>
      <c r="BH113" s="203"/>
      <c r="BI113" s="203"/>
      <c r="BJ113" s="203"/>
      <c r="BK113" s="203"/>
      <c r="BL113" s="203"/>
      <c r="BM113" s="203"/>
      <c r="BN113" s="203"/>
      <c r="BO113" s="203"/>
      <c r="BP113" s="203"/>
      <c r="BQ113" s="203"/>
      <c r="BR113" s="203"/>
    </row>
    <row r="114" spans="1:70" ht="14.25" customHeight="1" x14ac:dyDescent="0.25">
      <c r="A114" s="141"/>
      <c r="B114" s="141"/>
      <c r="C114" s="141"/>
      <c r="D114" s="141"/>
      <c r="E114" s="141"/>
      <c r="F114" s="141"/>
      <c r="G114" s="141"/>
      <c r="H114" s="141"/>
      <c r="I114" s="141"/>
      <c r="J114" s="141"/>
      <c r="K114" s="141"/>
      <c r="L114" s="141"/>
      <c r="M114" s="141"/>
      <c r="N114" s="141"/>
      <c r="O114" s="141"/>
      <c r="P114" s="142"/>
      <c r="Q114" s="142"/>
      <c r="R114" s="142"/>
      <c r="S114" s="142"/>
      <c r="T114" s="142"/>
      <c r="U114" s="142"/>
      <c r="V114" s="142"/>
      <c r="W114" s="142"/>
      <c r="X114" s="142"/>
      <c r="Y114" s="141"/>
      <c r="Z114" s="141"/>
      <c r="AA114" s="141"/>
      <c r="AB114" s="141"/>
      <c r="AC114" s="141"/>
      <c r="AD114" s="141"/>
      <c r="AE114" s="141"/>
      <c r="AF114" s="42"/>
      <c r="AG114" s="42"/>
      <c r="AH114" s="43"/>
      <c r="AI114" s="43"/>
      <c r="AJ114" s="203"/>
      <c r="AK114" s="203"/>
      <c r="AL114" s="203"/>
      <c r="AM114" s="203"/>
      <c r="AN114" s="203"/>
      <c r="AO114" s="203"/>
      <c r="AP114" s="203"/>
      <c r="AQ114" s="203"/>
      <c r="AR114" s="203"/>
      <c r="AS114" s="203"/>
      <c r="AT114" s="203"/>
      <c r="AU114" s="203"/>
      <c r="AV114" s="203"/>
      <c r="AW114" s="203"/>
      <c r="AX114" s="203"/>
      <c r="AY114" s="142"/>
      <c r="AZ114" s="142"/>
      <c r="BA114" s="142"/>
      <c r="BB114" s="142"/>
      <c r="BC114" s="142"/>
      <c r="BD114" s="142"/>
      <c r="BE114" s="142"/>
      <c r="BF114" s="142"/>
      <c r="BG114" s="142"/>
      <c r="BH114" s="203"/>
      <c r="BI114" s="203"/>
      <c r="BJ114" s="203"/>
      <c r="BK114" s="203"/>
      <c r="BL114" s="203"/>
      <c r="BM114" s="203"/>
      <c r="BN114" s="203"/>
      <c r="BO114" s="203"/>
      <c r="BP114" s="203"/>
      <c r="BQ114" s="203"/>
      <c r="BR114" s="203"/>
    </row>
    <row r="115" spans="1:70" ht="14.25" customHeight="1" x14ac:dyDescent="0.25">
      <c r="A115" s="141"/>
      <c r="B115" s="141"/>
      <c r="C115" s="141"/>
      <c r="D115" s="141"/>
      <c r="E115" s="141"/>
      <c r="F115" s="141"/>
      <c r="G115" s="141"/>
      <c r="H115" s="141"/>
      <c r="I115" s="141"/>
      <c r="J115" s="141"/>
      <c r="K115" s="141"/>
      <c r="L115" s="141"/>
      <c r="M115" s="141"/>
      <c r="N115" s="141"/>
      <c r="O115" s="141"/>
      <c r="P115" s="142"/>
      <c r="Q115" s="142"/>
      <c r="R115" s="142"/>
      <c r="S115" s="142"/>
      <c r="T115" s="142"/>
      <c r="U115" s="142"/>
      <c r="V115" s="142"/>
      <c r="W115" s="142"/>
      <c r="X115" s="142"/>
      <c r="Y115" s="141"/>
      <c r="Z115" s="141"/>
      <c r="AA115" s="141"/>
      <c r="AB115" s="141"/>
      <c r="AC115" s="141"/>
      <c r="AD115" s="141"/>
      <c r="AE115" s="141"/>
      <c r="AF115" s="42"/>
      <c r="AG115" s="42"/>
      <c r="AH115" s="43"/>
      <c r="AI115" s="43"/>
      <c r="AJ115" s="203"/>
      <c r="AK115" s="203"/>
      <c r="AL115" s="203"/>
      <c r="AM115" s="203"/>
      <c r="AN115" s="203"/>
      <c r="AO115" s="203"/>
      <c r="AP115" s="203"/>
      <c r="AQ115" s="203"/>
      <c r="AR115" s="203"/>
      <c r="AS115" s="203"/>
      <c r="AT115" s="203"/>
      <c r="AU115" s="203"/>
      <c r="AV115" s="203"/>
      <c r="AW115" s="203"/>
      <c r="AX115" s="203"/>
      <c r="AY115" s="142"/>
      <c r="AZ115" s="142"/>
      <c r="BA115" s="142"/>
      <c r="BB115" s="142"/>
      <c r="BC115" s="142"/>
      <c r="BD115" s="142"/>
      <c r="BE115" s="142"/>
      <c r="BF115" s="142"/>
      <c r="BG115" s="142"/>
      <c r="BH115" s="203"/>
      <c r="BI115" s="203"/>
      <c r="BJ115" s="203"/>
      <c r="BK115" s="203"/>
      <c r="BL115" s="203"/>
      <c r="BM115" s="203"/>
      <c r="BN115" s="203"/>
      <c r="BO115" s="203"/>
      <c r="BP115" s="203"/>
      <c r="BQ115" s="203"/>
      <c r="BR115" s="203"/>
    </row>
    <row r="116" spans="1:70" ht="14.25" customHeight="1" x14ac:dyDescent="0.25">
      <c r="A116" s="68"/>
      <c r="B116" s="68"/>
      <c r="C116" s="68"/>
      <c r="D116" s="68"/>
      <c r="E116" s="68"/>
      <c r="F116" s="68"/>
      <c r="G116" s="68"/>
      <c r="H116" s="68"/>
      <c r="I116" s="68"/>
      <c r="J116" s="68"/>
      <c r="K116" s="68"/>
      <c r="L116" s="68"/>
      <c r="M116" s="68"/>
      <c r="N116" s="68"/>
      <c r="O116" s="68"/>
      <c r="P116" s="69"/>
      <c r="Q116" s="69"/>
      <c r="R116" s="69"/>
      <c r="S116" s="69"/>
      <c r="T116" s="69"/>
      <c r="U116" s="69"/>
      <c r="V116" s="69"/>
      <c r="W116" s="69"/>
      <c r="X116" s="69"/>
      <c r="Y116" s="68"/>
      <c r="Z116" s="68"/>
      <c r="AA116" s="68"/>
      <c r="AB116" s="68"/>
      <c r="AC116" s="68"/>
      <c r="AD116" s="68"/>
      <c r="AE116" s="68"/>
      <c r="AF116" s="42"/>
      <c r="AG116" s="42"/>
      <c r="AH116" s="43"/>
      <c r="AI116" s="43"/>
      <c r="AJ116" s="68"/>
      <c r="AK116" s="68"/>
      <c r="AL116" s="68"/>
      <c r="AM116" s="68"/>
      <c r="AN116" s="68"/>
      <c r="AO116" s="68"/>
      <c r="AP116" s="68"/>
      <c r="AQ116" s="68"/>
      <c r="AR116" s="68"/>
      <c r="AS116" s="68"/>
      <c r="AT116" s="68"/>
      <c r="AU116" s="68"/>
      <c r="AV116" s="68"/>
      <c r="AW116" s="68"/>
      <c r="AX116" s="68"/>
      <c r="AY116" s="69"/>
      <c r="AZ116" s="69"/>
      <c r="BA116" s="69"/>
      <c r="BB116" s="69"/>
      <c r="BC116" s="69"/>
      <c r="BD116" s="69"/>
      <c r="BE116" s="69"/>
      <c r="BF116" s="69"/>
      <c r="BG116" s="69"/>
      <c r="BH116" s="81"/>
      <c r="BI116" s="81"/>
      <c r="BJ116" s="81"/>
      <c r="BK116" s="81"/>
      <c r="BL116" s="81"/>
      <c r="BM116" s="81"/>
      <c r="BN116" s="81"/>
      <c r="BO116" s="81"/>
      <c r="BP116" s="81"/>
      <c r="BQ116" s="81"/>
      <c r="BR116" s="81"/>
    </row>
    <row r="117" spans="1:70" ht="14.25" customHeight="1" x14ac:dyDescent="0.3">
      <c r="A117" s="68"/>
      <c r="B117" s="68"/>
      <c r="C117" s="68"/>
      <c r="D117" s="68"/>
      <c r="E117" s="68"/>
      <c r="F117" s="68"/>
      <c r="G117" s="68"/>
      <c r="H117" s="68"/>
      <c r="I117" s="68"/>
      <c r="J117" s="68"/>
      <c r="K117" s="68"/>
      <c r="L117" s="68"/>
      <c r="M117" s="68"/>
      <c r="N117" s="68"/>
      <c r="O117" s="68"/>
      <c r="P117" s="68"/>
      <c r="Q117" s="42"/>
      <c r="R117" s="42"/>
      <c r="S117" s="42"/>
      <c r="T117" s="68"/>
      <c r="U117" s="68"/>
      <c r="V117" s="44"/>
      <c r="W117" s="44"/>
      <c r="X117" s="44"/>
      <c r="Y117" s="81"/>
      <c r="Z117" s="81"/>
      <c r="AA117" s="81"/>
      <c r="AB117" s="81"/>
      <c r="AC117" s="81"/>
      <c r="AD117" s="81"/>
      <c r="AE117" s="81"/>
      <c r="AF117" s="81"/>
      <c r="AG117" s="81"/>
      <c r="AH117" s="81"/>
      <c r="AI117" s="43"/>
      <c r="AJ117" s="68"/>
      <c r="AK117" s="68"/>
      <c r="AL117" s="68"/>
      <c r="AM117" s="68"/>
      <c r="AN117" s="68"/>
      <c r="AO117" s="68"/>
      <c r="AP117" s="68"/>
      <c r="AQ117" s="68"/>
      <c r="AR117" s="68"/>
      <c r="AS117" s="68"/>
      <c r="AT117" s="68"/>
      <c r="AU117" s="68"/>
      <c r="AV117" s="68"/>
      <c r="AW117" s="68"/>
      <c r="AX117" s="68"/>
      <c r="AY117" s="68"/>
      <c r="AZ117" s="42"/>
      <c r="BA117" s="42"/>
      <c r="BB117" s="42"/>
      <c r="BC117" s="68"/>
      <c r="BD117" s="68"/>
      <c r="BE117" s="44"/>
      <c r="BF117" s="44"/>
      <c r="BG117" s="44"/>
      <c r="BH117" s="81"/>
      <c r="BI117" s="81"/>
      <c r="BJ117" s="81"/>
      <c r="BK117" s="81"/>
      <c r="BL117" s="81"/>
      <c r="BM117" s="81"/>
      <c r="BN117" s="81"/>
      <c r="BO117" s="45"/>
      <c r="BP117" s="45"/>
    </row>
    <row r="118" spans="1:70" ht="14.25" customHeight="1" x14ac:dyDescent="0.25">
      <c r="A118" s="141" t="s">
        <v>254</v>
      </c>
      <c r="B118" s="141"/>
      <c r="C118" s="141"/>
      <c r="D118" s="141"/>
      <c r="E118" s="141"/>
      <c r="F118" s="141"/>
      <c r="G118" s="141"/>
      <c r="H118" s="141"/>
      <c r="I118" s="141"/>
      <c r="J118" s="141"/>
      <c r="K118" s="141"/>
      <c r="L118" s="141"/>
      <c r="M118" s="141"/>
      <c r="N118" s="141"/>
      <c r="O118" s="141"/>
      <c r="P118" s="142" t="s">
        <v>21</v>
      </c>
      <c r="Q118" s="142"/>
      <c r="R118" s="142"/>
      <c r="S118" s="142"/>
      <c r="T118" s="142"/>
      <c r="U118" s="142"/>
      <c r="V118" s="142"/>
      <c r="W118" s="142"/>
      <c r="X118" s="142"/>
      <c r="Y118" s="141" t="s">
        <v>69</v>
      </c>
      <c r="Z118" s="141"/>
      <c r="AA118" s="141"/>
      <c r="AB118" s="141"/>
      <c r="AC118" s="141"/>
      <c r="AD118" s="141"/>
      <c r="AE118" s="141"/>
      <c r="AF118" s="42"/>
      <c r="AG118" s="42"/>
      <c r="AH118" s="43"/>
      <c r="AI118" s="43"/>
      <c r="AJ118" s="141" t="s">
        <v>70</v>
      </c>
      <c r="AK118" s="141"/>
      <c r="AL118" s="141"/>
      <c r="AM118" s="141"/>
      <c r="AN118" s="141"/>
      <c r="AO118" s="141"/>
      <c r="AP118" s="141"/>
      <c r="AQ118" s="141"/>
      <c r="AR118" s="141"/>
      <c r="AS118" s="141"/>
      <c r="AT118" s="141"/>
      <c r="AU118" s="141"/>
      <c r="AV118" s="141"/>
      <c r="AW118" s="141"/>
      <c r="AX118" s="141"/>
      <c r="AY118" s="142" t="s">
        <v>21</v>
      </c>
      <c r="AZ118" s="142"/>
      <c r="BA118" s="142"/>
      <c r="BB118" s="142"/>
      <c r="BC118" s="142"/>
      <c r="BD118" s="142"/>
      <c r="BE118" s="142"/>
      <c r="BF118" s="142"/>
      <c r="BG118" s="142"/>
      <c r="BH118" s="203" t="s">
        <v>262</v>
      </c>
      <c r="BI118" s="203"/>
      <c r="BJ118" s="203"/>
      <c r="BK118" s="203"/>
      <c r="BL118" s="203"/>
      <c r="BM118" s="203"/>
      <c r="BN118" s="203"/>
      <c r="BO118" s="203"/>
      <c r="BP118" s="203"/>
      <c r="BQ118" s="203"/>
      <c r="BR118" s="203"/>
    </row>
    <row r="119" spans="1:70" ht="14.25" customHeight="1" x14ac:dyDescent="0.25">
      <c r="A119" s="141"/>
      <c r="B119" s="141"/>
      <c r="C119" s="141"/>
      <c r="D119" s="141"/>
      <c r="E119" s="141"/>
      <c r="F119" s="141"/>
      <c r="G119" s="141"/>
      <c r="H119" s="141"/>
      <c r="I119" s="141"/>
      <c r="J119" s="141"/>
      <c r="K119" s="141"/>
      <c r="L119" s="141"/>
      <c r="M119" s="141"/>
      <c r="N119" s="141"/>
      <c r="O119" s="141"/>
      <c r="P119" s="142"/>
      <c r="Q119" s="142"/>
      <c r="R119" s="142"/>
      <c r="S119" s="142"/>
      <c r="T119" s="142"/>
      <c r="U119" s="142"/>
      <c r="V119" s="142"/>
      <c r="W119" s="142"/>
      <c r="X119" s="142"/>
      <c r="Y119" s="141"/>
      <c r="Z119" s="141"/>
      <c r="AA119" s="141"/>
      <c r="AB119" s="141"/>
      <c r="AC119" s="141"/>
      <c r="AD119" s="141"/>
      <c r="AE119" s="141"/>
      <c r="AF119" s="42"/>
      <c r="AG119" s="42"/>
      <c r="AH119" s="43"/>
      <c r="AI119" s="43"/>
      <c r="AJ119" s="141"/>
      <c r="AK119" s="141"/>
      <c r="AL119" s="141"/>
      <c r="AM119" s="141"/>
      <c r="AN119" s="141"/>
      <c r="AO119" s="141"/>
      <c r="AP119" s="141"/>
      <c r="AQ119" s="141"/>
      <c r="AR119" s="141"/>
      <c r="AS119" s="141"/>
      <c r="AT119" s="141"/>
      <c r="AU119" s="141"/>
      <c r="AV119" s="141"/>
      <c r="AW119" s="141"/>
      <c r="AX119" s="141"/>
      <c r="AY119" s="142"/>
      <c r="AZ119" s="142"/>
      <c r="BA119" s="142"/>
      <c r="BB119" s="142"/>
      <c r="BC119" s="142"/>
      <c r="BD119" s="142"/>
      <c r="BE119" s="142"/>
      <c r="BF119" s="142"/>
      <c r="BG119" s="142"/>
      <c r="BH119" s="203"/>
      <c r="BI119" s="203"/>
      <c r="BJ119" s="203"/>
      <c r="BK119" s="203"/>
      <c r="BL119" s="203"/>
      <c r="BM119" s="203"/>
      <c r="BN119" s="203"/>
      <c r="BO119" s="203"/>
      <c r="BP119" s="203"/>
      <c r="BQ119" s="203"/>
      <c r="BR119" s="203"/>
    </row>
    <row r="120" spans="1:70" ht="14.25" customHeight="1" x14ac:dyDescent="0.25">
      <c r="A120" s="141"/>
      <c r="B120" s="141"/>
      <c r="C120" s="141"/>
      <c r="D120" s="141"/>
      <c r="E120" s="141"/>
      <c r="F120" s="141"/>
      <c r="G120" s="141"/>
      <c r="H120" s="141"/>
      <c r="I120" s="141"/>
      <c r="J120" s="141"/>
      <c r="K120" s="141"/>
      <c r="L120" s="141"/>
      <c r="M120" s="141"/>
      <c r="N120" s="141"/>
      <c r="O120" s="141"/>
      <c r="P120" s="142"/>
      <c r="Q120" s="142"/>
      <c r="R120" s="142"/>
      <c r="S120" s="142"/>
      <c r="T120" s="142"/>
      <c r="U120" s="142"/>
      <c r="V120" s="142"/>
      <c r="W120" s="142"/>
      <c r="X120" s="142"/>
      <c r="Y120" s="141"/>
      <c r="Z120" s="141"/>
      <c r="AA120" s="141"/>
      <c r="AB120" s="141"/>
      <c r="AC120" s="141"/>
      <c r="AD120" s="141"/>
      <c r="AE120" s="141"/>
      <c r="AF120" s="42"/>
      <c r="AG120" s="42"/>
      <c r="AH120" s="43"/>
      <c r="AI120" s="43"/>
      <c r="AJ120" s="141"/>
      <c r="AK120" s="141"/>
      <c r="AL120" s="141"/>
      <c r="AM120" s="141"/>
      <c r="AN120" s="141"/>
      <c r="AO120" s="141"/>
      <c r="AP120" s="141"/>
      <c r="AQ120" s="141"/>
      <c r="AR120" s="141"/>
      <c r="AS120" s="141"/>
      <c r="AT120" s="141"/>
      <c r="AU120" s="141"/>
      <c r="AV120" s="141"/>
      <c r="AW120" s="141"/>
      <c r="AX120" s="141"/>
      <c r="AY120" s="142"/>
      <c r="AZ120" s="142"/>
      <c r="BA120" s="142"/>
      <c r="BB120" s="142"/>
      <c r="BC120" s="142"/>
      <c r="BD120" s="142"/>
      <c r="BE120" s="142"/>
      <c r="BF120" s="142"/>
      <c r="BG120" s="142"/>
      <c r="BH120" s="203"/>
      <c r="BI120" s="203"/>
      <c r="BJ120" s="203"/>
      <c r="BK120" s="203"/>
      <c r="BL120" s="203"/>
      <c r="BM120" s="203"/>
      <c r="BN120" s="203"/>
      <c r="BO120" s="203"/>
      <c r="BP120" s="203"/>
      <c r="BQ120" s="203"/>
      <c r="BR120" s="203"/>
    </row>
    <row r="121" spans="1:70" ht="14.25" customHeight="1" x14ac:dyDescent="0.25">
      <c r="A121" s="141"/>
      <c r="B121" s="141"/>
      <c r="C121" s="141"/>
      <c r="D121" s="141"/>
      <c r="E121" s="141"/>
      <c r="F121" s="141"/>
      <c r="G121" s="141"/>
      <c r="H121" s="141"/>
      <c r="I121" s="141"/>
      <c r="J121" s="141"/>
      <c r="K121" s="141"/>
      <c r="L121" s="141"/>
      <c r="M121" s="141"/>
      <c r="N121" s="141"/>
      <c r="O121" s="141"/>
      <c r="P121" s="142"/>
      <c r="Q121" s="142"/>
      <c r="R121" s="142"/>
      <c r="S121" s="142"/>
      <c r="T121" s="142"/>
      <c r="U121" s="142"/>
      <c r="V121" s="142"/>
      <c r="W121" s="142"/>
      <c r="X121" s="142"/>
      <c r="Y121" s="141"/>
      <c r="Z121" s="141"/>
      <c r="AA121" s="141"/>
      <c r="AB121" s="141"/>
      <c r="AC121" s="141"/>
      <c r="AD121" s="141"/>
      <c r="AE121" s="141"/>
      <c r="AF121" s="42"/>
      <c r="AG121" s="42"/>
      <c r="AH121" s="43"/>
      <c r="AI121" s="81"/>
      <c r="AJ121" s="141"/>
      <c r="AK121" s="141"/>
      <c r="AL121" s="141"/>
      <c r="AM121" s="141"/>
      <c r="AN121" s="141"/>
      <c r="AO121" s="141"/>
      <c r="AP121" s="141"/>
      <c r="AQ121" s="141"/>
      <c r="AR121" s="141"/>
      <c r="AS121" s="141"/>
      <c r="AT121" s="141"/>
      <c r="AU121" s="141"/>
      <c r="AV121" s="141"/>
      <c r="AW121" s="141"/>
      <c r="AX121" s="141"/>
      <c r="AY121" s="142"/>
      <c r="AZ121" s="142"/>
      <c r="BA121" s="142"/>
      <c r="BB121" s="142"/>
      <c r="BC121" s="142"/>
      <c r="BD121" s="142"/>
      <c r="BE121" s="142"/>
      <c r="BF121" s="142"/>
      <c r="BG121" s="142"/>
      <c r="BH121" s="203"/>
      <c r="BI121" s="203"/>
      <c r="BJ121" s="203"/>
      <c r="BK121" s="203"/>
      <c r="BL121" s="203"/>
      <c r="BM121" s="203"/>
      <c r="BN121" s="203"/>
      <c r="BO121" s="203"/>
      <c r="BP121" s="203"/>
      <c r="BQ121" s="203"/>
      <c r="BR121" s="203"/>
    </row>
    <row r="122" spans="1:70" ht="14.25" customHeight="1" x14ac:dyDescent="0.25">
      <c r="A122" s="68"/>
      <c r="B122" s="68"/>
      <c r="C122" s="68"/>
      <c r="D122" s="68"/>
      <c r="E122" s="68"/>
      <c r="F122" s="68"/>
      <c r="G122" s="68"/>
      <c r="H122" s="68"/>
      <c r="I122" s="68"/>
      <c r="J122" s="68"/>
      <c r="K122" s="68"/>
      <c r="L122" s="68"/>
      <c r="M122" s="68"/>
      <c r="N122" s="68"/>
      <c r="O122" s="68"/>
      <c r="P122" s="43"/>
      <c r="Q122" s="43"/>
      <c r="R122" s="43"/>
      <c r="S122" s="43"/>
      <c r="T122" s="43"/>
      <c r="U122" s="43"/>
      <c r="V122" s="43"/>
      <c r="W122" s="43"/>
      <c r="X122" s="43"/>
      <c r="Y122" s="81"/>
      <c r="Z122" s="81"/>
      <c r="AA122" s="81"/>
      <c r="AB122" s="81"/>
      <c r="AC122" s="81"/>
      <c r="AD122" s="81"/>
      <c r="AE122" s="81"/>
      <c r="AF122" s="81"/>
      <c r="AG122" s="81"/>
      <c r="AH122" s="43"/>
      <c r="AI122" s="81"/>
      <c r="AJ122" s="68"/>
      <c r="AK122" s="68"/>
      <c r="AL122" s="68"/>
      <c r="AM122" s="68"/>
      <c r="AN122" s="68"/>
      <c r="AO122" s="68"/>
      <c r="AP122" s="68"/>
      <c r="AQ122" s="68"/>
      <c r="AR122" s="68"/>
      <c r="AS122" s="68"/>
      <c r="AT122" s="68"/>
      <c r="AU122" s="68"/>
      <c r="AV122" s="68"/>
      <c r="AW122" s="68"/>
      <c r="AX122" s="68"/>
      <c r="AY122" s="43"/>
      <c r="AZ122" s="43"/>
      <c r="BA122" s="43"/>
      <c r="BB122" s="43"/>
      <c r="BC122" s="43"/>
      <c r="BD122" s="43"/>
      <c r="BE122" s="43"/>
      <c r="BF122" s="43"/>
      <c r="BG122" s="43"/>
      <c r="BH122" s="81"/>
      <c r="BI122" s="81"/>
      <c r="BJ122" s="81"/>
      <c r="BK122" s="81"/>
      <c r="BL122" s="81"/>
      <c r="BM122" s="81"/>
      <c r="BN122" s="81"/>
      <c r="BO122" s="61"/>
      <c r="BP122" s="61"/>
    </row>
    <row r="123" spans="1:70" ht="14.25" customHeight="1" x14ac:dyDescent="0.25">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3"/>
      <c r="Z123" s="43"/>
      <c r="AA123" s="43"/>
      <c r="AB123" s="43"/>
      <c r="AC123" s="43"/>
      <c r="AD123" s="43"/>
      <c r="AE123" s="43"/>
      <c r="AF123" s="42"/>
      <c r="AG123" s="42"/>
      <c r="AH123" s="43"/>
      <c r="AI123" s="43"/>
      <c r="AJ123" s="42"/>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2"/>
      <c r="BH123" s="42"/>
      <c r="BI123" s="42"/>
      <c r="BJ123" s="42"/>
      <c r="BK123" s="42"/>
      <c r="BL123" s="42"/>
      <c r="BM123" s="42"/>
      <c r="BN123" s="42"/>
      <c r="BO123" s="61"/>
      <c r="BP123" s="61"/>
    </row>
    <row r="124" spans="1:70" ht="14.25" customHeight="1" x14ac:dyDescent="0.25">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3"/>
      <c r="Z124" s="43"/>
      <c r="AA124" s="43"/>
      <c r="AB124" s="43"/>
      <c r="AC124" s="43"/>
      <c r="AD124" s="43"/>
      <c r="AE124" s="43"/>
      <c r="AF124" s="42"/>
      <c r="AG124" s="42"/>
      <c r="AH124" s="43"/>
      <c r="AI124" s="43"/>
      <c r="AJ124" s="42"/>
      <c r="AK124" s="42"/>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42"/>
      <c r="BH124" s="42"/>
      <c r="BI124" s="42"/>
      <c r="BJ124" s="42"/>
      <c r="BK124" s="42"/>
      <c r="BL124" s="42"/>
      <c r="BM124" s="42"/>
      <c r="BN124" s="42"/>
      <c r="BO124" s="61"/>
      <c r="BP124" s="61"/>
    </row>
    <row r="125" spans="1:70" ht="14.25" customHeight="1" x14ac:dyDescent="0.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3"/>
      <c r="Z125" s="43"/>
      <c r="AA125" s="43"/>
      <c r="AB125" s="43"/>
      <c r="AC125" s="43"/>
      <c r="AD125" s="43"/>
      <c r="AE125" s="43"/>
      <c r="AF125" s="42"/>
      <c r="AG125" s="42"/>
      <c r="AH125" s="43"/>
      <c r="AI125" s="43"/>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c r="BO125" s="61"/>
      <c r="BP125" s="61"/>
    </row>
    <row r="126" spans="1:70" ht="14.25" customHeight="1" x14ac:dyDescent="0.25">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3"/>
      <c r="Z126" s="43"/>
      <c r="AA126" s="43"/>
      <c r="AB126" s="43"/>
      <c r="AC126" s="43"/>
      <c r="AD126" s="43"/>
      <c r="AE126" s="43"/>
      <c r="AF126" s="42"/>
      <c r="AG126" s="42"/>
      <c r="AH126" s="43"/>
      <c r="AI126" s="37"/>
      <c r="AJ126" s="42"/>
      <c r="AK126" s="42"/>
      <c r="AL126" s="42"/>
      <c r="AM126" s="42"/>
      <c r="AN126" s="42"/>
      <c r="AO126" s="42"/>
      <c r="AP126" s="42"/>
      <c r="AQ126" s="42"/>
      <c r="AR126" s="42"/>
      <c r="AS126" s="42"/>
      <c r="AT126" s="42"/>
      <c r="AU126" s="42"/>
      <c r="AV126" s="42"/>
      <c r="AW126" s="42"/>
      <c r="AX126" s="42"/>
      <c r="AY126" s="42"/>
      <c r="AZ126" s="42"/>
      <c r="BA126" s="42"/>
      <c r="BB126" s="42"/>
      <c r="BC126" s="42"/>
      <c r="BD126" s="42"/>
      <c r="BE126" s="42"/>
      <c r="BF126" s="42"/>
      <c r="BG126" s="42"/>
      <c r="BH126" s="42"/>
      <c r="BI126" s="42"/>
      <c r="BJ126" s="42"/>
      <c r="BK126" s="42"/>
      <c r="BL126" s="42"/>
      <c r="BM126" s="42"/>
      <c r="BN126" s="42"/>
    </row>
    <row r="127" spans="1:70" ht="14.25" customHeight="1" x14ac:dyDescent="0.3">
      <c r="A127" s="68"/>
      <c r="B127" s="46"/>
      <c r="C127" s="46"/>
      <c r="D127" s="68"/>
      <c r="E127" s="68"/>
      <c r="F127" s="68"/>
      <c r="G127" s="68"/>
      <c r="H127" s="68"/>
      <c r="I127" s="68"/>
      <c r="J127" s="68"/>
      <c r="K127" s="68"/>
      <c r="L127" s="68"/>
      <c r="M127" s="68"/>
      <c r="N127" s="68"/>
      <c r="O127" s="68"/>
      <c r="P127" s="42"/>
      <c r="Q127" s="42"/>
      <c r="R127" s="42"/>
      <c r="S127" s="42"/>
      <c r="T127" s="42"/>
      <c r="U127" s="42"/>
      <c r="V127" s="42"/>
      <c r="W127" s="42"/>
      <c r="X127" s="42"/>
      <c r="Y127" s="43"/>
      <c r="Z127" s="43"/>
      <c r="AA127" s="43"/>
      <c r="AB127" s="43"/>
      <c r="AC127" s="43"/>
      <c r="AD127" s="43"/>
      <c r="AE127" s="43"/>
      <c r="AF127" s="47"/>
      <c r="AG127" s="47"/>
      <c r="AH127" s="48"/>
      <c r="AI127" s="47"/>
      <c r="AJ127" s="68"/>
      <c r="AK127" s="68"/>
      <c r="AL127" s="68"/>
      <c r="AM127" s="68"/>
      <c r="AN127" s="68"/>
      <c r="AO127" s="68"/>
      <c r="AP127" s="68"/>
      <c r="AQ127" s="68"/>
      <c r="AR127" s="68"/>
      <c r="AS127" s="68"/>
      <c r="AT127" s="68"/>
      <c r="AU127" s="68"/>
      <c r="AV127" s="68"/>
      <c r="AW127" s="68"/>
      <c r="AX127" s="68"/>
      <c r="AY127" s="187"/>
      <c r="AZ127" s="187"/>
      <c r="BA127" s="187"/>
      <c r="BB127" s="187"/>
      <c r="BC127" s="187"/>
      <c r="BD127" s="187"/>
      <c r="BE127" s="187"/>
      <c r="BF127" s="187"/>
      <c r="BG127" s="187"/>
      <c r="BH127" s="187"/>
      <c r="BI127" s="187"/>
      <c r="BJ127" s="187"/>
      <c r="BK127" s="187"/>
      <c r="BL127" s="187"/>
      <c r="BM127" s="187"/>
      <c r="BN127" s="187"/>
      <c r="BO127" s="187"/>
      <c r="BP127" s="187"/>
    </row>
    <row r="128" spans="1:70" ht="14.25" customHeight="1" x14ac:dyDescent="0.3">
      <c r="A128" s="68"/>
      <c r="B128" s="46"/>
      <c r="C128" s="46"/>
      <c r="D128" s="68"/>
      <c r="E128" s="68"/>
      <c r="F128" s="68"/>
      <c r="G128" s="68"/>
      <c r="H128" s="68"/>
      <c r="I128" s="68"/>
      <c r="J128" s="68"/>
      <c r="K128" s="68"/>
      <c r="L128" s="68"/>
      <c r="M128" s="68"/>
      <c r="N128" s="68"/>
      <c r="O128" s="68"/>
      <c r="P128" s="42"/>
      <c r="Q128" s="42"/>
      <c r="R128" s="42"/>
      <c r="S128" s="42"/>
      <c r="T128" s="42"/>
      <c r="U128" s="42"/>
      <c r="V128" s="42"/>
      <c r="W128" s="42"/>
      <c r="X128" s="42"/>
      <c r="Y128" s="43"/>
      <c r="Z128" s="43"/>
      <c r="AA128" s="43"/>
      <c r="AB128" s="43"/>
      <c r="AC128" s="43"/>
      <c r="AD128" s="43"/>
      <c r="AE128" s="43"/>
      <c r="AF128" s="47"/>
      <c r="AG128" s="47"/>
      <c r="AH128" s="48"/>
      <c r="AI128" s="47"/>
      <c r="AJ128" s="68"/>
      <c r="AK128" s="68"/>
      <c r="AL128" s="68"/>
      <c r="AM128" s="68"/>
      <c r="AN128" s="68"/>
      <c r="AO128" s="68"/>
      <c r="AP128" s="68"/>
      <c r="AQ128" s="68"/>
      <c r="AR128" s="68"/>
      <c r="AS128" s="68"/>
      <c r="AT128" s="68"/>
      <c r="AU128" s="68"/>
      <c r="AV128" s="68"/>
      <c r="AW128" s="68"/>
      <c r="AX128" s="68"/>
      <c r="AY128" s="78"/>
      <c r="AZ128" s="78"/>
      <c r="BA128" s="78"/>
      <c r="BB128" s="78"/>
      <c r="BC128" s="78"/>
      <c r="BD128" s="78"/>
      <c r="BE128" s="78"/>
      <c r="BF128" s="78"/>
      <c r="BG128" s="78"/>
      <c r="BH128" s="78"/>
      <c r="BI128" s="78"/>
      <c r="BJ128" s="78"/>
      <c r="BK128" s="78"/>
      <c r="BL128" s="78"/>
      <c r="BM128" s="78"/>
      <c r="BN128" s="78"/>
      <c r="BO128" s="78"/>
      <c r="BP128" s="78"/>
    </row>
    <row r="129" spans="1:68" ht="14.25" customHeight="1" x14ac:dyDescent="0.3">
      <c r="A129" s="68"/>
      <c r="B129" s="46"/>
      <c r="C129" s="46"/>
      <c r="D129" s="68"/>
      <c r="E129" s="68"/>
      <c r="F129" s="68"/>
      <c r="G129" s="68"/>
      <c r="H129" s="68"/>
      <c r="I129" s="68"/>
      <c r="J129" s="68"/>
      <c r="K129" s="68"/>
      <c r="L129" s="68"/>
      <c r="M129" s="68"/>
      <c r="N129" s="68"/>
      <c r="O129" s="68"/>
      <c r="P129" s="42"/>
      <c r="Q129" s="42"/>
      <c r="R129" s="42"/>
      <c r="S129" s="42"/>
      <c r="T129" s="42"/>
      <c r="U129" s="42"/>
      <c r="V129" s="42"/>
      <c r="W129" s="42"/>
      <c r="X129" s="42"/>
      <c r="Y129" s="43"/>
      <c r="Z129" s="43"/>
      <c r="AA129" s="43"/>
      <c r="AB129" s="43"/>
      <c r="AC129" s="43"/>
      <c r="AD129" s="43"/>
      <c r="AE129" s="43"/>
      <c r="AF129" s="47"/>
      <c r="AG129" s="47"/>
      <c r="AH129" s="48"/>
      <c r="AI129" s="47"/>
      <c r="AJ129" s="68"/>
      <c r="AK129" s="68"/>
      <c r="AL129" s="68"/>
      <c r="AM129" s="68"/>
      <c r="AN129" s="68"/>
      <c r="AO129" s="68"/>
      <c r="AP129" s="68"/>
      <c r="AQ129" s="68"/>
      <c r="AR129" s="68"/>
      <c r="AS129" s="68"/>
      <c r="AT129" s="68"/>
      <c r="AU129" s="68"/>
      <c r="AV129" s="68"/>
      <c r="AW129" s="68"/>
      <c r="AX129" s="68"/>
      <c r="AY129" s="78"/>
      <c r="AZ129" s="78"/>
      <c r="BA129" s="78"/>
      <c r="BB129" s="78"/>
      <c r="BC129" s="78"/>
      <c r="BD129" s="78"/>
      <c r="BE129" s="78"/>
      <c r="BF129" s="78"/>
      <c r="BG129" s="78"/>
      <c r="BH129" s="78"/>
      <c r="BI129" s="78"/>
      <c r="BJ129" s="78"/>
      <c r="BK129" s="78"/>
      <c r="BL129" s="78"/>
      <c r="BM129" s="78"/>
      <c r="BN129" s="78"/>
      <c r="BO129" s="78"/>
      <c r="BP129" s="78"/>
    </row>
    <row r="130" spans="1:68" ht="14.25" customHeight="1" x14ac:dyDescent="0.3">
      <c r="A130" s="45"/>
      <c r="B130" s="45"/>
      <c r="C130" s="45"/>
      <c r="D130" s="45"/>
      <c r="E130" s="45"/>
      <c r="F130" s="45"/>
      <c r="G130" s="45"/>
      <c r="H130" s="45"/>
      <c r="I130" s="45"/>
      <c r="J130" s="45"/>
      <c r="K130" s="45"/>
      <c r="L130" s="45"/>
      <c r="M130" s="45"/>
      <c r="N130" s="45"/>
      <c r="O130" s="45"/>
      <c r="P130" s="42"/>
      <c r="Q130" s="42"/>
      <c r="R130" s="42"/>
      <c r="S130" s="42"/>
      <c r="T130" s="42"/>
      <c r="U130" s="42"/>
      <c r="V130" s="42"/>
      <c r="W130" s="42"/>
      <c r="X130" s="42"/>
      <c r="Y130" s="43"/>
      <c r="Z130" s="43"/>
      <c r="AA130" s="43"/>
      <c r="AB130" s="43"/>
      <c r="AC130" s="43"/>
      <c r="AD130" s="43"/>
      <c r="AE130" s="43"/>
      <c r="AF130" s="45"/>
      <c r="AG130" s="45"/>
      <c r="AH130" s="48"/>
      <c r="AI130" s="48"/>
      <c r="AJ130" s="206"/>
      <c r="AK130" s="206"/>
      <c r="AL130" s="206"/>
      <c r="AM130" s="206"/>
      <c r="AN130" s="206"/>
      <c r="AO130" s="206"/>
      <c r="AP130" s="206"/>
      <c r="AQ130" s="206"/>
      <c r="AR130" s="206"/>
      <c r="AS130" s="206"/>
      <c r="AT130" s="206"/>
      <c r="AU130" s="206"/>
      <c r="AV130" s="206"/>
      <c r="AW130" s="206"/>
      <c r="AX130" s="206"/>
      <c r="AY130" s="187"/>
      <c r="AZ130" s="187"/>
      <c r="BA130" s="187"/>
      <c r="BB130" s="187"/>
      <c r="BC130" s="187"/>
      <c r="BD130" s="187"/>
      <c r="BE130" s="187"/>
      <c r="BF130" s="187"/>
      <c r="BG130" s="187"/>
      <c r="BH130" s="187"/>
      <c r="BI130" s="187"/>
      <c r="BJ130" s="187"/>
      <c r="BK130" s="187"/>
      <c r="BL130" s="187"/>
      <c r="BM130" s="187"/>
      <c r="BN130" s="187"/>
      <c r="BO130" s="187"/>
      <c r="BP130" s="187"/>
    </row>
    <row r="131" spans="1:68" ht="14.25" customHeight="1" x14ac:dyDescent="0.3">
      <c r="A131" s="45"/>
      <c r="B131" s="45"/>
      <c r="C131" s="45"/>
      <c r="D131" s="45"/>
      <c r="E131" s="45"/>
      <c r="F131" s="45"/>
      <c r="G131" s="45"/>
      <c r="H131" s="45"/>
      <c r="I131" s="45"/>
      <c r="J131" s="45"/>
      <c r="K131" s="45"/>
      <c r="L131" s="45"/>
      <c r="M131" s="45"/>
      <c r="N131" s="45"/>
      <c r="O131" s="45"/>
      <c r="P131" s="42"/>
      <c r="Q131" s="42"/>
      <c r="R131" s="42"/>
      <c r="S131" s="42"/>
      <c r="T131" s="42"/>
      <c r="U131" s="42"/>
      <c r="V131" s="42"/>
      <c r="W131" s="42"/>
      <c r="X131" s="42"/>
      <c r="Y131" s="43"/>
      <c r="Z131" s="43"/>
      <c r="AA131" s="43"/>
      <c r="AB131" s="43"/>
      <c r="AC131" s="43"/>
      <c r="AD131" s="43"/>
      <c r="AE131" s="43"/>
      <c r="AF131" s="45"/>
      <c r="AG131" s="45"/>
      <c r="AH131" s="48"/>
      <c r="AI131" s="37"/>
      <c r="AJ131" s="206"/>
      <c r="AK131" s="206"/>
      <c r="AL131" s="206"/>
      <c r="AM131" s="206"/>
      <c r="AN131" s="206"/>
      <c r="AO131" s="206"/>
      <c r="AP131" s="206"/>
      <c r="AQ131" s="206"/>
      <c r="AR131" s="206"/>
      <c r="AS131" s="206"/>
      <c r="AT131" s="206"/>
      <c r="AU131" s="206"/>
      <c r="AV131" s="206"/>
      <c r="AW131" s="206"/>
      <c r="AX131" s="206"/>
      <c r="AY131" s="45"/>
      <c r="AZ131" s="45"/>
      <c r="BA131" s="45"/>
      <c r="BB131" s="45"/>
      <c r="BC131" s="45"/>
      <c r="BD131" s="45"/>
      <c r="BE131" s="45"/>
      <c r="BF131" s="45"/>
      <c r="BG131" s="45"/>
    </row>
    <row r="132" spans="1:68" ht="14.25" customHeight="1" x14ac:dyDescent="0.3">
      <c r="A132" s="49"/>
      <c r="B132" s="55"/>
      <c r="C132" s="55"/>
      <c r="D132" s="55"/>
      <c r="E132" s="55"/>
      <c r="F132" s="55"/>
      <c r="G132" s="55"/>
      <c r="H132" s="55"/>
      <c r="I132" s="55"/>
      <c r="J132" s="55"/>
      <c r="K132" s="55"/>
      <c r="L132" s="55"/>
      <c r="M132" s="55"/>
      <c r="N132" s="55"/>
      <c r="O132" s="55"/>
      <c r="P132" s="55"/>
      <c r="Q132" s="55"/>
      <c r="R132" s="55"/>
      <c r="S132" s="55"/>
      <c r="T132" s="55"/>
      <c r="U132" s="52"/>
      <c r="V132" s="54"/>
      <c r="W132" s="49"/>
      <c r="X132" s="49"/>
      <c r="Y132" s="49"/>
      <c r="Z132" s="49"/>
      <c r="AA132" s="49"/>
      <c r="AB132" s="49"/>
      <c r="AC132" s="49"/>
      <c r="AD132" s="49"/>
      <c r="AE132" s="49"/>
      <c r="AF132" s="49"/>
      <c r="AG132" s="49"/>
      <c r="AH132" s="56"/>
      <c r="AI132" s="56"/>
      <c r="AJ132" s="62"/>
      <c r="AK132" s="62"/>
      <c r="AL132" s="62"/>
      <c r="AM132" s="62"/>
      <c r="AN132" s="62"/>
      <c r="AO132" s="62"/>
      <c r="AP132" s="62"/>
    </row>
    <row r="133" spans="1:68" ht="14.25" customHeight="1" x14ac:dyDescent="0.25">
      <c r="A133" s="55"/>
      <c r="B133" s="55"/>
      <c r="C133" s="55"/>
      <c r="D133" s="55"/>
      <c r="E133" s="55"/>
      <c r="F133" s="55"/>
      <c r="G133" s="55"/>
      <c r="H133" s="55"/>
      <c r="I133" s="55"/>
      <c r="J133" s="55"/>
      <c r="K133" s="55"/>
      <c r="L133" s="55"/>
      <c r="M133" s="55"/>
      <c r="N133" s="55"/>
      <c r="O133" s="55"/>
      <c r="P133" s="55"/>
      <c r="Q133" s="55"/>
      <c r="R133" s="55"/>
      <c r="S133" s="56"/>
      <c r="T133" s="52"/>
      <c r="U133" s="52"/>
      <c r="V133" s="54"/>
      <c r="W133" s="54"/>
      <c r="X133" s="57"/>
      <c r="Y133" s="56"/>
      <c r="Z133" s="55"/>
      <c r="AA133" s="55"/>
      <c r="AB133" s="55"/>
      <c r="AC133" s="55"/>
      <c r="AD133" s="55"/>
      <c r="AE133" s="55"/>
      <c r="AF133" s="55"/>
      <c r="AG133" s="55"/>
      <c r="AH133" s="56"/>
      <c r="AI133" s="56"/>
      <c r="AJ133" s="55"/>
      <c r="AK133" s="55"/>
      <c r="AL133" s="55"/>
      <c r="AM133" s="55"/>
      <c r="AN133" s="55"/>
      <c r="AO133" s="55"/>
      <c r="AP133" s="55"/>
    </row>
    <row r="134" spans="1:68" ht="14.25" customHeight="1" x14ac:dyDescent="0.25">
      <c r="A134" s="55"/>
      <c r="B134" s="55"/>
      <c r="C134" s="55"/>
      <c r="D134" s="55"/>
      <c r="E134" s="55"/>
      <c r="F134" s="55"/>
      <c r="G134" s="55"/>
      <c r="H134" s="55"/>
      <c r="I134" s="55"/>
      <c r="J134" s="55"/>
      <c r="K134" s="55"/>
      <c r="L134" s="55"/>
      <c r="M134" s="55"/>
      <c r="N134" s="55"/>
      <c r="O134" s="55"/>
      <c r="P134" s="55"/>
      <c r="Q134" s="55"/>
      <c r="R134" s="55"/>
      <c r="S134" s="55"/>
      <c r="T134" s="56"/>
      <c r="U134" s="52"/>
      <c r="V134" s="54"/>
      <c r="W134" s="54"/>
      <c r="X134" s="52"/>
      <c r="Y134" s="55"/>
      <c r="Z134" s="55"/>
      <c r="AA134" s="55"/>
      <c r="AB134" s="55"/>
      <c r="AC134" s="55"/>
      <c r="AD134" s="55"/>
      <c r="AE134" s="55"/>
      <c r="AF134" s="55"/>
      <c r="AG134" s="55"/>
      <c r="AH134" s="55"/>
      <c r="AI134" s="55"/>
      <c r="AJ134" s="55"/>
      <c r="AK134" s="55"/>
      <c r="AL134" s="55"/>
      <c r="AM134" s="55"/>
      <c r="AN134" s="55"/>
      <c r="AO134" s="55"/>
      <c r="AP134" s="55"/>
    </row>
    <row r="135" spans="1:68" ht="14.25" customHeight="1" x14ac:dyDescent="0.3">
      <c r="A135" s="49"/>
      <c r="B135" s="49"/>
      <c r="C135" s="49"/>
      <c r="D135" s="49"/>
      <c r="E135" s="49"/>
      <c r="F135" s="49"/>
      <c r="G135" s="49"/>
      <c r="H135" s="49"/>
      <c r="I135" s="49"/>
      <c r="J135" s="49"/>
      <c r="K135" s="49"/>
      <c r="L135" s="49"/>
      <c r="M135" s="49"/>
      <c r="N135" s="49"/>
      <c r="O135" s="49"/>
      <c r="P135" s="49"/>
      <c r="Q135" s="49"/>
      <c r="R135" s="49"/>
      <c r="S135" s="49"/>
      <c r="T135" s="49"/>
      <c r="U135" s="49"/>
      <c r="V135" s="54"/>
      <c r="W135" s="49"/>
      <c r="X135" s="49"/>
      <c r="Y135" s="49"/>
      <c r="Z135" s="49"/>
      <c r="AA135" s="49"/>
      <c r="AB135" s="49"/>
      <c r="AC135" s="49"/>
      <c r="AD135" s="49"/>
      <c r="AE135" s="49"/>
      <c r="AF135" s="49"/>
      <c r="AG135" s="49"/>
      <c r="AH135" s="50"/>
      <c r="AI135" s="50"/>
      <c r="AJ135" s="62"/>
      <c r="AK135" s="62"/>
      <c r="AL135" s="62"/>
      <c r="AM135" s="62"/>
      <c r="AN135" s="62"/>
      <c r="AO135" s="62"/>
      <c r="AP135" s="62"/>
    </row>
    <row r="136" spans="1:68" ht="18" customHeight="1" x14ac:dyDescent="0.25">
      <c r="A136" s="82"/>
      <c r="B136" s="64"/>
      <c r="C136" s="64"/>
      <c r="D136" s="82"/>
      <c r="E136" s="82"/>
      <c r="F136" s="82"/>
      <c r="G136" s="82"/>
      <c r="H136" s="82"/>
      <c r="I136" s="82"/>
      <c r="J136" s="82"/>
      <c r="K136" s="82"/>
      <c r="L136" s="82"/>
      <c r="M136" s="82"/>
      <c r="N136" s="82"/>
      <c r="O136" s="82"/>
      <c r="P136" s="82"/>
      <c r="Q136" s="82"/>
      <c r="R136" s="82"/>
      <c r="S136" s="82"/>
      <c r="T136" s="82"/>
      <c r="U136" s="82"/>
      <c r="V136" s="54"/>
      <c r="W136" s="54"/>
      <c r="X136" s="52"/>
      <c r="Y136" s="50"/>
      <c r="Z136" s="50"/>
      <c r="AA136" s="50"/>
      <c r="AB136" s="77"/>
      <c r="AC136" s="77"/>
      <c r="AD136" s="77"/>
      <c r="AE136" s="77"/>
      <c r="AF136" s="77"/>
      <c r="AG136" s="77"/>
      <c r="AH136" s="77"/>
      <c r="AI136" s="77"/>
      <c r="AJ136" s="50"/>
      <c r="AK136" s="77"/>
      <c r="AL136" s="77"/>
      <c r="AM136" s="77"/>
      <c r="AN136" s="77"/>
      <c r="AO136" s="77"/>
      <c r="AP136" s="77"/>
    </row>
    <row r="137" spans="1:68" ht="18" customHeight="1" x14ac:dyDescent="0.3">
      <c r="A137" s="49"/>
      <c r="B137" s="49"/>
      <c r="C137" s="49"/>
      <c r="D137" s="49"/>
      <c r="E137" s="49"/>
      <c r="F137" s="49"/>
      <c r="G137" s="49"/>
      <c r="H137" s="49"/>
      <c r="I137" s="49"/>
      <c r="J137" s="49"/>
      <c r="K137" s="49"/>
      <c r="L137" s="49"/>
      <c r="M137" s="49"/>
      <c r="N137" s="49"/>
      <c r="O137" s="49"/>
      <c r="P137" s="49"/>
      <c r="Q137" s="49"/>
      <c r="R137" s="49"/>
      <c r="S137" s="49"/>
      <c r="T137" s="49"/>
      <c r="U137" s="49"/>
      <c r="V137" s="54"/>
      <c r="W137" s="49"/>
      <c r="X137" s="49"/>
      <c r="Y137" s="49"/>
      <c r="Z137" s="49"/>
      <c r="AA137" s="49"/>
      <c r="AB137" s="49"/>
      <c r="AC137" s="49"/>
      <c r="AD137" s="49"/>
      <c r="AE137" s="49"/>
      <c r="AF137" s="49"/>
      <c r="AG137" s="49"/>
      <c r="AH137" s="50"/>
      <c r="AI137" s="50"/>
      <c r="AJ137" s="62"/>
      <c r="AK137" s="62"/>
      <c r="AL137" s="62"/>
      <c r="AM137" s="62"/>
      <c r="AN137" s="62"/>
      <c r="AO137" s="62"/>
      <c r="AP137" s="62"/>
    </row>
    <row r="138" spans="1:68" ht="18" customHeight="1" x14ac:dyDescent="0.25"/>
    <row r="139" spans="1:68" ht="18" customHeight="1" x14ac:dyDescent="0.25"/>
    <row r="140" spans="1:68" ht="18" customHeight="1" x14ac:dyDescent="0.25"/>
    <row r="141" spans="1:68" ht="18" customHeight="1" x14ac:dyDescent="0.25"/>
    <row r="142" spans="1:68" ht="18" customHeight="1" x14ac:dyDescent="0.25"/>
    <row r="143" spans="1:68" ht="18" customHeight="1" x14ac:dyDescent="0.25"/>
    <row r="144" spans="1:68" ht="18" customHeight="1" x14ac:dyDescent="0.25"/>
    <row r="145" ht="18" customHeight="1" x14ac:dyDescent="0.25"/>
  </sheetData>
  <mergeCells count="722">
    <mergeCell ref="AJ130:AX131"/>
    <mergeCell ref="AY130:BG130"/>
    <mergeCell ref="BH130:BP130"/>
    <mergeCell ref="B96:BQ96"/>
    <mergeCell ref="B97:BP97"/>
    <mergeCell ref="B98:BP98"/>
    <mergeCell ref="B99:BP99"/>
    <mergeCell ref="BL83:BN83"/>
    <mergeCell ref="BO83:BR83"/>
    <mergeCell ref="V86:AZ87"/>
    <mergeCell ref="V88:AZ89"/>
    <mergeCell ref="B92:BQ92"/>
    <mergeCell ref="B93:BQ93"/>
    <mergeCell ref="AT83:AV83"/>
    <mergeCell ref="AW83:AY83"/>
    <mergeCell ref="AZ83:BB83"/>
    <mergeCell ref="B94:BQ94"/>
    <mergeCell ref="B95:BQ95"/>
    <mergeCell ref="B83:C83"/>
    <mergeCell ref="D83:O83"/>
    <mergeCell ref="P83:R83"/>
    <mergeCell ref="S83:U83"/>
    <mergeCell ref="V83:X83"/>
    <mergeCell ref="Y83:AA83"/>
    <mergeCell ref="AY127:BG127"/>
    <mergeCell ref="BH127:BP127"/>
    <mergeCell ref="BI62:BK62"/>
    <mergeCell ref="BL62:BN62"/>
    <mergeCell ref="BO62:BR62"/>
    <mergeCell ref="AQ62:AS62"/>
    <mergeCell ref="AT62:AV62"/>
    <mergeCell ref="AW62:AY62"/>
    <mergeCell ref="AZ62:BB62"/>
    <mergeCell ref="BC62:BE62"/>
    <mergeCell ref="BF62:BH62"/>
    <mergeCell ref="AQ83:AS83"/>
    <mergeCell ref="AQ82:AS82"/>
    <mergeCell ref="AT82:AV82"/>
    <mergeCell ref="BL80:BN80"/>
    <mergeCell ref="BO80:BR80"/>
    <mergeCell ref="BF78:BH78"/>
    <mergeCell ref="BI78:BK78"/>
    <mergeCell ref="BL78:BN78"/>
    <mergeCell ref="BO78:BR78"/>
    <mergeCell ref="BL79:BN79"/>
    <mergeCell ref="BO79:BR79"/>
    <mergeCell ref="BC79:BE79"/>
    <mergeCell ref="BF79:BH79"/>
    <mergeCell ref="A118:O121"/>
    <mergeCell ref="P118:X121"/>
    <mergeCell ref="Y118:AE121"/>
    <mergeCell ref="AJ118:AX121"/>
    <mergeCell ref="AY118:BG121"/>
    <mergeCell ref="BH118:BR121"/>
    <mergeCell ref="B100:BP100"/>
    <mergeCell ref="A103:O103"/>
    <mergeCell ref="P103:S103"/>
    <mergeCell ref="T103:X103"/>
    <mergeCell ref="AJ103:BR109"/>
    <mergeCell ref="A112:O115"/>
    <mergeCell ref="P112:X115"/>
    <mergeCell ref="Y112:AE115"/>
    <mergeCell ref="AJ112:AX115"/>
    <mergeCell ref="AY112:BG115"/>
    <mergeCell ref="BH112:BR115"/>
    <mergeCell ref="BL82:BN82"/>
    <mergeCell ref="BO82:BR82"/>
    <mergeCell ref="Y62:AA62"/>
    <mergeCell ref="AB62:AD62"/>
    <mergeCell ref="AE62:AG62"/>
    <mergeCell ref="AH62:AJ62"/>
    <mergeCell ref="AK62:AM62"/>
    <mergeCell ref="AN62:AP62"/>
    <mergeCell ref="AN83:AP83"/>
    <mergeCell ref="AH82:AJ82"/>
    <mergeCell ref="AK82:AM82"/>
    <mergeCell ref="AN82:AP82"/>
    <mergeCell ref="BF83:BH83"/>
    <mergeCell ref="BI83:BK83"/>
    <mergeCell ref="AB83:AD83"/>
    <mergeCell ref="BO81:BR81"/>
    <mergeCell ref="AB82:AD82"/>
    <mergeCell ref="AQ81:AS81"/>
    <mergeCell ref="AW82:AY82"/>
    <mergeCell ref="AZ82:BB82"/>
    <mergeCell ref="BC82:BE82"/>
    <mergeCell ref="BC83:BE83"/>
    <mergeCell ref="AE83:AG83"/>
    <mergeCell ref="AH83:AJ83"/>
    <mergeCell ref="B62:C62"/>
    <mergeCell ref="D62:O62"/>
    <mergeCell ref="P62:R62"/>
    <mergeCell ref="S62:U62"/>
    <mergeCell ref="V62:X62"/>
    <mergeCell ref="BL81:BN81"/>
    <mergeCell ref="AB80:AD80"/>
    <mergeCell ref="AE80:AG80"/>
    <mergeCell ref="B82:C82"/>
    <mergeCell ref="D82:O82"/>
    <mergeCell ref="P82:R82"/>
    <mergeCell ref="S82:U82"/>
    <mergeCell ref="BI81:BK81"/>
    <mergeCell ref="AB79:AD79"/>
    <mergeCell ref="AE79:AG79"/>
    <mergeCell ref="AH79:AJ79"/>
    <mergeCell ref="AK79:AM79"/>
    <mergeCell ref="AN79:AP79"/>
    <mergeCell ref="AQ79:AS79"/>
    <mergeCell ref="B81:C81"/>
    <mergeCell ref="D81:O81"/>
    <mergeCell ref="BI82:BK82"/>
    <mergeCell ref="P81:R81"/>
    <mergeCell ref="S81:U81"/>
    <mergeCell ref="AK83:AM83"/>
    <mergeCell ref="V82:X82"/>
    <mergeCell ref="Y82:AA82"/>
    <mergeCell ref="AE82:AG82"/>
    <mergeCell ref="AT81:AV81"/>
    <mergeCell ref="AW81:AY81"/>
    <mergeCell ref="AZ81:BB81"/>
    <mergeCell ref="BC81:BE81"/>
    <mergeCell ref="BF81:BH81"/>
    <mergeCell ref="AB81:AD81"/>
    <mergeCell ref="AE81:AG81"/>
    <mergeCell ref="AH81:AJ81"/>
    <mergeCell ref="AK81:AM81"/>
    <mergeCell ref="AN81:AP81"/>
    <mergeCell ref="V81:X81"/>
    <mergeCell ref="Y81:AA81"/>
    <mergeCell ref="BC80:BE80"/>
    <mergeCell ref="BF80:BH80"/>
    <mergeCell ref="BI80:BK80"/>
    <mergeCell ref="BF82:BH82"/>
    <mergeCell ref="B80:C80"/>
    <mergeCell ref="D80:O80"/>
    <mergeCell ref="P80:R80"/>
    <mergeCell ref="S80:U80"/>
    <mergeCell ref="V80:X80"/>
    <mergeCell ref="Y80:AA80"/>
    <mergeCell ref="AW79:AY79"/>
    <mergeCell ref="AZ79:BB79"/>
    <mergeCell ref="AH80:AJ80"/>
    <mergeCell ref="AK80:AM80"/>
    <mergeCell ref="AN80:AP80"/>
    <mergeCell ref="AQ80:AS80"/>
    <mergeCell ref="AT80:AV80"/>
    <mergeCell ref="AW80:AY80"/>
    <mergeCell ref="AT79:AV79"/>
    <mergeCell ref="AZ80:BB80"/>
    <mergeCell ref="AT78:AV78"/>
    <mergeCell ref="AW78:AY78"/>
    <mergeCell ref="B77:C77"/>
    <mergeCell ref="D77:O77"/>
    <mergeCell ref="AZ78:BB78"/>
    <mergeCell ref="P77:R77"/>
    <mergeCell ref="S77:U77"/>
    <mergeCell ref="V77:X77"/>
    <mergeCell ref="Y77:AA77"/>
    <mergeCell ref="BI79:BK79"/>
    <mergeCell ref="BO77:BR77"/>
    <mergeCell ref="B78:C78"/>
    <mergeCell ref="D78:O78"/>
    <mergeCell ref="P78:R78"/>
    <mergeCell ref="S78:U78"/>
    <mergeCell ref="V78:X78"/>
    <mergeCell ref="Y78:AA78"/>
    <mergeCell ref="AB78:AD78"/>
    <mergeCell ref="AE78:AG78"/>
    <mergeCell ref="AT77:AV77"/>
    <mergeCell ref="B79:C79"/>
    <mergeCell ref="D79:O79"/>
    <mergeCell ref="P79:R79"/>
    <mergeCell ref="S79:U79"/>
    <mergeCell ref="V79:X79"/>
    <mergeCell ref="Y79:AA79"/>
    <mergeCell ref="AB77:AD77"/>
    <mergeCell ref="AE77:AG77"/>
    <mergeCell ref="BC78:BE78"/>
    <mergeCell ref="AH78:AJ78"/>
    <mergeCell ref="AK78:AM78"/>
    <mergeCell ref="AN78:AP78"/>
    <mergeCell ref="AQ78:AS78"/>
    <mergeCell ref="AZ76:BB76"/>
    <mergeCell ref="BC76:BE76"/>
    <mergeCell ref="BF76:BH76"/>
    <mergeCell ref="BI76:BK76"/>
    <mergeCell ref="BL76:BN76"/>
    <mergeCell ref="BL77:BN77"/>
    <mergeCell ref="BO76:BR76"/>
    <mergeCell ref="AH76:AJ76"/>
    <mergeCell ref="AK76:AM76"/>
    <mergeCell ref="AN76:AP76"/>
    <mergeCell ref="AQ76:AS76"/>
    <mergeCell ref="AT76:AV76"/>
    <mergeCell ref="AW76:AY76"/>
    <mergeCell ref="AH77:AJ77"/>
    <mergeCell ref="AK77:AM77"/>
    <mergeCell ref="AN77:AP77"/>
    <mergeCell ref="AQ77:AS77"/>
    <mergeCell ref="AW77:AY77"/>
    <mergeCell ref="AZ77:BB77"/>
    <mergeCell ref="BC77:BE77"/>
    <mergeCell ref="BF77:BH77"/>
    <mergeCell ref="BI77:BK77"/>
    <mergeCell ref="B76:C76"/>
    <mergeCell ref="D76:O76"/>
    <mergeCell ref="P76:R76"/>
    <mergeCell ref="S76:U76"/>
    <mergeCell ref="V76:X76"/>
    <mergeCell ref="Y76:AA76"/>
    <mergeCell ref="AB76:AD76"/>
    <mergeCell ref="AE76:AG76"/>
    <mergeCell ref="AT75:AV75"/>
    <mergeCell ref="AB75:AD75"/>
    <mergeCell ref="AE75:AG75"/>
    <mergeCell ref="AH75:AJ75"/>
    <mergeCell ref="AK75:AM75"/>
    <mergeCell ref="AN75:AP75"/>
    <mergeCell ref="AQ75:AS75"/>
    <mergeCell ref="B75:C75"/>
    <mergeCell ref="D75:O75"/>
    <mergeCell ref="P75:R75"/>
    <mergeCell ref="S75:U75"/>
    <mergeCell ref="V75:X75"/>
    <mergeCell ref="Y75:AA75"/>
    <mergeCell ref="AB73:AD73"/>
    <mergeCell ref="AE73:AG73"/>
    <mergeCell ref="BC74:BE74"/>
    <mergeCell ref="BF74:BH74"/>
    <mergeCell ref="BI74:BK74"/>
    <mergeCell ref="BL74:BN74"/>
    <mergeCell ref="BO74:BR74"/>
    <mergeCell ref="AH74:AJ74"/>
    <mergeCell ref="AK74:AM74"/>
    <mergeCell ref="AN74:AP74"/>
    <mergeCell ref="AQ74:AS74"/>
    <mergeCell ref="AT74:AV74"/>
    <mergeCell ref="AW74:AY74"/>
    <mergeCell ref="B73:C73"/>
    <mergeCell ref="D73:O73"/>
    <mergeCell ref="AZ74:BB74"/>
    <mergeCell ref="P73:R73"/>
    <mergeCell ref="S73:U73"/>
    <mergeCell ref="V73:X73"/>
    <mergeCell ref="Y73:AA73"/>
    <mergeCell ref="BL75:BN75"/>
    <mergeCell ref="BO75:BR75"/>
    <mergeCell ref="AW75:AY75"/>
    <mergeCell ref="AZ75:BB75"/>
    <mergeCell ref="BC75:BE75"/>
    <mergeCell ref="BF75:BH75"/>
    <mergeCell ref="BI75:BK75"/>
    <mergeCell ref="BO73:BR73"/>
    <mergeCell ref="B74:C74"/>
    <mergeCell ref="D74:O74"/>
    <mergeCell ref="P74:R74"/>
    <mergeCell ref="S74:U74"/>
    <mergeCell ref="V74:X74"/>
    <mergeCell ref="Y74:AA74"/>
    <mergeCell ref="AB74:AD74"/>
    <mergeCell ref="AE74:AG74"/>
    <mergeCell ref="AT73:AV73"/>
    <mergeCell ref="AZ72:BB72"/>
    <mergeCell ref="BC72:BE72"/>
    <mergeCell ref="BF72:BH72"/>
    <mergeCell ref="BI72:BK72"/>
    <mergeCell ref="BL72:BN72"/>
    <mergeCell ref="BL73:BN73"/>
    <mergeCell ref="BO72:BR72"/>
    <mergeCell ref="AH72:AJ72"/>
    <mergeCell ref="AK72:AM72"/>
    <mergeCell ref="AN72:AP72"/>
    <mergeCell ref="AQ72:AS72"/>
    <mergeCell ref="AT72:AV72"/>
    <mergeCell ref="AW72:AY72"/>
    <mergeCell ref="AH73:AJ73"/>
    <mergeCell ref="AK73:AM73"/>
    <mergeCell ref="AN73:AP73"/>
    <mergeCell ref="AQ73:AS73"/>
    <mergeCell ref="AW73:AY73"/>
    <mergeCell ref="AZ73:BB73"/>
    <mergeCell ref="BC73:BE73"/>
    <mergeCell ref="BF73:BH73"/>
    <mergeCell ref="BI73:BK73"/>
    <mergeCell ref="B72:C72"/>
    <mergeCell ref="D72:O72"/>
    <mergeCell ref="P72:R72"/>
    <mergeCell ref="S72:U72"/>
    <mergeCell ref="V72:X72"/>
    <mergeCell ref="Y72:AA72"/>
    <mergeCell ref="AB72:AD72"/>
    <mergeCell ref="AE72:AG72"/>
    <mergeCell ref="AT71:AV71"/>
    <mergeCell ref="AB71:AD71"/>
    <mergeCell ref="AE71:AG71"/>
    <mergeCell ref="AH71:AJ71"/>
    <mergeCell ref="AK71:AM71"/>
    <mergeCell ref="AN71:AP71"/>
    <mergeCell ref="AQ71:AS71"/>
    <mergeCell ref="B71:C71"/>
    <mergeCell ref="D71:O71"/>
    <mergeCell ref="P71:R71"/>
    <mergeCell ref="S71:U71"/>
    <mergeCell ref="V71:X71"/>
    <mergeCell ref="Y71:AA71"/>
    <mergeCell ref="AB69:AD69"/>
    <mergeCell ref="AE69:AG69"/>
    <mergeCell ref="BC70:BE70"/>
    <mergeCell ref="BF70:BH70"/>
    <mergeCell ref="BI70:BK70"/>
    <mergeCell ref="BL70:BN70"/>
    <mergeCell ref="BO70:BR70"/>
    <mergeCell ref="AH70:AJ70"/>
    <mergeCell ref="AK70:AM70"/>
    <mergeCell ref="AN70:AP70"/>
    <mergeCell ref="AQ70:AS70"/>
    <mergeCell ref="AT70:AV70"/>
    <mergeCell ref="AW70:AY70"/>
    <mergeCell ref="B69:C69"/>
    <mergeCell ref="D69:O69"/>
    <mergeCell ref="AZ70:BB70"/>
    <mergeCell ref="P69:R69"/>
    <mergeCell ref="S69:U69"/>
    <mergeCell ref="V69:X69"/>
    <mergeCell ref="Y69:AA69"/>
    <mergeCell ref="BL71:BN71"/>
    <mergeCell ref="BO71:BR71"/>
    <mergeCell ref="AW71:AY71"/>
    <mergeCell ref="AZ71:BB71"/>
    <mergeCell ref="BC71:BE71"/>
    <mergeCell ref="BF71:BH71"/>
    <mergeCell ref="BI71:BK71"/>
    <mergeCell ref="BO69:BR69"/>
    <mergeCell ref="B70:C70"/>
    <mergeCell ref="D70:O70"/>
    <mergeCell ref="P70:R70"/>
    <mergeCell ref="S70:U70"/>
    <mergeCell ref="V70:X70"/>
    <mergeCell ref="Y70:AA70"/>
    <mergeCell ref="AB70:AD70"/>
    <mergeCell ref="AE70:AG70"/>
    <mergeCell ref="AT69:AV69"/>
    <mergeCell ref="AZ68:BB68"/>
    <mergeCell ref="BC68:BE68"/>
    <mergeCell ref="BF68:BH68"/>
    <mergeCell ref="BI68:BK68"/>
    <mergeCell ref="BL68:BN68"/>
    <mergeCell ref="BL69:BN69"/>
    <mergeCell ref="BO68:BR68"/>
    <mergeCell ref="AH68:AJ68"/>
    <mergeCell ref="AK68:AM68"/>
    <mergeCell ref="AN68:AP68"/>
    <mergeCell ref="AQ68:AS68"/>
    <mergeCell ref="AT68:AV68"/>
    <mergeCell ref="AW68:AY68"/>
    <mergeCell ref="AH69:AJ69"/>
    <mergeCell ref="AK69:AM69"/>
    <mergeCell ref="AN69:AP69"/>
    <mergeCell ref="AQ69:AS69"/>
    <mergeCell ref="AW69:AY69"/>
    <mergeCell ref="AZ69:BB69"/>
    <mergeCell ref="BC69:BE69"/>
    <mergeCell ref="BF69:BH69"/>
    <mergeCell ref="BI69:BK69"/>
    <mergeCell ref="B68:C68"/>
    <mergeCell ref="D68:O68"/>
    <mergeCell ref="P68:R68"/>
    <mergeCell ref="S68:U68"/>
    <mergeCell ref="V68:X68"/>
    <mergeCell ref="Y68:AA68"/>
    <mergeCell ref="AB68:AD68"/>
    <mergeCell ref="AE68:AG68"/>
    <mergeCell ref="AT67:AV67"/>
    <mergeCell ref="AB67:AD67"/>
    <mergeCell ref="AE67:AG67"/>
    <mergeCell ref="AH67:AJ67"/>
    <mergeCell ref="AK67:AM67"/>
    <mergeCell ref="AN67:AP67"/>
    <mergeCell ref="AQ67:AS67"/>
    <mergeCell ref="B67:C67"/>
    <mergeCell ref="D67:O67"/>
    <mergeCell ref="P67:R67"/>
    <mergeCell ref="S67:U67"/>
    <mergeCell ref="V67:X67"/>
    <mergeCell ref="Y67:AA67"/>
    <mergeCell ref="AB65:AD65"/>
    <mergeCell ref="AE65:AG65"/>
    <mergeCell ref="BC66:BE66"/>
    <mergeCell ref="BF66:BH66"/>
    <mergeCell ref="BI66:BK66"/>
    <mergeCell ref="BL66:BN66"/>
    <mergeCell ref="BO66:BR66"/>
    <mergeCell ref="AH66:AJ66"/>
    <mergeCell ref="AK66:AM66"/>
    <mergeCell ref="AN66:AP66"/>
    <mergeCell ref="AQ66:AS66"/>
    <mergeCell ref="AT66:AV66"/>
    <mergeCell ref="AW66:AY66"/>
    <mergeCell ref="B65:C65"/>
    <mergeCell ref="D65:O65"/>
    <mergeCell ref="AZ66:BB66"/>
    <mergeCell ref="P65:R65"/>
    <mergeCell ref="S65:U65"/>
    <mergeCell ref="V65:X65"/>
    <mergeCell ref="Y65:AA65"/>
    <mergeCell ref="BL67:BN67"/>
    <mergeCell ref="BO67:BR67"/>
    <mergeCell ref="AW67:AY67"/>
    <mergeCell ref="AZ67:BB67"/>
    <mergeCell ref="BC67:BE67"/>
    <mergeCell ref="BF67:BH67"/>
    <mergeCell ref="BI67:BK67"/>
    <mergeCell ref="BO65:BR65"/>
    <mergeCell ref="B66:C66"/>
    <mergeCell ref="D66:O66"/>
    <mergeCell ref="P66:R66"/>
    <mergeCell ref="S66:U66"/>
    <mergeCell ref="V66:X66"/>
    <mergeCell ref="Y66:AA66"/>
    <mergeCell ref="AB66:AD66"/>
    <mergeCell ref="AE66:AG66"/>
    <mergeCell ref="AT65:AV65"/>
    <mergeCell ref="AZ64:BB64"/>
    <mergeCell ref="BC64:BE64"/>
    <mergeCell ref="BF64:BH64"/>
    <mergeCell ref="BI64:BK64"/>
    <mergeCell ref="BL64:BN64"/>
    <mergeCell ref="BL65:BN65"/>
    <mergeCell ref="BO64:BR64"/>
    <mergeCell ref="AH64:AJ64"/>
    <mergeCell ref="AK64:AM64"/>
    <mergeCell ref="AN64:AP64"/>
    <mergeCell ref="AQ64:AS64"/>
    <mergeCell ref="AT64:AV64"/>
    <mergeCell ref="AW64:AY64"/>
    <mergeCell ref="AH65:AJ65"/>
    <mergeCell ref="AK65:AM65"/>
    <mergeCell ref="AN65:AP65"/>
    <mergeCell ref="AQ65:AS65"/>
    <mergeCell ref="AW65:AY65"/>
    <mergeCell ref="AZ65:BB65"/>
    <mergeCell ref="BC65:BE65"/>
    <mergeCell ref="BF65:BH65"/>
    <mergeCell ref="BI65:BK65"/>
    <mergeCell ref="B64:C64"/>
    <mergeCell ref="D64:O64"/>
    <mergeCell ref="P64:R64"/>
    <mergeCell ref="S64:U64"/>
    <mergeCell ref="V64:X64"/>
    <mergeCell ref="Y64:AA64"/>
    <mergeCell ref="AB64:AD64"/>
    <mergeCell ref="AE64:AG64"/>
    <mergeCell ref="AT63:AV63"/>
    <mergeCell ref="AB63:AD63"/>
    <mergeCell ref="AE63:AG63"/>
    <mergeCell ref="AH63:AJ63"/>
    <mergeCell ref="AK63:AM63"/>
    <mergeCell ref="AN63:AP63"/>
    <mergeCell ref="AQ63:AS63"/>
    <mergeCell ref="B63:C63"/>
    <mergeCell ref="D63:O63"/>
    <mergeCell ref="P63:R63"/>
    <mergeCell ref="S63:U63"/>
    <mergeCell ref="V63:X63"/>
    <mergeCell ref="Y63:AA63"/>
    <mergeCell ref="AB60:AD60"/>
    <mergeCell ref="AE60:AG60"/>
    <mergeCell ref="BC61:BE61"/>
    <mergeCell ref="BF61:BH61"/>
    <mergeCell ref="BI61:BK61"/>
    <mergeCell ref="BL61:BN61"/>
    <mergeCell ref="BO61:BR61"/>
    <mergeCell ref="AH61:AJ61"/>
    <mergeCell ref="AK61:AM61"/>
    <mergeCell ref="AN61:AP61"/>
    <mergeCell ref="AQ61:AS61"/>
    <mergeCell ref="AT61:AV61"/>
    <mergeCell ref="AW61:AY61"/>
    <mergeCell ref="BL60:BN60"/>
    <mergeCell ref="B60:C60"/>
    <mergeCell ref="D60:O60"/>
    <mergeCell ref="AZ61:BB61"/>
    <mergeCell ref="P60:R60"/>
    <mergeCell ref="S60:U60"/>
    <mergeCell ref="V60:X60"/>
    <mergeCell ref="Y60:AA60"/>
    <mergeCell ref="BL63:BN63"/>
    <mergeCell ref="BO63:BR63"/>
    <mergeCell ref="AW63:AY63"/>
    <mergeCell ref="AZ63:BB63"/>
    <mergeCell ref="BC63:BE63"/>
    <mergeCell ref="BF63:BH63"/>
    <mergeCell ref="BI63:BK63"/>
    <mergeCell ref="BO60:BR60"/>
    <mergeCell ref="B61:C61"/>
    <mergeCell ref="D61:O61"/>
    <mergeCell ref="P61:R61"/>
    <mergeCell ref="S61:U61"/>
    <mergeCell ref="V61:X61"/>
    <mergeCell ref="Y61:AA61"/>
    <mergeCell ref="AB61:AD61"/>
    <mergeCell ref="AE61:AG61"/>
    <mergeCell ref="AT60:AV60"/>
    <mergeCell ref="BO59:BR59"/>
    <mergeCell ref="AH59:AJ59"/>
    <mergeCell ref="AK59:AM59"/>
    <mergeCell ref="AN59:AP59"/>
    <mergeCell ref="AQ59:AS59"/>
    <mergeCell ref="AT59:AV59"/>
    <mergeCell ref="AW59:AY59"/>
    <mergeCell ref="AH60:AJ60"/>
    <mergeCell ref="AK60:AM60"/>
    <mergeCell ref="AN60:AP60"/>
    <mergeCell ref="AQ60:AS60"/>
    <mergeCell ref="AW60:AY60"/>
    <mergeCell ref="AZ60:BB60"/>
    <mergeCell ref="BC60:BE60"/>
    <mergeCell ref="BF60:BH60"/>
    <mergeCell ref="BI60:BK60"/>
    <mergeCell ref="P58:R58"/>
    <mergeCell ref="S58:U58"/>
    <mergeCell ref="V58:X58"/>
    <mergeCell ref="Y58:AA58"/>
    <mergeCell ref="AZ59:BB59"/>
    <mergeCell ref="BC59:BE59"/>
    <mergeCell ref="BF59:BH59"/>
    <mergeCell ref="BI59:BK59"/>
    <mergeCell ref="BL59:BN59"/>
    <mergeCell ref="BO57:BR57"/>
    <mergeCell ref="AH57:AJ57"/>
    <mergeCell ref="AK57:AM57"/>
    <mergeCell ref="AN57:AP57"/>
    <mergeCell ref="AQ57:AS57"/>
    <mergeCell ref="AT57:AV57"/>
    <mergeCell ref="AW57:AY57"/>
    <mergeCell ref="B59:C59"/>
    <mergeCell ref="D59:O59"/>
    <mergeCell ref="P59:R59"/>
    <mergeCell ref="S59:U59"/>
    <mergeCell ref="V59:X59"/>
    <mergeCell ref="Y59:AA59"/>
    <mergeCell ref="AB59:AD59"/>
    <mergeCell ref="AE59:AG59"/>
    <mergeCell ref="AT58:AV58"/>
    <mergeCell ref="AB58:AD58"/>
    <mergeCell ref="AE58:AG58"/>
    <mergeCell ref="AH58:AJ58"/>
    <mergeCell ref="AK58:AM58"/>
    <mergeCell ref="AN58:AP58"/>
    <mergeCell ref="AQ58:AS58"/>
    <mergeCell ref="B58:C58"/>
    <mergeCell ref="D58:O58"/>
    <mergeCell ref="BC56:BE56"/>
    <mergeCell ref="BF56:BH56"/>
    <mergeCell ref="BI56:BK56"/>
    <mergeCell ref="AB56:AD56"/>
    <mergeCell ref="AE56:AG56"/>
    <mergeCell ref="BC57:BE57"/>
    <mergeCell ref="BF57:BH57"/>
    <mergeCell ref="BI57:BK57"/>
    <mergeCell ref="BL57:BN57"/>
    <mergeCell ref="B56:C56"/>
    <mergeCell ref="D56:O56"/>
    <mergeCell ref="AZ57:BB57"/>
    <mergeCell ref="P56:R56"/>
    <mergeCell ref="S56:U56"/>
    <mergeCell ref="V56:X56"/>
    <mergeCell ref="Y56:AA56"/>
    <mergeCell ref="BL58:BN58"/>
    <mergeCell ref="BO58:BR58"/>
    <mergeCell ref="AW58:AY58"/>
    <mergeCell ref="AZ58:BB58"/>
    <mergeCell ref="BC58:BE58"/>
    <mergeCell ref="BF58:BH58"/>
    <mergeCell ref="BI58:BK58"/>
    <mergeCell ref="BO56:BR56"/>
    <mergeCell ref="B57:C57"/>
    <mergeCell ref="D57:O57"/>
    <mergeCell ref="P57:R57"/>
    <mergeCell ref="S57:U57"/>
    <mergeCell ref="V57:X57"/>
    <mergeCell ref="Y57:AA57"/>
    <mergeCell ref="AB57:AD57"/>
    <mergeCell ref="AE57:AG57"/>
    <mergeCell ref="AT56:AV56"/>
    <mergeCell ref="BC54:BE55"/>
    <mergeCell ref="BF54:BH55"/>
    <mergeCell ref="BI54:BK55"/>
    <mergeCell ref="BL54:BN55"/>
    <mergeCell ref="P55:R55"/>
    <mergeCell ref="S55:U55"/>
    <mergeCell ref="BL56:BN56"/>
    <mergeCell ref="BC52:BN53"/>
    <mergeCell ref="AH50:AJ55"/>
    <mergeCell ref="AK50:AM55"/>
    <mergeCell ref="AQ50:AS51"/>
    <mergeCell ref="AT50:AV51"/>
    <mergeCell ref="AW50:AY51"/>
    <mergeCell ref="AZ50:BB51"/>
    <mergeCell ref="AQ54:AS55"/>
    <mergeCell ref="AT54:AV55"/>
    <mergeCell ref="AW54:AY55"/>
    <mergeCell ref="AZ54:BB55"/>
    <mergeCell ref="AH56:AJ56"/>
    <mergeCell ref="AK56:AM56"/>
    <mergeCell ref="AN56:AP56"/>
    <mergeCell ref="AQ56:AS56"/>
    <mergeCell ref="AW56:AY56"/>
    <mergeCell ref="AZ56:BB56"/>
    <mergeCell ref="A44:BR45"/>
    <mergeCell ref="A46:A55"/>
    <mergeCell ref="B46:C55"/>
    <mergeCell ref="D46:O55"/>
    <mergeCell ref="P46:AP47"/>
    <mergeCell ref="AQ46:BB47"/>
    <mergeCell ref="BC46:BN47"/>
    <mergeCell ref="BO46:BR55"/>
    <mergeCell ref="P48:U54"/>
    <mergeCell ref="V48:AM49"/>
    <mergeCell ref="AN48:AP55"/>
    <mergeCell ref="AQ48:AV49"/>
    <mergeCell ref="AW48:BB49"/>
    <mergeCell ref="BC48:BH49"/>
    <mergeCell ref="BI48:BN49"/>
    <mergeCell ref="V50:X55"/>
    <mergeCell ref="Y50:AA55"/>
    <mergeCell ref="AB50:AD55"/>
    <mergeCell ref="AE50:AG55"/>
    <mergeCell ref="BC50:BE51"/>
    <mergeCell ref="BF50:BH51"/>
    <mergeCell ref="BI50:BK51"/>
    <mergeCell ref="BL50:BN51"/>
    <mergeCell ref="AQ52:BB53"/>
    <mergeCell ref="BM37:BN37"/>
    <mergeCell ref="BO37:BP37"/>
    <mergeCell ref="BQ37:BR37"/>
    <mergeCell ref="B39:C41"/>
    <mergeCell ref="D39:J41"/>
    <mergeCell ref="K39:N41"/>
    <mergeCell ref="O39:R41"/>
    <mergeCell ref="S39:U41"/>
    <mergeCell ref="V39:AA41"/>
    <mergeCell ref="AB39:AD41"/>
    <mergeCell ref="A37:BB37"/>
    <mergeCell ref="BC37:BD37"/>
    <mergeCell ref="BE37:BF37"/>
    <mergeCell ref="BG37:BH37"/>
    <mergeCell ref="BI37:BJ37"/>
    <mergeCell ref="BK37:BL37"/>
    <mergeCell ref="BH39:BN41"/>
    <mergeCell ref="AF39:AM41"/>
    <mergeCell ref="AN39:AP41"/>
    <mergeCell ref="AR39:AU41"/>
    <mergeCell ref="AW39:AY41"/>
    <mergeCell ref="AZ39:BC41"/>
    <mergeCell ref="BD39:BG41"/>
    <mergeCell ref="A36:B36"/>
    <mergeCell ref="BC36:BD36"/>
    <mergeCell ref="BE36:BF36"/>
    <mergeCell ref="BG36:BH36"/>
    <mergeCell ref="BI36:BJ36"/>
    <mergeCell ref="BK36:BL36"/>
    <mergeCell ref="BM36:BN36"/>
    <mergeCell ref="BO36:BP36"/>
    <mergeCell ref="BQ36:BR36"/>
    <mergeCell ref="A35:B35"/>
    <mergeCell ref="BC35:BD35"/>
    <mergeCell ref="BW32:BX34"/>
    <mergeCell ref="BY32:CA34"/>
    <mergeCell ref="C33:F33"/>
    <mergeCell ref="G33:J33"/>
    <mergeCell ref="K33:O33"/>
    <mergeCell ref="P33:S33"/>
    <mergeCell ref="T33:X33"/>
    <mergeCell ref="Y33:AB33"/>
    <mergeCell ref="AC33:AF33"/>
    <mergeCell ref="AG33:AJ33"/>
    <mergeCell ref="BQ31:BR34"/>
    <mergeCell ref="BT31:CA31"/>
    <mergeCell ref="BQ35:BR35"/>
    <mergeCell ref="BE35:BF35"/>
    <mergeCell ref="BG35:BH35"/>
    <mergeCell ref="BI35:BJ35"/>
    <mergeCell ref="BK35:BL35"/>
    <mergeCell ref="BM35:BN35"/>
    <mergeCell ref="BO35:BP35"/>
    <mergeCell ref="CB31:CC34"/>
    <mergeCell ref="CD31:CE34"/>
    <mergeCell ref="CF31:CG34"/>
    <mergeCell ref="BE32:BF34"/>
    <mergeCell ref="BG32:BH34"/>
    <mergeCell ref="BI32:BJ34"/>
    <mergeCell ref="BK32:BL34"/>
    <mergeCell ref="BT32:BV34"/>
    <mergeCell ref="A23:Q26"/>
    <mergeCell ref="R23:AY26"/>
    <mergeCell ref="AZ23:BR26"/>
    <mergeCell ref="A29:BR30"/>
    <mergeCell ref="A31:B34"/>
    <mergeCell ref="C31:BB32"/>
    <mergeCell ref="BC31:BD34"/>
    <mergeCell ref="BE31:BL31"/>
    <mergeCell ref="BM31:BN34"/>
    <mergeCell ref="BO31:BP34"/>
    <mergeCell ref="AK33:AO33"/>
    <mergeCell ref="AP33:AS33"/>
    <mergeCell ref="AT33:AX33"/>
    <mergeCell ref="AY33:BB33"/>
    <mergeCell ref="A15:Q18"/>
    <mergeCell ref="R15:AY18"/>
    <mergeCell ref="AZ15:BR18"/>
    <mergeCell ref="A19:Q22"/>
    <mergeCell ref="R19:AY22"/>
    <mergeCell ref="AZ19:BR22"/>
    <mergeCell ref="A1:BR2"/>
    <mergeCell ref="A3:BR4"/>
    <mergeCell ref="A7:Q10"/>
    <mergeCell ref="R7:AY10"/>
    <mergeCell ref="AZ7:BR10"/>
    <mergeCell ref="A11:Q14"/>
    <mergeCell ref="R11:AY14"/>
    <mergeCell ref="AZ11:BR14"/>
  </mergeCells>
  <conditionalFormatting sqref="BW57:BW83">
    <cfRule type="expression" dxfId="3" priority="2">
      <formula>BV57=0</formula>
    </cfRule>
  </conditionalFormatting>
  <conditionalFormatting sqref="BZ57:BZ83">
    <cfRule type="expression" dxfId="2" priority="1">
      <formula>BY57=0</formula>
    </cfRule>
  </conditionalFormatting>
  <pageMargins left="0.19685039370078741" right="0.19685039370078741" top="0.19685039370078741" bottom="0.19685039370078741" header="0.31496062992125984" footer="0.31496062992125984"/>
  <pageSetup paperSize="9" scale="5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146"/>
  <sheetViews>
    <sheetView view="pageBreakPreview" topLeftCell="A42" zoomScale="70" zoomScaleNormal="40" zoomScaleSheetLayoutView="70" workbookViewId="0">
      <selection activeCell="D66" sqref="D66:O66"/>
    </sheetView>
  </sheetViews>
  <sheetFormatPr defaultColWidth="9.140625" defaultRowHeight="15.75" x14ac:dyDescent="0.25"/>
  <cols>
    <col min="1" max="1" width="12.28515625" style="2" customWidth="1"/>
    <col min="2" max="2" width="12.28515625" style="65" customWidth="1"/>
    <col min="3" max="3" width="3.85546875" style="65" customWidth="1"/>
    <col min="4" max="70" width="3.85546875" style="2" customWidth="1"/>
    <col min="71" max="74" width="6.5703125" style="1" customWidth="1"/>
    <col min="75" max="75" width="15.42578125" style="1" customWidth="1"/>
    <col min="76" max="77" width="6.5703125" style="1" customWidth="1"/>
    <col min="78" max="78" width="15.42578125" style="1" customWidth="1"/>
    <col min="79" max="16384" width="9.140625" style="2"/>
  </cols>
  <sheetData>
    <row r="1" spans="1:70" ht="14.25" customHeight="1" x14ac:dyDescent="0.25">
      <c r="A1" s="140" t="s">
        <v>252</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c r="BD1" s="140"/>
      <c r="BE1" s="140"/>
      <c r="BF1" s="140"/>
      <c r="BG1" s="140"/>
      <c r="BH1" s="140"/>
      <c r="BI1" s="140"/>
      <c r="BJ1" s="140"/>
      <c r="BK1" s="140"/>
      <c r="BL1" s="140"/>
      <c r="BM1" s="140"/>
      <c r="BN1" s="140"/>
      <c r="BO1" s="140"/>
      <c r="BP1" s="140"/>
      <c r="BQ1" s="140"/>
      <c r="BR1" s="140"/>
    </row>
    <row r="2" spans="1:70" ht="14.25" customHeight="1" x14ac:dyDescent="0.25">
      <c r="A2" s="140"/>
      <c r="B2" s="140"/>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c r="AH2" s="140"/>
      <c r="AI2" s="140"/>
      <c r="AJ2" s="140"/>
      <c r="AK2" s="140"/>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row>
    <row r="3" spans="1:70" ht="14.25" customHeight="1" x14ac:dyDescent="0.25">
      <c r="A3" s="140" t="s">
        <v>56</v>
      </c>
      <c r="B3" s="140"/>
      <c r="C3" s="140"/>
      <c r="D3" s="140"/>
      <c r="E3" s="140"/>
      <c r="F3" s="140"/>
      <c r="G3" s="140"/>
      <c r="H3" s="140"/>
      <c r="I3" s="140"/>
      <c r="J3" s="140"/>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row>
    <row r="4" spans="1:70" ht="14.25" customHeight="1" x14ac:dyDescent="0.25">
      <c r="A4" s="140"/>
      <c r="B4" s="140"/>
      <c r="C4" s="140"/>
      <c r="D4" s="140"/>
      <c r="E4" s="140"/>
      <c r="F4" s="140"/>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row>
    <row r="5" spans="1:70" ht="14.25" customHeight="1" x14ac:dyDescent="0.25">
      <c r="A5" s="67"/>
      <c r="B5" s="67"/>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row>
    <row r="6" spans="1:70" ht="14.25" customHeight="1" x14ac:dyDescent="0.25">
      <c r="A6" s="67"/>
      <c r="B6" s="67"/>
      <c r="C6" s="67"/>
      <c r="D6" s="67"/>
      <c r="E6" s="67"/>
      <c r="F6" s="67"/>
      <c r="G6" s="67"/>
      <c r="H6" s="67"/>
      <c r="I6" s="67"/>
      <c r="J6" s="67"/>
      <c r="K6" s="67"/>
      <c r="L6" s="67"/>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row>
    <row r="7" spans="1:70" ht="14.25" customHeight="1" x14ac:dyDescent="0.25">
      <c r="A7" s="170" t="s">
        <v>57</v>
      </c>
      <c r="B7" s="170"/>
      <c r="C7" s="170"/>
      <c r="D7" s="170"/>
      <c r="E7" s="170"/>
      <c r="F7" s="170"/>
      <c r="G7" s="170"/>
      <c r="H7" s="170"/>
      <c r="I7" s="170"/>
      <c r="J7" s="170"/>
      <c r="K7" s="170"/>
      <c r="L7" s="170"/>
      <c r="M7" s="170"/>
      <c r="N7" s="170"/>
      <c r="O7" s="170"/>
      <c r="P7" s="170"/>
      <c r="Q7" s="170"/>
      <c r="R7" s="170" t="s">
        <v>239</v>
      </c>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t="s">
        <v>64</v>
      </c>
      <c r="BA7" s="170"/>
      <c r="BB7" s="170"/>
      <c r="BC7" s="170"/>
      <c r="BD7" s="170"/>
      <c r="BE7" s="170"/>
      <c r="BF7" s="170"/>
      <c r="BG7" s="170"/>
      <c r="BH7" s="170"/>
      <c r="BI7" s="170"/>
      <c r="BJ7" s="170"/>
      <c r="BK7" s="170"/>
      <c r="BL7" s="170"/>
      <c r="BM7" s="170"/>
      <c r="BN7" s="170"/>
      <c r="BO7" s="170"/>
      <c r="BP7" s="170"/>
      <c r="BQ7" s="170"/>
      <c r="BR7" s="170"/>
    </row>
    <row r="8" spans="1:70" ht="14.25" customHeight="1" x14ac:dyDescent="0.25">
      <c r="A8" s="170"/>
      <c r="B8" s="170"/>
      <c r="C8" s="170"/>
      <c r="D8" s="170"/>
      <c r="E8" s="170"/>
      <c r="F8" s="170"/>
      <c r="G8" s="170"/>
      <c r="H8" s="170"/>
      <c r="I8" s="170"/>
      <c r="J8" s="170"/>
      <c r="K8" s="170"/>
      <c r="L8" s="170"/>
      <c r="M8" s="170"/>
      <c r="N8" s="170"/>
      <c r="O8" s="170"/>
      <c r="P8" s="170"/>
      <c r="Q8" s="170"/>
      <c r="R8" s="170"/>
      <c r="S8" s="170"/>
      <c r="T8" s="170"/>
      <c r="U8" s="170"/>
      <c r="V8" s="170"/>
      <c r="W8" s="170"/>
      <c r="X8" s="170"/>
      <c r="Y8" s="170"/>
      <c r="Z8" s="170"/>
      <c r="AA8" s="170"/>
      <c r="AB8" s="170"/>
      <c r="AC8" s="170"/>
      <c r="AD8" s="170"/>
      <c r="AE8" s="170"/>
      <c r="AF8" s="170"/>
      <c r="AG8" s="170"/>
      <c r="AH8" s="170"/>
      <c r="AI8" s="170"/>
      <c r="AJ8" s="170"/>
      <c r="AK8" s="170"/>
      <c r="AL8" s="170"/>
      <c r="AM8" s="170"/>
      <c r="AN8" s="170"/>
      <c r="AO8" s="170"/>
      <c r="AP8" s="170"/>
      <c r="AQ8" s="170"/>
      <c r="AR8" s="170"/>
      <c r="AS8" s="170"/>
      <c r="AT8" s="170"/>
      <c r="AU8" s="170"/>
      <c r="AV8" s="170"/>
      <c r="AW8" s="170"/>
      <c r="AX8" s="170"/>
      <c r="AY8" s="170"/>
      <c r="AZ8" s="170"/>
      <c r="BA8" s="170"/>
      <c r="BB8" s="170"/>
      <c r="BC8" s="170"/>
      <c r="BD8" s="170"/>
      <c r="BE8" s="170"/>
      <c r="BF8" s="170"/>
      <c r="BG8" s="170"/>
      <c r="BH8" s="170"/>
      <c r="BI8" s="170"/>
      <c r="BJ8" s="170"/>
      <c r="BK8" s="170"/>
      <c r="BL8" s="170"/>
      <c r="BM8" s="170"/>
      <c r="BN8" s="170"/>
      <c r="BO8" s="170"/>
      <c r="BP8" s="170"/>
      <c r="BQ8" s="170"/>
      <c r="BR8" s="170"/>
    </row>
    <row r="9" spans="1:70" ht="14.25" customHeight="1" x14ac:dyDescent="0.25">
      <c r="A9" s="170"/>
      <c r="B9" s="170"/>
      <c r="C9" s="170"/>
      <c r="D9" s="170"/>
      <c r="E9" s="170"/>
      <c r="F9" s="170"/>
      <c r="G9" s="170"/>
      <c r="H9" s="170"/>
      <c r="I9" s="170"/>
      <c r="J9" s="170"/>
      <c r="K9" s="170"/>
      <c r="L9" s="170"/>
      <c r="M9" s="170"/>
      <c r="N9" s="170"/>
      <c r="O9" s="170"/>
      <c r="P9" s="170"/>
      <c r="Q9" s="170"/>
      <c r="R9" s="170"/>
      <c r="S9" s="170"/>
      <c r="T9" s="170"/>
      <c r="U9" s="170"/>
      <c r="V9" s="170"/>
      <c r="W9" s="170"/>
      <c r="X9" s="170"/>
      <c r="Y9" s="170"/>
      <c r="Z9" s="170"/>
      <c r="AA9" s="170"/>
      <c r="AB9" s="170"/>
      <c r="AC9" s="170"/>
      <c r="AD9" s="170"/>
      <c r="AE9" s="170"/>
      <c r="AF9" s="170"/>
      <c r="AG9" s="170"/>
      <c r="AH9" s="170"/>
      <c r="AI9" s="170"/>
      <c r="AJ9" s="170"/>
      <c r="AK9" s="170"/>
      <c r="AL9" s="170"/>
      <c r="AM9" s="170"/>
      <c r="AN9" s="170"/>
      <c r="AO9" s="170"/>
      <c r="AP9" s="170"/>
      <c r="AQ9" s="170"/>
      <c r="AR9" s="170"/>
      <c r="AS9" s="170"/>
      <c r="AT9" s="170"/>
      <c r="AU9" s="170"/>
      <c r="AV9" s="170"/>
      <c r="AW9" s="170"/>
      <c r="AX9" s="170"/>
      <c r="AY9" s="170"/>
      <c r="AZ9" s="170"/>
      <c r="BA9" s="170"/>
      <c r="BB9" s="170"/>
      <c r="BC9" s="170"/>
      <c r="BD9" s="170"/>
      <c r="BE9" s="170"/>
      <c r="BF9" s="170"/>
      <c r="BG9" s="170"/>
      <c r="BH9" s="170"/>
      <c r="BI9" s="170"/>
      <c r="BJ9" s="170"/>
      <c r="BK9" s="170"/>
      <c r="BL9" s="170"/>
      <c r="BM9" s="170"/>
      <c r="BN9" s="170"/>
      <c r="BO9" s="170"/>
      <c r="BP9" s="170"/>
      <c r="BQ9" s="170"/>
      <c r="BR9" s="170"/>
    </row>
    <row r="10" spans="1:70" ht="14.25" customHeight="1" x14ac:dyDescent="0.25">
      <c r="A10" s="170"/>
      <c r="B10" s="170"/>
      <c r="C10" s="170"/>
      <c r="D10" s="170"/>
      <c r="E10" s="170"/>
      <c r="F10" s="170"/>
      <c r="G10" s="170"/>
      <c r="H10" s="170"/>
      <c r="I10" s="170"/>
      <c r="J10" s="170"/>
      <c r="K10" s="170"/>
      <c r="L10" s="170"/>
      <c r="M10" s="170"/>
      <c r="N10" s="170"/>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0"/>
      <c r="AM10" s="170"/>
      <c r="AN10" s="170"/>
      <c r="AO10" s="170"/>
      <c r="AP10" s="170"/>
      <c r="AQ10" s="170"/>
      <c r="AR10" s="170"/>
      <c r="AS10" s="170"/>
      <c r="AT10" s="170"/>
      <c r="AU10" s="170"/>
      <c r="AV10" s="170"/>
      <c r="AW10" s="170"/>
      <c r="AX10" s="170"/>
      <c r="AY10" s="170"/>
      <c r="AZ10" s="170"/>
      <c r="BA10" s="170"/>
      <c r="BB10" s="170"/>
      <c r="BC10" s="170"/>
      <c r="BD10" s="170"/>
      <c r="BE10" s="170"/>
      <c r="BF10" s="170"/>
      <c r="BG10" s="170"/>
      <c r="BH10" s="170"/>
      <c r="BI10" s="170"/>
      <c r="BJ10" s="170"/>
      <c r="BK10" s="170"/>
      <c r="BL10" s="170"/>
      <c r="BM10" s="170"/>
      <c r="BN10" s="170"/>
      <c r="BO10" s="170"/>
      <c r="BP10" s="170"/>
      <c r="BQ10" s="170"/>
      <c r="BR10" s="170"/>
    </row>
    <row r="11" spans="1:70" ht="14.25" customHeight="1" x14ac:dyDescent="0.25">
      <c r="A11" s="171" t="s">
        <v>58</v>
      </c>
      <c r="B11" s="171"/>
      <c r="C11" s="171"/>
      <c r="D11" s="171"/>
      <c r="E11" s="171"/>
      <c r="F11" s="171"/>
      <c r="G11" s="171"/>
      <c r="H11" s="171"/>
      <c r="I11" s="171"/>
      <c r="J11" s="171"/>
      <c r="K11" s="171"/>
      <c r="L11" s="171"/>
      <c r="M11" s="171"/>
      <c r="N11" s="171"/>
      <c r="O11" s="171"/>
      <c r="P11" s="171"/>
      <c r="Q11" s="171"/>
      <c r="R11" s="174" t="s">
        <v>72</v>
      </c>
      <c r="S11" s="174"/>
      <c r="T11" s="174"/>
      <c r="U11" s="174"/>
      <c r="V11" s="174"/>
      <c r="W11" s="174"/>
      <c r="X11" s="174"/>
      <c r="Y11" s="174"/>
      <c r="Z11" s="174"/>
      <c r="AA11" s="174"/>
      <c r="AB11" s="174"/>
      <c r="AC11" s="174"/>
      <c r="AD11" s="174"/>
      <c r="AE11" s="174"/>
      <c r="AF11" s="174"/>
      <c r="AG11" s="174"/>
      <c r="AH11" s="174"/>
      <c r="AI11" s="174"/>
      <c r="AJ11" s="174"/>
      <c r="AK11" s="174"/>
      <c r="AL11" s="174"/>
      <c r="AM11" s="174"/>
      <c r="AN11" s="174"/>
      <c r="AO11" s="174"/>
      <c r="AP11" s="174"/>
      <c r="AQ11" s="174"/>
      <c r="AR11" s="174"/>
      <c r="AS11" s="174"/>
      <c r="AT11" s="174"/>
      <c r="AU11" s="174"/>
      <c r="AV11" s="174"/>
      <c r="AW11" s="174"/>
      <c r="AX11" s="174"/>
      <c r="AY11" s="174"/>
      <c r="AZ11" s="171" t="s">
        <v>63</v>
      </c>
      <c r="BA11" s="170"/>
      <c r="BB11" s="170"/>
      <c r="BC11" s="170"/>
      <c r="BD11" s="170"/>
      <c r="BE11" s="170"/>
      <c r="BF11" s="170"/>
      <c r="BG11" s="170"/>
      <c r="BH11" s="170"/>
      <c r="BI11" s="170"/>
      <c r="BJ11" s="170"/>
      <c r="BK11" s="170"/>
      <c r="BL11" s="170"/>
      <c r="BM11" s="170"/>
      <c r="BN11" s="170"/>
      <c r="BO11" s="170"/>
      <c r="BP11" s="170"/>
      <c r="BQ11" s="170"/>
      <c r="BR11" s="170"/>
    </row>
    <row r="12" spans="1:70" ht="14.25" customHeight="1" x14ac:dyDescent="0.25">
      <c r="A12" s="171"/>
      <c r="B12" s="171"/>
      <c r="C12" s="171"/>
      <c r="D12" s="171"/>
      <c r="E12" s="171"/>
      <c r="F12" s="171"/>
      <c r="G12" s="171"/>
      <c r="H12" s="171"/>
      <c r="I12" s="171"/>
      <c r="J12" s="171"/>
      <c r="K12" s="171"/>
      <c r="L12" s="171"/>
      <c r="M12" s="171"/>
      <c r="N12" s="171"/>
      <c r="O12" s="171"/>
      <c r="P12" s="171"/>
      <c r="Q12" s="171"/>
      <c r="R12" s="174"/>
      <c r="S12" s="174"/>
      <c r="T12" s="174"/>
      <c r="U12" s="174"/>
      <c r="V12" s="174"/>
      <c r="W12" s="174"/>
      <c r="X12" s="174"/>
      <c r="Y12" s="174"/>
      <c r="Z12" s="174"/>
      <c r="AA12" s="174"/>
      <c r="AB12" s="174"/>
      <c r="AC12" s="174"/>
      <c r="AD12" s="174"/>
      <c r="AE12" s="174"/>
      <c r="AF12" s="174"/>
      <c r="AG12" s="174"/>
      <c r="AH12" s="174"/>
      <c r="AI12" s="174"/>
      <c r="AJ12" s="174"/>
      <c r="AK12" s="174"/>
      <c r="AL12" s="174"/>
      <c r="AM12" s="174"/>
      <c r="AN12" s="174"/>
      <c r="AO12" s="174"/>
      <c r="AP12" s="174"/>
      <c r="AQ12" s="174"/>
      <c r="AR12" s="174"/>
      <c r="AS12" s="174"/>
      <c r="AT12" s="174"/>
      <c r="AU12" s="174"/>
      <c r="AV12" s="174"/>
      <c r="AW12" s="174"/>
      <c r="AX12" s="174"/>
      <c r="AY12" s="174"/>
      <c r="AZ12" s="171"/>
      <c r="BA12" s="170"/>
      <c r="BB12" s="170"/>
      <c r="BC12" s="170"/>
      <c r="BD12" s="170"/>
      <c r="BE12" s="170"/>
      <c r="BF12" s="170"/>
      <c r="BG12" s="170"/>
      <c r="BH12" s="170"/>
      <c r="BI12" s="170"/>
      <c r="BJ12" s="170"/>
      <c r="BK12" s="170"/>
      <c r="BL12" s="170"/>
      <c r="BM12" s="170"/>
      <c r="BN12" s="170"/>
      <c r="BO12" s="170"/>
      <c r="BP12" s="170"/>
      <c r="BQ12" s="170"/>
      <c r="BR12" s="170"/>
    </row>
    <row r="13" spans="1:70" ht="14.25" customHeight="1" x14ac:dyDescent="0.25">
      <c r="A13" s="171"/>
      <c r="B13" s="171"/>
      <c r="C13" s="171"/>
      <c r="D13" s="171"/>
      <c r="E13" s="171"/>
      <c r="F13" s="171"/>
      <c r="G13" s="171"/>
      <c r="H13" s="171"/>
      <c r="I13" s="171"/>
      <c r="J13" s="171"/>
      <c r="K13" s="171"/>
      <c r="L13" s="171"/>
      <c r="M13" s="171"/>
      <c r="N13" s="171"/>
      <c r="O13" s="171"/>
      <c r="P13" s="171"/>
      <c r="Q13" s="171"/>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1"/>
      <c r="BA13" s="170"/>
      <c r="BB13" s="170"/>
      <c r="BC13" s="170"/>
      <c r="BD13" s="170"/>
      <c r="BE13" s="170"/>
      <c r="BF13" s="170"/>
      <c r="BG13" s="170"/>
      <c r="BH13" s="170"/>
      <c r="BI13" s="170"/>
      <c r="BJ13" s="170"/>
      <c r="BK13" s="170"/>
      <c r="BL13" s="170"/>
      <c r="BM13" s="170"/>
      <c r="BN13" s="170"/>
      <c r="BO13" s="170"/>
      <c r="BP13" s="170"/>
      <c r="BQ13" s="170"/>
      <c r="BR13" s="170"/>
    </row>
    <row r="14" spans="1:70" ht="14.25" customHeight="1" x14ac:dyDescent="0.25">
      <c r="A14" s="171"/>
      <c r="B14" s="171"/>
      <c r="C14" s="171"/>
      <c r="D14" s="171"/>
      <c r="E14" s="171"/>
      <c r="F14" s="171"/>
      <c r="G14" s="171"/>
      <c r="H14" s="171"/>
      <c r="I14" s="171"/>
      <c r="J14" s="171"/>
      <c r="K14" s="171"/>
      <c r="L14" s="171"/>
      <c r="M14" s="171"/>
      <c r="N14" s="171"/>
      <c r="O14" s="171"/>
      <c r="P14" s="171"/>
      <c r="Q14" s="171"/>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0"/>
      <c r="BA14" s="170"/>
      <c r="BB14" s="170"/>
      <c r="BC14" s="170"/>
      <c r="BD14" s="170"/>
      <c r="BE14" s="170"/>
      <c r="BF14" s="170"/>
      <c r="BG14" s="170"/>
      <c r="BH14" s="170"/>
      <c r="BI14" s="170"/>
      <c r="BJ14" s="170"/>
      <c r="BK14" s="170"/>
      <c r="BL14" s="170"/>
      <c r="BM14" s="170"/>
      <c r="BN14" s="170"/>
      <c r="BO14" s="170"/>
      <c r="BP14" s="170"/>
      <c r="BQ14" s="170"/>
      <c r="BR14" s="170"/>
    </row>
    <row r="15" spans="1:70" ht="14.25" customHeight="1" x14ac:dyDescent="0.25">
      <c r="A15" s="170" t="s">
        <v>59</v>
      </c>
      <c r="B15" s="170"/>
      <c r="C15" s="170"/>
      <c r="D15" s="170"/>
      <c r="E15" s="170"/>
      <c r="F15" s="170"/>
      <c r="G15" s="170"/>
      <c r="H15" s="170"/>
      <c r="I15" s="170"/>
      <c r="J15" s="170"/>
      <c r="K15" s="170"/>
      <c r="L15" s="170"/>
      <c r="M15" s="170"/>
      <c r="N15" s="170"/>
      <c r="O15" s="170"/>
      <c r="P15" s="170"/>
      <c r="Q15" s="170"/>
      <c r="R15" s="175" t="s">
        <v>264</v>
      </c>
      <c r="S15" s="175"/>
      <c r="T15" s="175"/>
      <c r="U15" s="175"/>
      <c r="V15" s="175"/>
      <c r="W15" s="175"/>
      <c r="X15" s="175"/>
      <c r="Y15" s="175"/>
      <c r="Z15" s="175"/>
      <c r="AA15" s="175"/>
      <c r="AB15" s="175"/>
      <c r="AC15" s="175"/>
      <c r="AD15" s="175"/>
      <c r="AE15" s="175"/>
      <c r="AF15" s="175"/>
      <c r="AG15" s="175"/>
      <c r="AH15" s="175"/>
      <c r="AI15" s="175"/>
      <c r="AJ15" s="175"/>
      <c r="AK15" s="175"/>
      <c r="AL15" s="175"/>
      <c r="AM15" s="175"/>
      <c r="AN15" s="175"/>
      <c r="AO15" s="175"/>
      <c r="AP15" s="175"/>
      <c r="AQ15" s="175"/>
      <c r="AR15" s="175"/>
      <c r="AS15" s="175"/>
      <c r="AT15" s="175"/>
      <c r="AU15" s="175"/>
      <c r="AV15" s="175"/>
      <c r="AW15" s="175"/>
      <c r="AX15" s="175"/>
      <c r="AY15" s="175"/>
      <c r="AZ15" s="170" t="s">
        <v>62</v>
      </c>
      <c r="BA15" s="170"/>
      <c r="BB15" s="170"/>
      <c r="BC15" s="170"/>
      <c r="BD15" s="170"/>
      <c r="BE15" s="170"/>
      <c r="BF15" s="170"/>
      <c r="BG15" s="170"/>
      <c r="BH15" s="170"/>
      <c r="BI15" s="170"/>
      <c r="BJ15" s="170"/>
      <c r="BK15" s="170"/>
      <c r="BL15" s="170"/>
      <c r="BM15" s="170"/>
      <c r="BN15" s="170"/>
      <c r="BO15" s="170"/>
      <c r="BP15" s="170"/>
      <c r="BQ15" s="170"/>
      <c r="BR15" s="170"/>
    </row>
    <row r="16" spans="1:70" ht="14.25" customHeight="1" x14ac:dyDescent="0.25">
      <c r="A16" s="170"/>
      <c r="B16" s="170"/>
      <c r="C16" s="170"/>
      <c r="D16" s="170"/>
      <c r="E16" s="170"/>
      <c r="F16" s="170"/>
      <c r="G16" s="170"/>
      <c r="H16" s="170"/>
      <c r="I16" s="170"/>
      <c r="J16" s="170"/>
      <c r="K16" s="170"/>
      <c r="L16" s="170"/>
      <c r="M16" s="170"/>
      <c r="N16" s="170"/>
      <c r="O16" s="170"/>
      <c r="P16" s="170"/>
      <c r="Q16" s="170"/>
      <c r="R16" s="175"/>
      <c r="S16" s="175"/>
      <c r="T16" s="175"/>
      <c r="U16" s="175"/>
      <c r="V16" s="175"/>
      <c r="W16" s="175"/>
      <c r="X16" s="175"/>
      <c r="Y16" s="175"/>
      <c r="Z16" s="175"/>
      <c r="AA16" s="175"/>
      <c r="AB16" s="175"/>
      <c r="AC16" s="175"/>
      <c r="AD16" s="175"/>
      <c r="AE16" s="175"/>
      <c r="AF16" s="175"/>
      <c r="AG16" s="175"/>
      <c r="AH16" s="175"/>
      <c r="AI16" s="175"/>
      <c r="AJ16" s="175"/>
      <c r="AK16" s="175"/>
      <c r="AL16" s="175"/>
      <c r="AM16" s="175"/>
      <c r="AN16" s="175"/>
      <c r="AO16" s="175"/>
      <c r="AP16" s="175"/>
      <c r="AQ16" s="175"/>
      <c r="AR16" s="175"/>
      <c r="AS16" s="175"/>
      <c r="AT16" s="175"/>
      <c r="AU16" s="175"/>
      <c r="AV16" s="175"/>
      <c r="AW16" s="175"/>
      <c r="AX16" s="175"/>
      <c r="AY16" s="175"/>
      <c r="AZ16" s="170"/>
      <c r="BA16" s="170"/>
      <c r="BB16" s="170"/>
      <c r="BC16" s="170"/>
      <c r="BD16" s="170"/>
      <c r="BE16" s="170"/>
      <c r="BF16" s="170"/>
      <c r="BG16" s="170"/>
      <c r="BH16" s="170"/>
      <c r="BI16" s="170"/>
      <c r="BJ16" s="170"/>
      <c r="BK16" s="170"/>
      <c r="BL16" s="170"/>
      <c r="BM16" s="170"/>
      <c r="BN16" s="170"/>
      <c r="BO16" s="170"/>
      <c r="BP16" s="170"/>
      <c r="BQ16" s="170"/>
      <c r="BR16" s="170"/>
    </row>
    <row r="17" spans="1:85" ht="14.25" customHeight="1" x14ac:dyDescent="0.25">
      <c r="A17" s="170"/>
      <c r="B17" s="170"/>
      <c r="C17" s="170"/>
      <c r="D17" s="170"/>
      <c r="E17" s="170"/>
      <c r="F17" s="170"/>
      <c r="G17" s="170"/>
      <c r="H17" s="170"/>
      <c r="I17" s="170"/>
      <c r="J17" s="170"/>
      <c r="K17" s="170"/>
      <c r="L17" s="170"/>
      <c r="M17" s="170"/>
      <c r="N17" s="170"/>
      <c r="O17" s="170"/>
      <c r="P17" s="170"/>
      <c r="Q17" s="170"/>
      <c r="R17" s="175"/>
      <c r="S17" s="175"/>
      <c r="T17" s="175"/>
      <c r="U17" s="175"/>
      <c r="V17" s="175"/>
      <c r="W17" s="175"/>
      <c r="X17" s="175"/>
      <c r="Y17" s="175"/>
      <c r="Z17" s="175"/>
      <c r="AA17" s="175"/>
      <c r="AB17" s="175"/>
      <c r="AC17" s="175"/>
      <c r="AD17" s="175"/>
      <c r="AE17" s="175"/>
      <c r="AF17" s="175"/>
      <c r="AG17" s="175"/>
      <c r="AH17" s="175"/>
      <c r="AI17" s="175"/>
      <c r="AJ17" s="175"/>
      <c r="AK17" s="175"/>
      <c r="AL17" s="175"/>
      <c r="AM17" s="175"/>
      <c r="AN17" s="175"/>
      <c r="AO17" s="175"/>
      <c r="AP17" s="175"/>
      <c r="AQ17" s="175"/>
      <c r="AR17" s="175"/>
      <c r="AS17" s="175"/>
      <c r="AT17" s="175"/>
      <c r="AU17" s="175"/>
      <c r="AV17" s="175"/>
      <c r="AW17" s="175"/>
      <c r="AX17" s="175"/>
      <c r="AY17" s="175"/>
      <c r="AZ17" s="170"/>
      <c r="BA17" s="170"/>
      <c r="BB17" s="170"/>
      <c r="BC17" s="170"/>
      <c r="BD17" s="170"/>
      <c r="BE17" s="170"/>
      <c r="BF17" s="170"/>
      <c r="BG17" s="170"/>
      <c r="BH17" s="170"/>
      <c r="BI17" s="170"/>
      <c r="BJ17" s="170"/>
      <c r="BK17" s="170"/>
      <c r="BL17" s="170"/>
      <c r="BM17" s="170"/>
      <c r="BN17" s="170"/>
      <c r="BO17" s="170"/>
      <c r="BP17" s="170"/>
      <c r="BQ17" s="170"/>
      <c r="BR17" s="170"/>
    </row>
    <row r="18" spans="1:85" ht="14.25" customHeight="1" x14ac:dyDescent="0.25">
      <c r="A18" s="170"/>
      <c r="B18" s="170"/>
      <c r="C18" s="170"/>
      <c r="D18" s="170"/>
      <c r="E18" s="170"/>
      <c r="F18" s="170"/>
      <c r="G18" s="170"/>
      <c r="H18" s="170"/>
      <c r="I18" s="170"/>
      <c r="J18" s="170"/>
      <c r="K18" s="170"/>
      <c r="L18" s="170"/>
      <c r="M18" s="170"/>
      <c r="N18" s="170"/>
      <c r="O18" s="170"/>
      <c r="P18" s="170"/>
      <c r="Q18" s="170"/>
      <c r="R18" s="175"/>
      <c r="S18" s="175"/>
      <c r="T18" s="175"/>
      <c r="U18" s="175"/>
      <c r="V18" s="175"/>
      <c r="W18" s="175"/>
      <c r="X18" s="175"/>
      <c r="Y18" s="175"/>
      <c r="Z18" s="175"/>
      <c r="AA18" s="175"/>
      <c r="AB18" s="175"/>
      <c r="AC18" s="175"/>
      <c r="AD18" s="175"/>
      <c r="AE18" s="175"/>
      <c r="AF18" s="175"/>
      <c r="AG18" s="175"/>
      <c r="AH18" s="175"/>
      <c r="AI18" s="175"/>
      <c r="AJ18" s="175"/>
      <c r="AK18" s="175"/>
      <c r="AL18" s="175"/>
      <c r="AM18" s="175"/>
      <c r="AN18" s="175"/>
      <c r="AO18" s="175"/>
      <c r="AP18" s="175"/>
      <c r="AQ18" s="175"/>
      <c r="AR18" s="175"/>
      <c r="AS18" s="175"/>
      <c r="AT18" s="175"/>
      <c r="AU18" s="175"/>
      <c r="AV18" s="175"/>
      <c r="AW18" s="175"/>
      <c r="AX18" s="175"/>
      <c r="AY18" s="175"/>
      <c r="AZ18" s="170"/>
      <c r="BA18" s="170"/>
      <c r="BB18" s="170"/>
      <c r="BC18" s="170"/>
      <c r="BD18" s="170"/>
      <c r="BE18" s="170"/>
      <c r="BF18" s="170"/>
      <c r="BG18" s="170"/>
      <c r="BH18" s="170"/>
      <c r="BI18" s="170"/>
      <c r="BJ18" s="170"/>
      <c r="BK18" s="170"/>
      <c r="BL18" s="170"/>
      <c r="BM18" s="170"/>
      <c r="BN18" s="170"/>
      <c r="BO18" s="170"/>
      <c r="BP18" s="170"/>
      <c r="BQ18" s="170"/>
      <c r="BR18" s="170"/>
    </row>
    <row r="19" spans="1:85" ht="14.25" customHeight="1" x14ac:dyDescent="0.25">
      <c r="A19" s="170" t="s">
        <v>60</v>
      </c>
      <c r="B19" s="170"/>
      <c r="C19" s="170"/>
      <c r="D19" s="170"/>
      <c r="E19" s="170"/>
      <c r="F19" s="170"/>
      <c r="G19" s="170"/>
      <c r="H19" s="170"/>
      <c r="I19" s="170"/>
      <c r="J19" s="170"/>
      <c r="K19" s="170"/>
      <c r="L19" s="170"/>
      <c r="M19" s="170"/>
      <c r="N19" s="170"/>
      <c r="O19" s="170"/>
      <c r="P19" s="170"/>
      <c r="Q19" s="170"/>
      <c r="R19" s="170" t="s">
        <v>253</v>
      </c>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t="s">
        <v>235</v>
      </c>
      <c r="BA19" s="170"/>
      <c r="BB19" s="170"/>
      <c r="BC19" s="170"/>
      <c r="BD19" s="170"/>
      <c r="BE19" s="170"/>
      <c r="BF19" s="170"/>
      <c r="BG19" s="170"/>
      <c r="BH19" s="170"/>
      <c r="BI19" s="170"/>
      <c r="BJ19" s="170"/>
      <c r="BK19" s="170"/>
      <c r="BL19" s="170"/>
      <c r="BM19" s="170"/>
      <c r="BN19" s="170"/>
      <c r="BO19" s="170"/>
      <c r="BP19" s="170"/>
      <c r="BQ19" s="170"/>
      <c r="BR19" s="170"/>
    </row>
    <row r="20" spans="1:85" ht="14.25" customHeight="1" x14ac:dyDescent="0.25">
      <c r="A20" s="170"/>
      <c r="B20" s="170"/>
      <c r="C20" s="170"/>
      <c r="D20" s="170"/>
      <c r="E20" s="170"/>
      <c r="F20" s="170"/>
      <c r="G20" s="170"/>
      <c r="H20" s="170"/>
      <c r="I20" s="170"/>
      <c r="J20" s="170"/>
      <c r="K20" s="170"/>
      <c r="L20" s="170"/>
      <c r="M20" s="170"/>
      <c r="N20" s="170"/>
      <c r="O20" s="170"/>
      <c r="P20" s="170"/>
      <c r="Q20" s="170"/>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0"/>
      <c r="BD20" s="170"/>
      <c r="BE20" s="170"/>
      <c r="BF20" s="170"/>
      <c r="BG20" s="170"/>
      <c r="BH20" s="170"/>
      <c r="BI20" s="170"/>
      <c r="BJ20" s="170"/>
      <c r="BK20" s="170"/>
      <c r="BL20" s="170"/>
      <c r="BM20" s="170"/>
      <c r="BN20" s="170"/>
      <c r="BO20" s="170"/>
      <c r="BP20" s="170"/>
      <c r="BQ20" s="170"/>
      <c r="BR20" s="170"/>
    </row>
    <row r="21" spans="1:85" ht="14.25" customHeight="1" x14ac:dyDescent="0.25">
      <c r="A21" s="170"/>
      <c r="B21" s="170"/>
      <c r="C21" s="170"/>
      <c r="D21" s="170"/>
      <c r="E21" s="170"/>
      <c r="F21" s="170"/>
      <c r="G21" s="170"/>
      <c r="H21" s="170"/>
      <c r="I21" s="170"/>
      <c r="J21" s="170"/>
      <c r="K21" s="170"/>
      <c r="L21" s="170"/>
      <c r="M21" s="170"/>
      <c r="N21" s="170"/>
      <c r="O21" s="170"/>
      <c r="P21" s="170"/>
      <c r="Q21" s="170"/>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0"/>
      <c r="BD21" s="170"/>
      <c r="BE21" s="170"/>
      <c r="BF21" s="170"/>
      <c r="BG21" s="170"/>
      <c r="BH21" s="170"/>
      <c r="BI21" s="170"/>
      <c r="BJ21" s="170"/>
      <c r="BK21" s="170"/>
      <c r="BL21" s="170"/>
      <c r="BM21" s="170"/>
      <c r="BN21" s="170"/>
      <c r="BO21" s="170"/>
      <c r="BP21" s="170"/>
      <c r="BQ21" s="170"/>
      <c r="BR21" s="170"/>
    </row>
    <row r="22" spans="1:85" ht="14.25" customHeight="1" x14ac:dyDescent="0.25">
      <c r="A22" s="170"/>
      <c r="B22" s="170"/>
      <c r="C22" s="170"/>
      <c r="D22" s="170"/>
      <c r="E22" s="170"/>
      <c r="F22" s="170"/>
      <c r="G22" s="170"/>
      <c r="H22" s="170"/>
      <c r="I22" s="170"/>
      <c r="J22" s="170"/>
      <c r="K22" s="170"/>
      <c r="L22" s="170"/>
      <c r="M22" s="170"/>
      <c r="N22" s="170"/>
      <c r="O22" s="170"/>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0"/>
      <c r="BD22" s="170"/>
      <c r="BE22" s="170"/>
      <c r="BF22" s="170"/>
      <c r="BG22" s="170"/>
      <c r="BH22" s="170"/>
      <c r="BI22" s="170"/>
      <c r="BJ22" s="170"/>
      <c r="BK22" s="170"/>
      <c r="BL22" s="170"/>
      <c r="BM22" s="170"/>
      <c r="BN22" s="170"/>
      <c r="BO22" s="170"/>
      <c r="BP22" s="170"/>
      <c r="BQ22" s="170"/>
      <c r="BR22" s="170"/>
    </row>
    <row r="23" spans="1:85" ht="14.25" customHeight="1" x14ac:dyDescent="0.25">
      <c r="A23" s="173" t="s">
        <v>61</v>
      </c>
      <c r="B23" s="173"/>
      <c r="C23" s="173"/>
      <c r="D23" s="173"/>
      <c r="E23" s="173"/>
      <c r="F23" s="173"/>
      <c r="G23" s="173"/>
      <c r="H23" s="173"/>
      <c r="I23" s="173"/>
      <c r="J23" s="173"/>
      <c r="K23" s="173"/>
      <c r="L23" s="173"/>
      <c r="M23" s="173"/>
      <c r="N23" s="173"/>
      <c r="O23" s="173"/>
      <c r="P23" s="173"/>
      <c r="Q23" s="173"/>
      <c r="R23" s="170" t="s">
        <v>124</v>
      </c>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2"/>
      <c r="BA23" s="172"/>
      <c r="BB23" s="172"/>
      <c r="BC23" s="172"/>
      <c r="BD23" s="172"/>
      <c r="BE23" s="172"/>
      <c r="BF23" s="172"/>
      <c r="BG23" s="172"/>
      <c r="BH23" s="172"/>
      <c r="BI23" s="172"/>
      <c r="BJ23" s="172"/>
      <c r="BK23" s="172"/>
      <c r="BL23" s="172"/>
      <c r="BM23" s="172"/>
      <c r="BN23" s="172"/>
      <c r="BO23" s="172"/>
      <c r="BP23" s="172"/>
      <c r="BQ23" s="172"/>
      <c r="BR23" s="172"/>
    </row>
    <row r="24" spans="1:85" ht="14.25" customHeight="1" x14ac:dyDescent="0.25">
      <c r="A24" s="173"/>
      <c r="B24" s="173"/>
      <c r="C24" s="173"/>
      <c r="D24" s="173"/>
      <c r="E24" s="173"/>
      <c r="F24" s="173"/>
      <c r="G24" s="173"/>
      <c r="H24" s="173"/>
      <c r="I24" s="173"/>
      <c r="J24" s="173"/>
      <c r="K24" s="173"/>
      <c r="L24" s="173"/>
      <c r="M24" s="173"/>
      <c r="N24" s="173"/>
      <c r="O24" s="173"/>
      <c r="P24" s="173"/>
      <c r="Q24" s="173"/>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2"/>
      <c r="BA24" s="172"/>
      <c r="BB24" s="172"/>
      <c r="BC24" s="172"/>
      <c r="BD24" s="172"/>
      <c r="BE24" s="172"/>
      <c r="BF24" s="172"/>
      <c r="BG24" s="172"/>
      <c r="BH24" s="172"/>
      <c r="BI24" s="172"/>
      <c r="BJ24" s="172"/>
      <c r="BK24" s="172"/>
      <c r="BL24" s="172"/>
      <c r="BM24" s="172"/>
      <c r="BN24" s="172"/>
      <c r="BO24" s="172"/>
      <c r="BP24" s="172"/>
      <c r="BQ24" s="172"/>
      <c r="BR24" s="172"/>
    </row>
    <row r="25" spans="1:85" ht="14.25" customHeight="1" x14ac:dyDescent="0.25">
      <c r="A25" s="173"/>
      <c r="B25" s="173"/>
      <c r="C25" s="173"/>
      <c r="D25" s="173"/>
      <c r="E25" s="173"/>
      <c r="F25" s="173"/>
      <c r="G25" s="173"/>
      <c r="H25" s="173"/>
      <c r="I25" s="173"/>
      <c r="J25" s="173"/>
      <c r="K25" s="173"/>
      <c r="L25" s="173"/>
      <c r="M25" s="173"/>
      <c r="N25" s="173"/>
      <c r="O25" s="173"/>
      <c r="P25" s="173"/>
      <c r="Q25" s="173"/>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2"/>
      <c r="BA25" s="172"/>
      <c r="BB25" s="172"/>
      <c r="BC25" s="172"/>
      <c r="BD25" s="172"/>
      <c r="BE25" s="172"/>
      <c r="BF25" s="172"/>
      <c r="BG25" s="172"/>
      <c r="BH25" s="172"/>
      <c r="BI25" s="172"/>
      <c r="BJ25" s="172"/>
      <c r="BK25" s="172"/>
      <c r="BL25" s="172"/>
      <c r="BM25" s="172"/>
      <c r="BN25" s="172"/>
      <c r="BO25" s="172"/>
      <c r="BP25" s="172"/>
      <c r="BQ25" s="172"/>
      <c r="BR25" s="172"/>
    </row>
    <row r="26" spans="1:85" ht="14.25" customHeight="1" x14ac:dyDescent="0.25">
      <c r="A26" s="173"/>
      <c r="B26" s="173"/>
      <c r="C26" s="173"/>
      <c r="D26" s="173"/>
      <c r="E26" s="173"/>
      <c r="F26" s="173"/>
      <c r="G26" s="173"/>
      <c r="H26" s="173"/>
      <c r="I26" s="173"/>
      <c r="J26" s="173"/>
      <c r="K26" s="173"/>
      <c r="L26" s="173"/>
      <c r="M26" s="173"/>
      <c r="N26" s="173"/>
      <c r="O26" s="173"/>
      <c r="P26" s="173"/>
      <c r="Q26" s="173"/>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2"/>
      <c r="BA26" s="172"/>
      <c r="BB26" s="172"/>
      <c r="BC26" s="172"/>
      <c r="BD26" s="172"/>
      <c r="BE26" s="172"/>
      <c r="BF26" s="172"/>
      <c r="BG26" s="172"/>
      <c r="BH26" s="172"/>
      <c r="BI26" s="172"/>
      <c r="BJ26" s="172"/>
      <c r="BK26" s="172"/>
      <c r="BL26" s="172"/>
      <c r="BM26" s="172"/>
      <c r="BN26" s="172"/>
      <c r="BO26" s="172"/>
      <c r="BP26" s="172"/>
      <c r="BQ26" s="172"/>
      <c r="BR26" s="172"/>
    </row>
    <row r="27" spans="1:85" ht="14.25" customHeight="1" x14ac:dyDescent="0.25">
      <c r="A27" s="76"/>
      <c r="B27" s="76"/>
      <c r="C27" s="76"/>
      <c r="D27" s="76"/>
      <c r="E27" s="76"/>
      <c r="F27" s="76"/>
      <c r="G27" s="76"/>
      <c r="H27" s="76"/>
      <c r="I27" s="76"/>
      <c r="J27" s="76"/>
      <c r="K27" s="76"/>
      <c r="L27" s="76"/>
      <c r="M27" s="76"/>
      <c r="N27" s="76"/>
      <c r="O27" s="76"/>
      <c r="P27" s="76"/>
      <c r="Q27" s="76"/>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5"/>
      <c r="BA27" s="75"/>
      <c r="BB27" s="75"/>
      <c r="BC27" s="75"/>
      <c r="BD27" s="75"/>
      <c r="BE27" s="75"/>
      <c r="BF27" s="75"/>
      <c r="BG27" s="75"/>
      <c r="BH27" s="75"/>
      <c r="BI27" s="75"/>
      <c r="BJ27" s="75"/>
      <c r="BK27" s="75"/>
      <c r="BL27" s="75"/>
      <c r="BM27" s="75"/>
      <c r="BN27" s="75"/>
      <c r="BO27" s="75"/>
      <c r="BP27" s="75"/>
      <c r="BQ27" s="75"/>
      <c r="BR27" s="75"/>
    </row>
    <row r="28" spans="1:85" ht="14.25" customHeight="1" x14ac:dyDescent="0.25">
      <c r="A28" s="75"/>
      <c r="B28" s="3"/>
      <c r="C28" s="3"/>
      <c r="D28" s="75"/>
      <c r="E28" s="75"/>
      <c r="F28" s="75"/>
      <c r="G28" s="75"/>
      <c r="H28" s="75"/>
      <c r="I28" s="75"/>
      <c r="J28" s="75"/>
      <c r="K28" s="75"/>
      <c r="L28" s="75"/>
      <c r="M28" s="75"/>
      <c r="N28" s="75"/>
      <c r="O28" s="75"/>
      <c r="P28" s="75"/>
      <c r="Q28" s="75"/>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5"/>
      <c r="BA28" s="75"/>
      <c r="BB28" s="75"/>
      <c r="BC28" s="75"/>
      <c r="BD28" s="75"/>
      <c r="BE28" s="75"/>
      <c r="BF28" s="75"/>
      <c r="BG28" s="75"/>
      <c r="BH28" s="75"/>
      <c r="BI28" s="75"/>
      <c r="BJ28" s="75"/>
      <c r="BK28" s="75"/>
      <c r="BL28" s="75"/>
      <c r="BM28" s="75"/>
      <c r="BN28" s="75"/>
      <c r="BO28" s="75"/>
      <c r="BP28" s="75"/>
      <c r="BQ28" s="75"/>
      <c r="BR28" s="75"/>
    </row>
    <row r="29" spans="1:85" ht="14.25" customHeight="1" x14ac:dyDescent="0.25">
      <c r="A29" s="153" t="s">
        <v>65</v>
      </c>
      <c r="B29" s="153"/>
      <c r="C29" s="153"/>
      <c r="D29" s="153"/>
      <c r="E29" s="153"/>
      <c r="F29" s="153"/>
      <c r="G29" s="153"/>
      <c r="H29" s="153"/>
      <c r="I29" s="153"/>
      <c r="J29" s="153"/>
      <c r="K29" s="153"/>
      <c r="L29" s="153"/>
      <c r="M29" s="153"/>
      <c r="N29" s="153"/>
      <c r="O29" s="153"/>
      <c r="P29" s="153"/>
      <c r="Q29" s="153"/>
      <c r="R29" s="153"/>
      <c r="S29" s="153"/>
      <c r="T29" s="153"/>
      <c r="U29" s="153"/>
      <c r="V29" s="153"/>
      <c r="W29" s="153"/>
      <c r="X29" s="153"/>
      <c r="Y29" s="153"/>
      <c r="Z29" s="153"/>
      <c r="AA29" s="153"/>
      <c r="AB29" s="153"/>
      <c r="AC29" s="153"/>
      <c r="AD29" s="153"/>
      <c r="AE29" s="153"/>
      <c r="AF29" s="153"/>
      <c r="AG29" s="153"/>
      <c r="AH29" s="153"/>
      <c r="AI29" s="153"/>
      <c r="AJ29" s="153"/>
      <c r="AK29" s="153"/>
      <c r="AL29" s="153"/>
      <c r="AM29" s="153"/>
      <c r="AN29" s="153"/>
      <c r="AO29" s="153"/>
      <c r="AP29" s="153"/>
      <c r="AQ29" s="153"/>
      <c r="AR29" s="153"/>
      <c r="AS29" s="153"/>
      <c r="AT29" s="153"/>
      <c r="AU29" s="153"/>
      <c r="AV29" s="153"/>
      <c r="AW29" s="153"/>
      <c r="AX29" s="153"/>
      <c r="AY29" s="153"/>
      <c r="AZ29" s="153"/>
      <c r="BA29" s="153"/>
      <c r="BB29" s="153"/>
      <c r="BC29" s="153"/>
      <c r="BD29" s="153"/>
      <c r="BE29" s="153"/>
      <c r="BF29" s="153"/>
      <c r="BG29" s="153"/>
      <c r="BH29" s="153"/>
      <c r="BI29" s="153"/>
      <c r="BJ29" s="153"/>
      <c r="BK29" s="153"/>
      <c r="BL29" s="153"/>
      <c r="BM29" s="153"/>
      <c r="BN29" s="153"/>
      <c r="BO29" s="153"/>
      <c r="BP29" s="153"/>
      <c r="BQ29" s="153"/>
      <c r="BR29" s="153"/>
    </row>
    <row r="30" spans="1:85" ht="14.25" customHeight="1" x14ac:dyDescent="0.25">
      <c r="A30" s="154"/>
      <c r="B30" s="154"/>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c r="AA30" s="154"/>
      <c r="AB30" s="154"/>
      <c r="AC30" s="154"/>
      <c r="AD30" s="154"/>
      <c r="AE30" s="154"/>
      <c r="AF30" s="154"/>
      <c r="AG30" s="154"/>
      <c r="AH30" s="154"/>
      <c r="AI30" s="154"/>
      <c r="AJ30" s="154"/>
      <c r="AK30" s="154"/>
      <c r="AL30" s="154"/>
      <c r="AM30" s="154"/>
      <c r="AN30" s="154"/>
      <c r="AO30" s="154"/>
      <c r="AP30" s="154"/>
      <c r="AQ30" s="154"/>
      <c r="AR30" s="154"/>
      <c r="AS30" s="154"/>
      <c r="AT30" s="154"/>
      <c r="AU30" s="154"/>
      <c r="AV30" s="154"/>
      <c r="AW30" s="154"/>
      <c r="AX30" s="154"/>
      <c r="AY30" s="154"/>
      <c r="AZ30" s="154"/>
      <c r="BA30" s="154"/>
      <c r="BB30" s="154"/>
      <c r="BC30" s="154"/>
      <c r="BD30" s="154"/>
      <c r="BE30" s="154"/>
      <c r="BF30" s="154"/>
      <c r="BG30" s="154"/>
      <c r="BH30" s="154"/>
      <c r="BI30" s="154"/>
      <c r="BJ30" s="154"/>
      <c r="BK30" s="154"/>
      <c r="BL30" s="154"/>
      <c r="BM30" s="154"/>
      <c r="BN30" s="154"/>
      <c r="BO30" s="154"/>
      <c r="BP30" s="154"/>
      <c r="BQ30" s="154"/>
      <c r="BR30" s="154"/>
    </row>
    <row r="31" spans="1:85" ht="14.25" customHeight="1" x14ac:dyDescent="0.25">
      <c r="A31" s="134" t="s">
        <v>86</v>
      </c>
      <c r="B31" s="134"/>
      <c r="C31" s="106" t="s">
        <v>85</v>
      </c>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6"/>
      <c r="BA31" s="106"/>
      <c r="BB31" s="106"/>
      <c r="BC31" s="236" t="s">
        <v>87</v>
      </c>
      <c r="BD31" s="210"/>
      <c r="BE31" s="233" t="s">
        <v>95</v>
      </c>
      <c r="BF31" s="234"/>
      <c r="BG31" s="234"/>
      <c r="BH31" s="234"/>
      <c r="BI31" s="234"/>
      <c r="BJ31" s="234"/>
      <c r="BK31" s="234"/>
      <c r="BL31" s="235"/>
      <c r="BM31" s="236" t="s">
        <v>92</v>
      </c>
      <c r="BN31" s="210"/>
      <c r="BO31" s="133" t="s">
        <v>93</v>
      </c>
      <c r="BP31" s="133"/>
      <c r="BQ31" s="209" t="s">
        <v>94</v>
      </c>
      <c r="BR31" s="210"/>
      <c r="BT31" s="233"/>
      <c r="BU31" s="234"/>
      <c r="BV31" s="234"/>
      <c r="BW31" s="234"/>
      <c r="BX31" s="234"/>
      <c r="BY31" s="234"/>
      <c r="BZ31" s="234"/>
      <c r="CA31" s="235"/>
      <c r="CB31" s="236"/>
      <c r="CC31" s="210"/>
      <c r="CD31" s="133"/>
      <c r="CE31" s="133"/>
      <c r="CF31" s="209"/>
      <c r="CG31" s="210"/>
    </row>
    <row r="32" spans="1:85" ht="177.75" customHeight="1" x14ac:dyDescent="0.25">
      <c r="A32" s="134"/>
      <c r="B32" s="134"/>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c r="AZ32" s="106"/>
      <c r="BA32" s="106"/>
      <c r="BB32" s="106"/>
      <c r="BC32" s="237"/>
      <c r="BD32" s="212"/>
      <c r="BE32" s="135" t="s">
        <v>88</v>
      </c>
      <c r="BF32" s="135"/>
      <c r="BG32" s="215" t="s">
        <v>89</v>
      </c>
      <c r="BH32" s="217"/>
      <c r="BI32" s="215" t="s">
        <v>90</v>
      </c>
      <c r="BJ32" s="217"/>
      <c r="BK32" s="134" t="s">
        <v>91</v>
      </c>
      <c r="BL32" s="134"/>
      <c r="BM32" s="237"/>
      <c r="BN32" s="212"/>
      <c r="BO32" s="133"/>
      <c r="BP32" s="133"/>
      <c r="BQ32" s="211"/>
      <c r="BR32" s="212"/>
      <c r="BT32" s="215"/>
      <c r="BU32" s="216"/>
      <c r="BV32" s="217"/>
      <c r="BW32" s="215"/>
      <c r="BX32" s="217"/>
      <c r="BY32" s="224"/>
      <c r="BZ32" s="225"/>
      <c r="CA32" s="226"/>
      <c r="CB32" s="237"/>
      <c r="CC32" s="212"/>
      <c r="CD32" s="133"/>
      <c r="CE32" s="133"/>
      <c r="CF32" s="211"/>
      <c r="CG32" s="212"/>
    </row>
    <row r="33" spans="1:85" ht="14.25" customHeight="1" x14ac:dyDescent="0.25">
      <c r="A33" s="134"/>
      <c r="B33" s="134"/>
      <c r="C33" s="167" t="s">
        <v>73</v>
      </c>
      <c r="D33" s="168"/>
      <c r="E33" s="168"/>
      <c r="F33" s="152"/>
      <c r="G33" s="106" t="s">
        <v>74</v>
      </c>
      <c r="H33" s="106"/>
      <c r="I33" s="106"/>
      <c r="J33" s="106"/>
      <c r="K33" s="106" t="s">
        <v>75</v>
      </c>
      <c r="L33" s="106"/>
      <c r="M33" s="106"/>
      <c r="N33" s="106"/>
      <c r="O33" s="106"/>
      <c r="P33" s="167" t="s">
        <v>76</v>
      </c>
      <c r="Q33" s="168"/>
      <c r="R33" s="168"/>
      <c r="S33" s="152"/>
      <c r="T33" s="167" t="s">
        <v>77</v>
      </c>
      <c r="U33" s="168"/>
      <c r="V33" s="168"/>
      <c r="W33" s="168"/>
      <c r="X33" s="152"/>
      <c r="Y33" s="167" t="s">
        <v>78</v>
      </c>
      <c r="Z33" s="168"/>
      <c r="AA33" s="168"/>
      <c r="AB33" s="152"/>
      <c r="AC33" s="167" t="s">
        <v>79</v>
      </c>
      <c r="AD33" s="168"/>
      <c r="AE33" s="168"/>
      <c r="AF33" s="152"/>
      <c r="AG33" s="167" t="s">
        <v>80</v>
      </c>
      <c r="AH33" s="168"/>
      <c r="AI33" s="168"/>
      <c r="AJ33" s="152"/>
      <c r="AK33" s="167" t="s">
        <v>81</v>
      </c>
      <c r="AL33" s="168"/>
      <c r="AM33" s="168"/>
      <c r="AN33" s="168"/>
      <c r="AO33" s="152"/>
      <c r="AP33" s="167" t="s">
        <v>82</v>
      </c>
      <c r="AQ33" s="168"/>
      <c r="AR33" s="168"/>
      <c r="AS33" s="152"/>
      <c r="AT33" s="167" t="s">
        <v>83</v>
      </c>
      <c r="AU33" s="168"/>
      <c r="AV33" s="168"/>
      <c r="AW33" s="168"/>
      <c r="AX33" s="152"/>
      <c r="AY33" s="167" t="s">
        <v>84</v>
      </c>
      <c r="AZ33" s="168"/>
      <c r="BA33" s="168"/>
      <c r="BB33" s="152"/>
      <c r="BC33" s="237"/>
      <c r="BD33" s="212"/>
      <c r="BE33" s="135"/>
      <c r="BF33" s="135"/>
      <c r="BG33" s="218"/>
      <c r="BH33" s="220"/>
      <c r="BI33" s="218"/>
      <c r="BJ33" s="220"/>
      <c r="BK33" s="134"/>
      <c r="BL33" s="134"/>
      <c r="BM33" s="237"/>
      <c r="BN33" s="212"/>
      <c r="BO33" s="133"/>
      <c r="BP33" s="133"/>
      <c r="BQ33" s="211"/>
      <c r="BR33" s="212"/>
      <c r="BT33" s="218"/>
      <c r="BU33" s="219"/>
      <c r="BV33" s="220"/>
      <c r="BW33" s="218"/>
      <c r="BX33" s="220"/>
      <c r="BY33" s="227"/>
      <c r="BZ33" s="228"/>
      <c r="CA33" s="229"/>
      <c r="CB33" s="237"/>
      <c r="CC33" s="212"/>
      <c r="CD33" s="133"/>
      <c r="CE33" s="133"/>
      <c r="CF33" s="211"/>
      <c r="CG33" s="212"/>
    </row>
    <row r="34" spans="1:85" ht="14.25" customHeight="1" x14ac:dyDescent="0.25">
      <c r="A34" s="134"/>
      <c r="B34" s="134"/>
      <c r="C34" s="72">
        <v>1</v>
      </c>
      <c r="D34" s="72">
        <v>2</v>
      </c>
      <c r="E34" s="72">
        <v>3</v>
      </c>
      <c r="F34" s="72">
        <v>4</v>
      </c>
      <c r="G34" s="72">
        <v>5</v>
      </c>
      <c r="H34" s="72">
        <v>6</v>
      </c>
      <c r="I34" s="72">
        <v>7</v>
      </c>
      <c r="J34" s="72">
        <v>8</v>
      </c>
      <c r="K34" s="72">
        <v>9</v>
      </c>
      <c r="L34" s="72">
        <v>10</v>
      </c>
      <c r="M34" s="72">
        <v>11</v>
      </c>
      <c r="N34" s="72">
        <v>12</v>
      </c>
      <c r="O34" s="72">
        <v>13</v>
      </c>
      <c r="P34" s="72">
        <v>14</v>
      </c>
      <c r="Q34" s="72">
        <v>15</v>
      </c>
      <c r="R34" s="72">
        <v>16</v>
      </c>
      <c r="S34" s="72">
        <v>17</v>
      </c>
      <c r="T34" s="72">
        <v>18</v>
      </c>
      <c r="U34" s="72">
        <v>19</v>
      </c>
      <c r="V34" s="72">
        <v>20</v>
      </c>
      <c r="W34" s="72">
        <v>21</v>
      </c>
      <c r="X34" s="72">
        <v>22</v>
      </c>
      <c r="Y34" s="72">
        <v>23</v>
      </c>
      <c r="Z34" s="72">
        <v>24</v>
      </c>
      <c r="AA34" s="72">
        <v>25</v>
      </c>
      <c r="AB34" s="72">
        <v>26</v>
      </c>
      <c r="AC34" s="72">
        <v>27</v>
      </c>
      <c r="AD34" s="72">
        <v>28</v>
      </c>
      <c r="AE34" s="72">
        <v>29</v>
      </c>
      <c r="AF34" s="72">
        <v>30</v>
      </c>
      <c r="AG34" s="72">
        <v>31</v>
      </c>
      <c r="AH34" s="72">
        <v>32</v>
      </c>
      <c r="AI34" s="72">
        <v>33</v>
      </c>
      <c r="AJ34" s="72">
        <v>34</v>
      </c>
      <c r="AK34" s="72">
        <v>35</v>
      </c>
      <c r="AL34" s="72">
        <v>36</v>
      </c>
      <c r="AM34" s="72">
        <v>37</v>
      </c>
      <c r="AN34" s="72">
        <v>38</v>
      </c>
      <c r="AO34" s="72">
        <v>39</v>
      </c>
      <c r="AP34" s="72">
        <v>40</v>
      </c>
      <c r="AQ34" s="72">
        <v>41</v>
      </c>
      <c r="AR34" s="72">
        <v>42</v>
      </c>
      <c r="AS34" s="72">
        <v>43</v>
      </c>
      <c r="AT34" s="72">
        <v>44</v>
      </c>
      <c r="AU34" s="72">
        <v>45</v>
      </c>
      <c r="AV34" s="72">
        <v>46</v>
      </c>
      <c r="AW34" s="72">
        <v>47</v>
      </c>
      <c r="AX34" s="72">
        <v>48</v>
      </c>
      <c r="AY34" s="72">
        <v>49</v>
      </c>
      <c r="AZ34" s="72">
        <v>50</v>
      </c>
      <c r="BA34" s="72">
        <v>51</v>
      </c>
      <c r="BB34" s="72">
        <v>52</v>
      </c>
      <c r="BC34" s="238"/>
      <c r="BD34" s="214"/>
      <c r="BE34" s="135"/>
      <c r="BF34" s="135"/>
      <c r="BG34" s="221"/>
      <c r="BH34" s="223"/>
      <c r="BI34" s="221"/>
      <c r="BJ34" s="223"/>
      <c r="BK34" s="134"/>
      <c r="BL34" s="134"/>
      <c r="BM34" s="238"/>
      <c r="BN34" s="214"/>
      <c r="BO34" s="133"/>
      <c r="BP34" s="133"/>
      <c r="BQ34" s="213"/>
      <c r="BR34" s="214"/>
      <c r="BT34" s="221"/>
      <c r="BU34" s="222"/>
      <c r="BV34" s="223"/>
      <c r="BW34" s="221"/>
      <c r="BX34" s="223"/>
      <c r="BY34" s="230"/>
      <c r="BZ34" s="231"/>
      <c r="CA34" s="232"/>
      <c r="CB34" s="238"/>
      <c r="CC34" s="214"/>
      <c r="CD34" s="133"/>
      <c r="CE34" s="133"/>
      <c r="CF34" s="213"/>
      <c r="CG34" s="214"/>
    </row>
    <row r="35" spans="1:85" ht="14.25" customHeight="1" x14ac:dyDescent="0.25">
      <c r="A35" s="106" t="s">
        <v>0</v>
      </c>
      <c r="B35" s="106"/>
      <c r="C35" s="72" t="s">
        <v>106</v>
      </c>
      <c r="D35" s="72"/>
      <c r="E35" s="72"/>
      <c r="F35" s="72"/>
      <c r="G35" s="72"/>
      <c r="H35" s="72"/>
      <c r="I35" s="72"/>
      <c r="J35" s="72"/>
      <c r="K35" s="72"/>
      <c r="L35" s="72"/>
      <c r="M35" s="72"/>
      <c r="N35" s="72"/>
      <c r="O35" s="72"/>
      <c r="P35" s="72"/>
      <c r="Q35" s="72"/>
      <c r="R35" s="72"/>
      <c r="S35" s="72" t="s">
        <v>2</v>
      </c>
      <c r="T35" s="72" t="s">
        <v>2</v>
      </c>
      <c r="U35" s="72" t="s">
        <v>1</v>
      </c>
      <c r="V35" s="72" t="s">
        <v>1</v>
      </c>
      <c r="W35" s="72" t="s">
        <v>106</v>
      </c>
      <c r="X35" s="72" t="s">
        <v>0</v>
      </c>
      <c r="Y35" s="72" t="s">
        <v>0</v>
      </c>
      <c r="Z35" s="72" t="s">
        <v>0</v>
      </c>
      <c r="AA35" s="72" t="s">
        <v>0</v>
      </c>
      <c r="AB35" s="72" t="s">
        <v>0</v>
      </c>
      <c r="AC35" s="72"/>
      <c r="AD35" s="72"/>
      <c r="AE35" s="72"/>
      <c r="AF35" s="72"/>
      <c r="AG35" s="72"/>
      <c r="AH35" s="72"/>
      <c r="AI35" s="72"/>
      <c r="AJ35" s="72"/>
      <c r="AK35" s="72"/>
      <c r="AL35" s="72"/>
      <c r="AM35" s="72"/>
      <c r="AN35" s="72"/>
      <c r="AO35" s="72"/>
      <c r="AP35" s="72"/>
      <c r="AQ35" s="72"/>
      <c r="AR35" s="72" t="s">
        <v>1</v>
      </c>
      <c r="AS35" s="72" t="s">
        <v>1</v>
      </c>
      <c r="AT35" s="72" t="s">
        <v>2</v>
      </c>
      <c r="AU35" s="72" t="s">
        <v>2</v>
      </c>
      <c r="AV35" s="72" t="s">
        <v>2</v>
      </c>
      <c r="AW35" s="72" t="s">
        <v>2</v>
      </c>
      <c r="AX35" s="72" t="s">
        <v>2</v>
      </c>
      <c r="AY35" s="72" t="s">
        <v>2</v>
      </c>
      <c r="AZ35" s="72" t="s">
        <v>2</v>
      </c>
      <c r="BA35" s="72" t="s">
        <v>2</v>
      </c>
      <c r="BB35" s="72" t="s">
        <v>2</v>
      </c>
      <c r="BC35" s="167">
        <f>SUM(BE35:BN35)</f>
        <v>41</v>
      </c>
      <c r="BD35" s="152"/>
      <c r="BE35" s="106">
        <v>30</v>
      </c>
      <c r="BF35" s="106"/>
      <c r="BG35" s="167">
        <v>5</v>
      </c>
      <c r="BH35" s="152"/>
      <c r="BI35" s="167"/>
      <c r="BJ35" s="152"/>
      <c r="BK35" s="168">
        <v>4</v>
      </c>
      <c r="BL35" s="152"/>
      <c r="BM35" s="167">
        <v>2</v>
      </c>
      <c r="BN35" s="152"/>
      <c r="BO35" s="167">
        <v>11</v>
      </c>
      <c r="BP35" s="152"/>
      <c r="BQ35" s="106">
        <f>BO35+BC35</f>
        <v>52</v>
      </c>
      <c r="BR35" s="106"/>
    </row>
    <row r="36" spans="1:85" ht="14.25" customHeight="1" x14ac:dyDescent="0.25">
      <c r="A36" s="106" t="s">
        <v>3</v>
      </c>
      <c r="B36" s="106"/>
      <c r="C36" s="72" t="s">
        <v>106</v>
      </c>
      <c r="D36" s="72"/>
      <c r="E36" s="72"/>
      <c r="F36" s="72"/>
      <c r="G36" s="72"/>
      <c r="H36" s="72"/>
      <c r="I36" s="72"/>
      <c r="J36" s="72"/>
      <c r="K36" s="72"/>
      <c r="L36" s="72"/>
      <c r="M36" s="72"/>
      <c r="N36" s="72"/>
      <c r="O36" s="72"/>
      <c r="P36" s="72"/>
      <c r="Q36" s="72"/>
      <c r="R36" s="72"/>
      <c r="S36" s="72" t="s">
        <v>2</v>
      </c>
      <c r="T36" s="72" t="s">
        <v>2</v>
      </c>
      <c r="U36" s="72" t="s">
        <v>1</v>
      </c>
      <c r="V36" s="72" t="s">
        <v>1</v>
      </c>
      <c r="W36" s="72" t="s">
        <v>106</v>
      </c>
      <c r="X36" s="72" t="s">
        <v>22</v>
      </c>
      <c r="Y36" s="72" t="s">
        <v>22</v>
      </c>
      <c r="Z36" s="72" t="s">
        <v>22</v>
      </c>
      <c r="AA36" s="72" t="s">
        <v>22</v>
      </c>
      <c r="AB36" s="72" t="s">
        <v>22</v>
      </c>
      <c r="AC36" s="72"/>
      <c r="AD36" s="72"/>
      <c r="AE36" s="72"/>
      <c r="AF36" s="72"/>
      <c r="AG36" s="72"/>
      <c r="AH36" s="72"/>
      <c r="AI36" s="72"/>
      <c r="AJ36" s="72"/>
      <c r="AK36" s="72"/>
      <c r="AL36" s="72"/>
      <c r="AM36" s="72"/>
      <c r="AN36" s="72"/>
      <c r="AO36" s="72"/>
      <c r="AP36" s="72"/>
      <c r="AQ36" s="72"/>
      <c r="AR36" s="72" t="s">
        <v>1</v>
      </c>
      <c r="AS36" s="72" t="s">
        <v>102</v>
      </c>
      <c r="AT36" s="72" t="s">
        <v>2</v>
      </c>
      <c r="AU36" s="72" t="s">
        <v>2</v>
      </c>
      <c r="AV36" s="72" t="s">
        <v>2</v>
      </c>
      <c r="AW36" s="72" t="s">
        <v>2</v>
      </c>
      <c r="AX36" s="72" t="s">
        <v>2</v>
      </c>
      <c r="AY36" s="72"/>
      <c r="AZ36" s="72"/>
      <c r="BA36" s="72"/>
      <c r="BB36" s="72"/>
      <c r="BC36" s="167">
        <f>SUM(BE36:BN36)</f>
        <v>41</v>
      </c>
      <c r="BD36" s="152"/>
      <c r="BE36" s="106">
        <v>30</v>
      </c>
      <c r="BF36" s="106"/>
      <c r="BG36" s="167"/>
      <c r="BH36" s="152"/>
      <c r="BI36" s="167">
        <v>5</v>
      </c>
      <c r="BJ36" s="152"/>
      <c r="BK36" s="168">
        <v>4</v>
      </c>
      <c r="BL36" s="152"/>
      <c r="BM36" s="167">
        <v>2</v>
      </c>
      <c r="BN36" s="152"/>
      <c r="BO36" s="167">
        <v>7</v>
      </c>
      <c r="BP36" s="152"/>
      <c r="BQ36" s="106">
        <f>BO36+BC36</f>
        <v>48</v>
      </c>
      <c r="BR36" s="106"/>
    </row>
    <row r="37" spans="1:85" ht="14.25" customHeight="1" x14ac:dyDescent="0.25">
      <c r="A37" s="169" t="s">
        <v>4</v>
      </c>
      <c r="B37" s="169"/>
      <c r="C37" s="169"/>
      <c r="D37" s="169"/>
      <c r="E37" s="169"/>
      <c r="F37" s="169"/>
      <c r="G37" s="169"/>
      <c r="H37" s="169"/>
      <c r="I37" s="169"/>
      <c r="J37" s="169"/>
      <c r="K37" s="169"/>
      <c r="L37" s="169"/>
      <c r="M37" s="169"/>
      <c r="N37" s="169"/>
      <c r="O37" s="169"/>
      <c r="P37" s="169"/>
      <c r="Q37" s="169"/>
      <c r="R37" s="169"/>
      <c r="S37" s="169"/>
      <c r="T37" s="169"/>
      <c r="U37" s="169"/>
      <c r="V37" s="169"/>
      <c r="W37" s="169"/>
      <c r="X37" s="169"/>
      <c r="Y37" s="169"/>
      <c r="Z37" s="169"/>
      <c r="AA37" s="169"/>
      <c r="AB37" s="169"/>
      <c r="AC37" s="169"/>
      <c r="AD37" s="169"/>
      <c r="AE37" s="169"/>
      <c r="AF37" s="169"/>
      <c r="AG37" s="169"/>
      <c r="AH37" s="169"/>
      <c r="AI37" s="169"/>
      <c r="AJ37" s="169"/>
      <c r="AK37" s="169"/>
      <c r="AL37" s="169"/>
      <c r="AM37" s="169"/>
      <c r="AN37" s="169"/>
      <c r="AO37" s="169"/>
      <c r="AP37" s="169"/>
      <c r="AQ37" s="169"/>
      <c r="AR37" s="169"/>
      <c r="AS37" s="169"/>
      <c r="AT37" s="169"/>
      <c r="AU37" s="169"/>
      <c r="AV37" s="169"/>
      <c r="AW37" s="169"/>
      <c r="AX37" s="169"/>
      <c r="AY37" s="169"/>
      <c r="AZ37" s="169"/>
      <c r="BA37" s="169"/>
      <c r="BB37" s="169"/>
      <c r="BC37" s="167">
        <f>SUM(BC35:BD36)</f>
        <v>82</v>
      </c>
      <c r="BD37" s="152"/>
      <c r="BE37" s="106">
        <f>SUM(BE35:BF36)</f>
        <v>60</v>
      </c>
      <c r="BF37" s="106"/>
      <c r="BG37" s="106">
        <f t="shared" ref="BG37" si="0">SUM(BG35:BH36)</f>
        <v>5</v>
      </c>
      <c r="BH37" s="106"/>
      <c r="BI37" s="106">
        <f t="shared" ref="BI37" si="1">SUM(BI35:BJ36)</f>
        <v>5</v>
      </c>
      <c r="BJ37" s="106"/>
      <c r="BK37" s="106">
        <f t="shared" ref="BK37" si="2">SUM(BK35:BL36)</f>
        <v>8</v>
      </c>
      <c r="BL37" s="106"/>
      <c r="BM37" s="106">
        <f t="shared" ref="BM37" si="3">SUM(BM35:BN36)</f>
        <v>4</v>
      </c>
      <c r="BN37" s="106"/>
      <c r="BO37" s="106">
        <f t="shared" ref="BO37" si="4">SUM(BO35:BP36)</f>
        <v>18</v>
      </c>
      <c r="BP37" s="106"/>
      <c r="BQ37" s="106">
        <f>SUM(BQ35:BR36)</f>
        <v>100</v>
      </c>
      <c r="BR37" s="106"/>
    </row>
    <row r="38" spans="1:85" ht="14.25" customHeight="1" x14ac:dyDescent="0.25">
      <c r="A38" s="4"/>
      <c r="B38" s="5"/>
      <c r="C38" s="5"/>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7"/>
      <c r="AF38" s="6"/>
      <c r="AG38" s="6"/>
      <c r="AH38" s="6"/>
      <c r="AI38" s="6"/>
      <c r="AJ38" s="6"/>
      <c r="AK38" s="6"/>
      <c r="AL38" s="6"/>
      <c r="AM38" s="6"/>
      <c r="AN38" s="6"/>
      <c r="AO38" s="6"/>
      <c r="AP38" s="6"/>
      <c r="AQ38" s="8"/>
      <c r="AR38" s="6"/>
      <c r="AS38" s="6"/>
      <c r="AT38" s="6"/>
      <c r="AU38" s="6"/>
      <c r="AV38" s="8"/>
      <c r="AW38" s="6"/>
      <c r="AX38" s="6"/>
      <c r="AY38" s="6"/>
      <c r="AZ38" s="6"/>
      <c r="BA38" s="6"/>
      <c r="BB38" s="6"/>
      <c r="BC38" s="77"/>
      <c r="BD38" s="77"/>
      <c r="BE38" s="77"/>
      <c r="BF38" s="77"/>
      <c r="BG38" s="77"/>
      <c r="BH38" s="77"/>
      <c r="BI38" s="77"/>
      <c r="BJ38" s="77"/>
      <c r="BK38" s="77"/>
      <c r="BL38" s="77"/>
      <c r="BM38" s="77"/>
      <c r="BN38" s="77"/>
      <c r="BO38" s="9"/>
      <c r="BP38" s="9"/>
      <c r="BQ38" s="9"/>
      <c r="BR38" s="8"/>
    </row>
    <row r="39" spans="1:85" ht="14.25" customHeight="1" x14ac:dyDescent="0.25">
      <c r="A39" s="4"/>
      <c r="B39" s="160"/>
      <c r="C39" s="160"/>
      <c r="D39" s="161" t="s">
        <v>96</v>
      </c>
      <c r="E39" s="143"/>
      <c r="F39" s="143"/>
      <c r="G39" s="143"/>
      <c r="H39" s="143"/>
      <c r="I39" s="143"/>
      <c r="J39" s="143"/>
      <c r="K39" s="162" t="s">
        <v>102</v>
      </c>
      <c r="L39" s="162"/>
      <c r="M39" s="162"/>
      <c r="N39" s="162"/>
      <c r="O39" s="163" t="s">
        <v>97</v>
      </c>
      <c r="P39" s="163"/>
      <c r="Q39" s="163"/>
      <c r="R39" s="164"/>
      <c r="S39" s="162" t="s">
        <v>0</v>
      </c>
      <c r="T39" s="162"/>
      <c r="U39" s="162"/>
      <c r="V39" s="165" t="s">
        <v>98</v>
      </c>
      <c r="W39" s="165"/>
      <c r="X39" s="165"/>
      <c r="Y39" s="165"/>
      <c r="Z39" s="165"/>
      <c r="AA39" s="166"/>
      <c r="AB39" s="162" t="s">
        <v>103</v>
      </c>
      <c r="AC39" s="162"/>
      <c r="AD39" s="162"/>
      <c r="AE39" s="7"/>
      <c r="AF39" s="163" t="s">
        <v>99</v>
      </c>
      <c r="AG39" s="163"/>
      <c r="AH39" s="163"/>
      <c r="AI39" s="163"/>
      <c r="AJ39" s="163"/>
      <c r="AK39" s="163"/>
      <c r="AL39" s="163"/>
      <c r="AM39" s="164"/>
      <c r="AN39" s="162" t="s">
        <v>104</v>
      </c>
      <c r="AO39" s="162"/>
      <c r="AP39" s="162"/>
      <c r="AQ39" s="8"/>
      <c r="AR39" s="177" t="s">
        <v>100</v>
      </c>
      <c r="AS39" s="177"/>
      <c r="AT39" s="177"/>
      <c r="AU39" s="177"/>
      <c r="AV39" s="8"/>
      <c r="AW39" s="162" t="s">
        <v>105</v>
      </c>
      <c r="AX39" s="162"/>
      <c r="AY39" s="162"/>
      <c r="AZ39" s="177" t="s">
        <v>101</v>
      </c>
      <c r="BA39" s="177"/>
      <c r="BB39" s="177"/>
      <c r="BC39" s="177"/>
      <c r="BD39" s="138" t="s">
        <v>106</v>
      </c>
      <c r="BE39" s="138"/>
      <c r="BF39" s="138"/>
      <c r="BG39" s="138"/>
      <c r="BH39" s="139" t="s">
        <v>92</v>
      </c>
      <c r="BI39" s="139"/>
      <c r="BJ39" s="139"/>
      <c r="BK39" s="139"/>
      <c r="BL39" s="139"/>
      <c r="BM39" s="139"/>
      <c r="BN39" s="139"/>
      <c r="BO39" s="9"/>
      <c r="BP39" s="9"/>
      <c r="BQ39" s="9"/>
      <c r="BR39" s="8"/>
    </row>
    <row r="40" spans="1:85" ht="14.25" customHeight="1" x14ac:dyDescent="0.25">
      <c r="A40" s="4"/>
      <c r="B40" s="160"/>
      <c r="C40" s="160"/>
      <c r="D40" s="161"/>
      <c r="E40" s="143"/>
      <c r="F40" s="143"/>
      <c r="G40" s="143"/>
      <c r="H40" s="143"/>
      <c r="I40" s="143"/>
      <c r="J40" s="143"/>
      <c r="K40" s="162"/>
      <c r="L40" s="162"/>
      <c r="M40" s="162"/>
      <c r="N40" s="162"/>
      <c r="O40" s="163"/>
      <c r="P40" s="163"/>
      <c r="Q40" s="163"/>
      <c r="R40" s="164"/>
      <c r="S40" s="162"/>
      <c r="T40" s="162"/>
      <c r="U40" s="162"/>
      <c r="V40" s="165"/>
      <c r="W40" s="165"/>
      <c r="X40" s="165"/>
      <c r="Y40" s="165"/>
      <c r="Z40" s="165"/>
      <c r="AA40" s="166"/>
      <c r="AB40" s="162"/>
      <c r="AC40" s="162"/>
      <c r="AD40" s="162"/>
      <c r="AE40" s="7"/>
      <c r="AF40" s="163"/>
      <c r="AG40" s="163"/>
      <c r="AH40" s="163"/>
      <c r="AI40" s="163"/>
      <c r="AJ40" s="163"/>
      <c r="AK40" s="163"/>
      <c r="AL40" s="163"/>
      <c r="AM40" s="164"/>
      <c r="AN40" s="162"/>
      <c r="AO40" s="162"/>
      <c r="AP40" s="162"/>
      <c r="AQ40" s="8"/>
      <c r="AR40" s="177"/>
      <c r="AS40" s="177"/>
      <c r="AT40" s="177"/>
      <c r="AU40" s="177"/>
      <c r="AV40" s="8"/>
      <c r="AW40" s="162"/>
      <c r="AX40" s="162"/>
      <c r="AY40" s="162"/>
      <c r="AZ40" s="177"/>
      <c r="BA40" s="177"/>
      <c r="BB40" s="177"/>
      <c r="BC40" s="177"/>
      <c r="BD40" s="138"/>
      <c r="BE40" s="138"/>
      <c r="BF40" s="138"/>
      <c r="BG40" s="138"/>
      <c r="BH40" s="139"/>
      <c r="BI40" s="139"/>
      <c r="BJ40" s="139"/>
      <c r="BK40" s="139"/>
      <c r="BL40" s="139"/>
      <c r="BM40" s="139"/>
      <c r="BN40" s="139"/>
      <c r="BO40" s="9"/>
      <c r="BP40" s="9"/>
      <c r="BQ40" s="9"/>
      <c r="BR40" s="8"/>
    </row>
    <row r="41" spans="1:85" ht="14.25" customHeight="1" x14ac:dyDescent="0.25">
      <c r="A41" s="4"/>
      <c r="B41" s="160"/>
      <c r="C41" s="160"/>
      <c r="D41" s="161"/>
      <c r="E41" s="143"/>
      <c r="F41" s="143"/>
      <c r="G41" s="143"/>
      <c r="H41" s="143"/>
      <c r="I41" s="143"/>
      <c r="J41" s="143"/>
      <c r="K41" s="162"/>
      <c r="L41" s="162"/>
      <c r="M41" s="162"/>
      <c r="N41" s="162"/>
      <c r="O41" s="163"/>
      <c r="P41" s="163"/>
      <c r="Q41" s="163"/>
      <c r="R41" s="164"/>
      <c r="S41" s="162"/>
      <c r="T41" s="162"/>
      <c r="U41" s="162"/>
      <c r="V41" s="165"/>
      <c r="W41" s="165"/>
      <c r="X41" s="165"/>
      <c r="Y41" s="165"/>
      <c r="Z41" s="165"/>
      <c r="AA41" s="166"/>
      <c r="AB41" s="162"/>
      <c r="AC41" s="162"/>
      <c r="AD41" s="162"/>
      <c r="AE41" s="7"/>
      <c r="AF41" s="163"/>
      <c r="AG41" s="163"/>
      <c r="AH41" s="163"/>
      <c r="AI41" s="163"/>
      <c r="AJ41" s="163"/>
      <c r="AK41" s="163"/>
      <c r="AL41" s="163"/>
      <c r="AM41" s="164"/>
      <c r="AN41" s="162"/>
      <c r="AO41" s="162"/>
      <c r="AP41" s="162"/>
      <c r="AQ41" s="8"/>
      <c r="AR41" s="177"/>
      <c r="AS41" s="177"/>
      <c r="AT41" s="177"/>
      <c r="AU41" s="177"/>
      <c r="AV41" s="8"/>
      <c r="AW41" s="162"/>
      <c r="AX41" s="162"/>
      <c r="AY41" s="162"/>
      <c r="AZ41" s="177"/>
      <c r="BA41" s="177"/>
      <c r="BB41" s="177"/>
      <c r="BC41" s="177"/>
      <c r="BD41" s="138"/>
      <c r="BE41" s="138"/>
      <c r="BF41" s="138"/>
      <c r="BG41" s="138"/>
      <c r="BH41" s="139"/>
      <c r="BI41" s="139"/>
      <c r="BJ41" s="139"/>
      <c r="BK41" s="139"/>
      <c r="BL41" s="139"/>
      <c r="BM41" s="139"/>
      <c r="BN41" s="139"/>
      <c r="BO41" s="9"/>
      <c r="BP41" s="9"/>
      <c r="BQ41" s="9"/>
      <c r="BR41" s="8"/>
    </row>
    <row r="42" spans="1:85" ht="14.25" customHeight="1" x14ac:dyDescent="0.25">
      <c r="A42" s="4"/>
      <c r="B42" s="10"/>
      <c r="C42" s="11"/>
      <c r="D42" s="12"/>
      <c r="E42" s="4"/>
      <c r="F42" s="4"/>
      <c r="G42" s="4"/>
      <c r="H42" s="4"/>
      <c r="I42" s="66"/>
      <c r="J42" s="66"/>
      <c r="K42" s="66"/>
      <c r="L42" s="66"/>
      <c r="M42" s="66"/>
      <c r="N42" s="66"/>
      <c r="O42" s="13"/>
      <c r="P42" s="13"/>
      <c r="Q42" s="13"/>
      <c r="R42" s="13"/>
      <c r="S42" s="66"/>
      <c r="T42" s="66"/>
      <c r="U42" s="66"/>
      <c r="V42" s="66"/>
      <c r="W42" s="66"/>
      <c r="X42" s="66"/>
      <c r="Y42" s="13"/>
      <c r="Z42" s="13"/>
      <c r="AA42" s="13"/>
      <c r="AB42" s="13"/>
      <c r="AC42" s="66"/>
      <c r="AD42" s="66"/>
      <c r="AE42" s="66"/>
      <c r="AF42" s="66"/>
      <c r="AG42" s="66"/>
      <c r="AH42" s="66"/>
      <c r="AI42" s="13"/>
      <c r="AJ42" s="13"/>
      <c r="AK42" s="13"/>
      <c r="AL42" s="13"/>
      <c r="AM42" s="66"/>
      <c r="AN42" s="66"/>
      <c r="AO42" s="66"/>
      <c r="AP42" s="66"/>
      <c r="AQ42" s="66"/>
      <c r="AR42" s="66"/>
      <c r="AS42" s="13"/>
      <c r="AT42" s="13"/>
      <c r="AU42" s="13"/>
      <c r="AV42" s="13"/>
      <c r="AW42" s="66"/>
      <c r="AX42" s="66"/>
      <c r="AY42" s="66"/>
      <c r="AZ42" s="66"/>
      <c r="BA42" s="66"/>
      <c r="BB42" s="66"/>
      <c r="BC42" s="13"/>
      <c r="BD42" s="13"/>
      <c r="BE42" s="13"/>
      <c r="BF42" s="13"/>
      <c r="BG42" s="66"/>
      <c r="BH42" s="66"/>
      <c r="BI42" s="66"/>
      <c r="BJ42" s="66"/>
      <c r="BK42" s="66"/>
      <c r="BL42" s="66"/>
      <c r="BM42" s="73"/>
      <c r="BN42" s="4"/>
      <c r="BO42" s="4"/>
      <c r="BP42" s="4"/>
      <c r="BQ42" s="4"/>
      <c r="BR42" s="4"/>
    </row>
    <row r="43" spans="1:85" ht="14.25" customHeight="1" x14ac:dyDescent="0.25">
      <c r="A43" s="4"/>
      <c r="B43" s="10"/>
      <c r="C43" s="11"/>
      <c r="D43" s="12"/>
      <c r="E43" s="4"/>
      <c r="F43" s="4"/>
      <c r="G43" s="4"/>
      <c r="H43" s="4"/>
      <c r="I43" s="66"/>
      <c r="J43" s="66"/>
      <c r="K43" s="66"/>
      <c r="L43" s="66"/>
      <c r="M43" s="66"/>
      <c r="N43" s="66"/>
      <c r="O43" s="13"/>
      <c r="P43" s="13"/>
      <c r="Q43" s="13"/>
      <c r="R43" s="13"/>
      <c r="S43" s="66"/>
      <c r="T43" s="66"/>
      <c r="U43" s="66"/>
      <c r="V43" s="66"/>
      <c r="W43" s="66"/>
      <c r="X43" s="66"/>
      <c r="Y43" s="13"/>
      <c r="Z43" s="13"/>
      <c r="AA43" s="13"/>
      <c r="AB43" s="13"/>
      <c r="AC43" s="66"/>
      <c r="AD43" s="66"/>
      <c r="AE43" s="66"/>
      <c r="AF43" s="66"/>
      <c r="AG43" s="66"/>
      <c r="AH43" s="66"/>
      <c r="AI43" s="13"/>
      <c r="AJ43" s="13"/>
      <c r="AK43" s="13"/>
      <c r="AL43" s="13"/>
      <c r="AM43" s="66"/>
      <c r="AN43" s="66"/>
      <c r="AO43" s="66"/>
      <c r="AP43" s="66"/>
      <c r="AQ43" s="66"/>
      <c r="AR43" s="66"/>
      <c r="AS43" s="13"/>
      <c r="AT43" s="13"/>
      <c r="AU43" s="13"/>
      <c r="AV43" s="13"/>
      <c r="AW43" s="66"/>
      <c r="AX43" s="66"/>
      <c r="AY43" s="66"/>
      <c r="AZ43" s="66"/>
      <c r="BA43" s="66"/>
      <c r="BB43" s="66"/>
      <c r="BC43" s="13"/>
      <c r="BD43" s="13"/>
      <c r="BE43" s="13"/>
      <c r="BF43" s="13"/>
      <c r="BG43" s="66"/>
      <c r="BH43" s="66"/>
      <c r="BI43" s="66"/>
      <c r="BJ43" s="66"/>
      <c r="BK43" s="66"/>
      <c r="BL43" s="66"/>
      <c r="BM43" s="73"/>
      <c r="BN43" s="4"/>
      <c r="BO43" s="4"/>
      <c r="BP43" s="4"/>
      <c r="BQ43" s="4"/>
      <c r="BR43" s="4"/>
    </row>
    <row r="44" spans="1:85" ht="14.25" customHeight="1" x14ac:dyDescent="0.25">
      <c r="A44" s="153" t="s">
        <v>66</v>
      </c>
      <c r="B44" s="153"/>
      <c r="C44" s="153"/>
      <c r="D44" s="153"/>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3"/>
      <c r="BK44" s="153"/>
      <c r="BL44" s="153"/>
      <c r="BM44" s="153"/>
      <c r="BN44" s="153"/>
      <c r="BO44" s="153"/>
      <c r="BP44" s="153"/>
      <c r="BQ44" s="153"/>
      <c r="BR44" s="153"/>
    </row>
    <row r="45" spans="1:85" ht="14.25" customHeight="1" x14ac:dyDescent="0.25">
      <c r="A45" s="154"/>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4"/>
      <c r="AX45" s="154"/>
      <c r="AY45" s="154"/>
      <c r="AZ45" s="154"/>
      <c r="BA45" s="154"/>
      <c r="BB45" s="154"/>
      <c r="BC45" s="154"/>
      <c r="BD45" s="154"/>
      <c r="BE45" s="154"/>
      <c r="BF45" s="154"/>
      <c r="BG45" s="154"/>
      <c r="BH45" s="154"/>
      <c r="BI45" s="154"/>
      <c r="BJ45" s="154"/>
      <c r="BK45" s="154"/>
      <c r="BL45" s="154"/>
      <c r="BM45" s="154"/>
      <c r="BN45" s="154"/>
      <c r="BO45" s="154"/>
      <c r="BP45" s="154"/>
      <c r="BQ45" s="154"/>
      <c r="BR45" s="154"/>
    </row>
    <row r="46" spans="1:85" ht="14.25" customHeight="1" x14ac:dyDescent="0.25">
      <c r="A46" s="106" t="s">
        <v>108</v>
      </c>
      <c r="B46" s="133" t="s">
        <v>107</v>
      </c>
      <c r="C46" s="134"/>
      <c r="D46" s="132" t="s">
        <v>126</v>
      </c>
      <c r="E46" s="132"/>
      <c r="F46" s="132"/>
      <c r="G46" s="132"/>
      <c r="H46" s="132"/>
      <c r="I46" s="132"/>
      <c r="J46" s="132"/>
      <c r="K46" s="132"/>
      <c r="L46" s="132"/>
      <c r="M46" s="132"/>
      <c r="N46" s="132"/>
      <c r="O46" s="155"/>
      <c r="P46" s="156" t="s">
        <v>113</v>
      </c>
      <c r="Q46" s="132"/>
      <c r="R46" s="132"/>
      <c r="S46" s="132"/>
      <c r="T46" s="132"/>
      <c r="U46" s="132"/>
      <c r="V46" s="132"/>
      <c r="W46" s="132"/>
      <c r="X46" s="132"/>
      <c r="Y46" s="132"/>
      <c r="Z46" s="132"/>
      <c r="AA46" s="132"/>
      <c r="AB46" s="132"/>
      <c r="AC46" s="132"/>
      <c r="AD46" s="132"/>
      <c r="AE46" s="132"/>
      <c r="AF46" s="132"/>
      <c r="AG46" s="132"/>
      <c r="AH46" s="132"/>
      <c r="AI46" s="132"/>
      <c r="AJ46" s="132"/>
      <c r="AK46" s="132"/>
      <c r="AL46" s="132"/>
      <c r="AM46" s="132"/>
      <c r="AN46" s="132"/>
      <c r="AO46" s="132"/>
      <c r="AP46" s="155"/>
      <c r="AQ46" s="157" t="s">
        <v>179</v>
      </c>
      <c r="AR46" s="132"/>
      <c r="AS46" s="132"/>
      <c r="AT46" s="132"/>
      <c r="AU46" s="132"/>
      <c r="AV46" s="132"/>
      <c r="AW46" s="132"/>
      <c r="AX46" s="132"/>
      <c r="AY46" s="132"/>
      <c r="AZ46" s="132"/>
      <c r="BA46" s="132"/>
      <c r="BB46" s="155"/>
      <c r="BC46" s="157" t="s">
        <v>180</v>
      </c>
      <c r="BD46" s="132"/>
      <c r="BE46" s="132"/>
      <c r="BF46" s="132"/>
      <c r="BG46" s="132"/>
      <c r="BH46" s="132"/>
      <c r="BI46" s="132"/>
      <c r="BJ46" s="132"/>
      <c r="BK46" s="132"/>
      <c r="BL46" s="132"/>
      <c r="BM46" s="132"/>
      <c r="BN46" s="155"/>
      <c r="BO46" s="158" t="s">
        <v>123</v>
      </c>
      <c r="BP46" s="134"/>
      <c r="BQ46" s="134"/>
      <c r="BR46" s="134"/>
    </row>
    <row r="47" spans="1:85" ht="14.25" customHeight="1" x14ac:dyDescent="0.25">
      <c r="A47" s="106"/>
      <c r="B47" s="134"/>
      <c r="C47" s="134"/>
      <c r="D47" s="132"/>
      <c r="E47" s="132"/>
      <c r="F47" s="132"/>
      <c r="G47" s="132"/>
      <c r="H47" s="132"/>
      <c r="I47" s="132"/>
      <c r="J47" s="132"/>
      <c r="K47" s="132"/>
      <c r="L47" s="132"/>
      <c r="M47" s="132"/>
      <c r="N47" s="132"/>
      <c r="O47" s="155"/>
      <c r="P47" s="156"/>
      <c r="Q47" s="132"/>
      <c r="R47" s="132"/>
      <c r="S47" s="132"/>
      <c r="T47" s="132"/>
      <c r="U47" s="132"/>
      <c r="V47" s="132"/>
      <c r="W47" s="132"/>
      <c r="X47" s="132"/>
      <c r="Y47" s="132"/>
      <c r="Z47" s="132"/>
      <c r="AA47" s="132"/>
      <c r="AB47" s="132"/>
      <c r="AC47" s="132"/>
      <c r="AD47" s="132"/>
      <c r="AE47" s="132"/>
      <c r="AF47" s="132"/>
      <c r="AG47" s="132"/>
      <c r="AH47" s="132"/>
      <c r="AI47" s="132"/>
      <c r="AJ47" s="132"/>
      <c r="AK47" s="132"/>
      <c r="AL47" s="132"/>
      <c r="AM47" s="132"/>
      <c r="AN47" s="132"/>
      <c r="AO47" s="132"/>
      <c r="AP47" s="155"/>
      <c r="AQ47" s="157"/>
      <c r="AR47" s="132"/>
      <c r="AS47" s="132"/>
      <c r="AT47" s="132"/>
      <c r="AU47" s="132"/>
      <c r="AV47" s="132"/>
      <c r="AW47" s="132"/>
      <c r="AX47" s="132"/>
      <c r="AY47" s="132"/>
      <c r="AZ47" s="132"/>
      <c r="BA47" s="132"/>
      <c r="BB47" s="155"/>
      <c r="BC47" s="157"/>
      <c r="BD47" s="132"/>
      <c r="BE47" s="132"/>
      <c r="BF47" s="132"/>
      <c r="BG47" s="132"/>
      <c r="BH47" s="132"/>
      <c r="BI47" s="132"/>
      <c r="BJ47" s="132"/>
      <c r="BK47" s="132"/>
      <c r="BL47" s="132"/>
      <c r="BM47" s="132"/>
      <c r="BN47" s="155"/>
      <c r="BO47" s="158"/>
      <c r="BP47" s="134"/>
      <c r="BQ47" s="134"/>
      <c r="BR47" s="134"/>
      <c r="BS47" s="71"/>
      <c r="BT47" s="71"/>
      <c r="BU47" s="71"/>
      <c r="BV47" s="71"/>
      <c r="BW47" s="71"/>
      <c r="BX47" s="71"/>
      <c r="BY47" s="71"/>
      <c r="BZ47" s="71"/>
    </row>
    <row r="48" spans="1:85" ht="14.25" customHeight="1" x14ac:dyDescent="0.25">
      <c r="A48" s="106"/>
      <c r="B48" s="134"/>
      <c r="C48" s="134"/>
      <c r="D48" s="132"/>
      <c r="E48" s="132"/>
      <c r="F48" s="132"/>
      <c r="G48" s="132"/>
      <c r="H48" s="132"/>
      <c r="I48" s="132"/>
      <c r="J48" s="132"/>
      <c r="K48" s="132"/>
      <c r="L48" s="132"/>
      <c r="M48" s="132"/>
      <c r="N48" s="132"/>
      <c r="O48" s="155"/>
      <c r="P48" s="157" t="s">
        <v>109</v>
      </c>
      <c r="Q48" s="132"/>
      <c r="R48" s="132"/>
      <c r="S48" s="132"/>
      <c r="T48" s="132"/>
      <c r="U48" s="155"/>
      <c r="V48" s="156" t="s">
        <v>114</v>
      </c>
      <c r="W48" s="132"/>
      <c r="X48" s="132"/>
      <c r="Y48" s="132"/>
      <c r="Z48" s="132"/>
      <c r="AA48" s="132"/>
      <c r="AB48" s="132"/>
      <c r="AC48" s="132"/>
      <c r="AD48" s="132"/>
      <c r="AE48" s="132"/>
      <c r="AF48" s="132"/>
      <c r="AG48" s="132"/>
      <c r="AH48" s="132"/>
      <c r="AI48" s="132"/>
      <c r="AJ48" s="132"/>
      <c r="AK48" s="132"/>
      <c r="AL48" s="132"/>
      <c r="AM48" s="132"/>
      <c r="AN48" s="135" t="s">
        <v>120</v>
      </c>
      <c r="AO48" s="135"/>
      <c r="AP48" s="159"/>
      <c r="AQ48" s="144" t="s">
        <v>124</v>
      </c>
      <c r="AR48" s="106"/>
      <c r="AS48" s="106"/>
      <c r="AT48" s="106"/>
      <c r="AU48" s="106"/>
      <c r="AV48" s="106"/>
      <c r="AW48" s="106" t="s">
        <v>125</v>
      </c>
      <c r="AX48" s="106"/>
      <c r="AY48" s="106"/>
      <c r="AZ48" s="106"/>
      <c r="BA48" s="106"/>
      <c r="BB48" s="147"/>
      <c r="BC48" s="144" t="s">
        <v>124</v>
      </c>
      <c r="BD48" s="106"/>
      <c r="BE48" s="106"/>
      <c r="BF48" s="106"/>
      <c r="BG48" s="106"/>
      <c r="BH48" s="106"/>
      <c r="BI48" s="106" t="s">
        <v>125</v>
      </c>
      <c r="BJ48" s="106"/>
      <c r="BK48" s="106"/>
      <c r="BL48" s="106"/>
      <c r="BM48" s="106"/>
      <c r="BN48" s="147"/>
      <c r="BO48" s="158"/>
      <c r="BP48" s="134"/>
      <c r="BQ48" s="134"/>
      <c r="BR48" s="134"/>
      <c r="BS48" s="71"/>
      <c r="BT48" s="71"/>
      <c r="BU48" s="71"/>
      <c r="BV48" s="71"/>
      <c r="BW48" s="71"/>
      <c r="BX48" s="71"/>
      <c r="BY48" s="71"/>
      <c r="BZ48" s="71"/>
    </row>
    <row r="49" spans="1:78" ht="14.25" customHeight="1" x14ac:dyDescent="0.25">
      <c r="A49" s="106"/>
      <c r="B49" s="134"/>
      <c r="C49" s="134"/>
      <c r="D49" s="132"/>
      <c r="E49" s="132"/>
      <c r="F49" s="132"/>
      <c r="G49" s="132"/>
      <c r="H49" s="132"/>
      <c r="I49" s="132"/>
      <c r="J49" s="132"/>
      <c r="K49" s="132"/>
      <c r="L49" s="132"/>
      <c r="M49" s="132"/>
      <c r="N49" s="132"/>
      <c r="O49" s="155"/>
      <c r="P49" s="157"/>
      <c r="Q49" s="132"/>
      <c r="R49" s="132"/>
      <c r="S49" s="132"/>
      <c r="T49" s="132"/>
      <c r="U49" s="155"/>
      <c r="V49" s="156"/>
      <c r="W49" s="132"/>
      <c r="X49" s="132"/>
      <c r="Y49" s="132"/>
      <c r="Z49" s="132"/>
      <c r="AA49" s="132"/>
      <c r="AB49" s="132"/>
      <c r="AC49" s="132"/>
      <c r="AD49" s="132"/>
      <c r="AE49" s="132"/>
      <c r="AF49" s="132"/>
      <c r="AG49" s="132"/>
      <c r="AH49" s="132"/>
      <c r="AI49" s="132"/>
      <c r="AJ49" s="132"/>
      <c r="AK49" s="132"/>
      <c r="AL49" s="132"/>
      <c r="AM49" s="132"/>
      <c r="AN49" s="135"/>
      <c r="AO49" s="135"/>
      <c r="AP49" s="159"/>
      <c r="AQ49" s="144"/>
      <c r="AR49" s="106"/>
      <c r="AS49" s="106"/>
      <c r="AT49" s="106"/>
      <c r="AU49" s="106"/>
      <c r="AV49" s="106"/>
      <c r="AW49" s="106"/>
      <c r="AX49" s="106"/>
      <c r="AY49" s="106"/>
      <c r="AZ49" s="106"/>
      <c r="BA49" s="106"/>
      <c r="BB49" s="147"/>
      <c r="BC49" s="144"/>
      <c r="BD49" s="106"/>
      <c r="BE49" s="106"/>
      <c r="BF49" s="106"/>
      <c r="BG49" s="106"/>
      <c r="BH49" s="106"/>
      <c r="BI49" s="106"/>
      <c r="BJ49" s="106"/>
      <c r="BK49" s="106"/>
      <c r="BL49" s="106"/>
      <c r="BM49" s="106"/>
      <c r="BN49" s="147"/>
      <c r="BO49" s="158"/>
      <c r="BP49" s="134"/>
      <c r="BQ49" s="134"/>
      <c r="BR49" s="134"/>
      <c r="BS49" s="71"/>
      <c r="BT49" s="71"/>
      <c r="BU49" s="71"/>
      <c r="BV49" s="71"/>
      <c r="BW49" s="71"/>
      <c r="BX49" s="71"/>
      <c r="BY49" s="71"/>
      <c r="BZ49" s="71"/>
    </row>
    <row r="50" spans="1:78" ht="14.25" customHeight="1" x14ac:dyDescent="0.25">
      <c r="A50" s="106"/>
      <c r="B50" s="134"/>
      <c r="C50" s="134"/>
      <c r="D50" s="132"/>
      <c r="E50" s="132"/>
      <c r="F50" s="132"/>
      <c r="G50" s="132"/>
      <c r="H50" s="132"/>
      <c r="I50" s="132"/>
      <c r="J50" s="132"/>
      <c r="K50" s="132"/>
      <c r="L50" s="132"/>
      <c r="M50" s="132"/>
      <c r="N50" s="132"/>
      <c r="O50" s="155"/>
      <c r="P50" s="157"/>
      <c r="Q50" s="132"/>
      <c r="R50" s="132"/>
      <c r="S50" s="132"/>
      <c r="T50" s="132"/>
      <c r="U50" s="155"/>
      <c r="V50" s="176" t="s">
        <v>87</v>
      </c>
      <c r="W50" s="135"/>
      <c r="X50" s="135"/>
      <c r="Y50" s="135" t="s">
        <v>115</v>
      </c>
      <c r="Z50" s="135"/>
      <c r="AA50" s="135"/>
      <c r="AB50" s="135" t="s">
        <v>116</v>
      </c>
      <c r="AC50" s="135"/>
      <c r="AD50" s="135"/>
      <c r="AE50" s="135" t="s">
        <v>117</v>
      </c>
      <c r="AF50" s="135"/>
      <c r="AG50" s="135"/>
      <c r="AH50" s="135" t="s">
        <v>118</v>
      </c>
      <c r="AI50" s="135"/>
      <c r="AJ50" s="135"/>
      <c r="AK50" s="135" t="s">
        <v>119</v>
      </c>
      <c r="AL50" s="135"/>
      <c r="AM50" s="135"/>
      <c r="AN50" s="135"/>
      <c r="AO50" s="135"/>
      <c r="AP50" s="159"/>
      <c r="AQ50" s="144">
        <v>1</v>
      </c>
      <c r="AR50" s="106"/>
      <c r="AS50" s="106"/>
      <c r="AT50" s="106">
        <v>2</v>
      </c>
      <c r="AU50" s="106"/>
      <c r="AV50" s="106"/>
      <c r="AW50" s="106">
        <v>3</v>
      </c>
      <c r="AX50" s="106"/>
      <c r="AY50" s="106"/>
      <c r="AZ50" s="106">
        <v>4</v>
      </c>
      <c r="BA50" s="106"/>
      <c r="BB50" s="147"/>
      <c r="BC50" s="144">
        <v>1</v>
      </c>
      <c r="BD50" s="106"/>
      <c r="BE50" s="106"/>
      <c r="BF50" s="106">
        <v>2</v>
      </c>
      <c r="BG50" s="106"/>
      <c r="BH50" s="106"/>
      <c r="BI50" s="106">
        <v>3</v>
      </c>
      <c r="BJ50" s="106"/>
      <c r="BK50" s="106"/>
      <c r="BL50" s="106">
        <v>4</v>
      </c>
      <c r="BM50" s="106"/>
      <c r="BN50" s="147"/>
      <c r="BO50" s="158"/>
      <c r="BP50" s="134"/>
      <c r="BQ50" s="134"/>
      <c r="BR50" s="134"/>
      <c r="BS50" s="71"/>
      <c r="BT50" s="71"/>
      <c r="BU50" s="71"/>
      <c r="BV50" s="71"/>
      <c r="BW50" s="71"/>
      <c r="BX50" s="71"/>
      <c r="BY50" s="71"/>
      <c r="BZ50" s="71"/>
    </row>
    <row r="51" spans="1:78" ht="14.25" customHeight="1" x14ac:dyDescent="0.25">
      <c r="A51" s="106"/>
      <c r="B51" s="134"/>
      <c r="C51" s="134"/>
      <c r="D51" s="132"/>
      <c r="E51" s="132"/>
      <c r="F51" s="132"/>
      <c r="G51" s="132"/>
      <c r="H51" s="132"/>
      <c r="I51" s="132"/>
      <c r="J51" s="132"/>
      <c r="K51" s="132"/>
      <c r="L51" s="132"/>
      <c r="M51" s="132"/>
      <c r="N51" s="132"/>
      <c r="O51" s="155"/>
      <c r="P51" s="157"/>
      <c r="Q51" s="132"/>
      <c r="R51" s="132"/>
      <c r="S51" s="132"/>
      <c r="T51" s="132"/>
      <c r="U51" s="155"/>
      <c r="V51" s="176"/>
      <c r="W51" s="135"/>
      <c r="X51" s="135"/>
      <c r="Y51" s="135"/>
      <c r="Z51" s="135"/>
      <c r="AA51" s="135"/>
      <c r="AB51" s="135"/>
      <c r="AC51" s="135"/>
      <c r="AD51" s="135"/>
      <c r="AE51" s="135"/>
      <c r="AF51" s="135"/>
      <c r="AG51" s="135"/>
      <c r="AH51" s="135"/>
      <c r="AI51" s="135"/>
      <c r="AJ51" s="135"/>
      <c r="AK51" s="135"/>
      <c r="AL51" s="135"/>
      <c r="AM51" s="135"/>
      <c r="AN51" s="135"/>
      <c r="AO51" s="135"/>
      <c r="AP51" s="159"/>
      <c r="AQ51" s="144"/>
      <c r="AR51" s="106"/>
      <c r="AS51" s="106"/>
      <c r="AT51" s="106"/>
      <c r="AU51" s="106"/>
      <c r="AV51" s="106"/>
      <c r="AW51" s="106"/>
      <c r="AX51" s="106"/>
      <c r="AY51" s="106"/>
      <c r="AZ51" s="106"/>
      <c r="BA51" s="106"/>
      <c r="BB51" s="147"/>
      <c r="BC51" s="144"/>
      <c r="BD51" s="106"/>
      <c r="BE51" s="106"/>
      <c r="BF51" s="106"/>
      <c r="BG51" s="106"/>
      <c r="BH51" s="106"/>
      <c r="BI51" s="106"/>
      <c r="BJ51" s="106"/>
      <c r="BK51" s="106"/>
      <c r="BL51" s="106"/>
      <c r="BM51" s="106"/>
      <c r="BN51" s="147"/>
      <c r="BO51" s="158"/>
      <c r="BP51" s="134"/>
      <c r="BQ51" s="134"/>
      <c r="BR51" s="134"/>
      <c r="BS51" s="71"/>
      <c r="BT51" s="71"/>
      <c r="BU51" s="71"/>
      <c r="BV51" s="71"/>
      <c r="BW51" s="71"/>
      <c r="BX51" s="71"/>
      <c r="BY51" s="71"/>
      <c r="BZ51" s="71"/>
    </row>
    <row r="52" spans="1:78" ht="14.25" customHeight="1" x14ac:dyDescent="0.25">
      <c r="A52" s="106"/>
      <c r="B52" s="134"/>
      <c r="C52" s="134"/>
      <c r="D52" s="132"/>
      <c r="E52" s="132"/>
      <c r="F52" s="132"/>
      <c r="G52" s="132"/>
      <c r="H52" s="132"/>
      <c r="I52" s="132"/>
      <c r="J52" s="132"/>
      <c r="K52" s="132"/>
      <c r="L52" s="132"/>
      <c r="M52" s="132"/>
      <c r="N52" s="132"/>
      <c r="O52" s="155"/>
      <c r="P52" s="157"/>
      <c r="Q52" s="132"/>
      <c r="R52" s="132"/>
      <c r="S52" s="132"/>
      <c r="T52" s="132"/>
      <c r="U52" s="155"/>
      <c r="V52" s="176"/>
      <c r="W52" s="135"/>
      <c r="X52" s="135"/>
      <c r="Y52" s="135"/>
      <c r="Z52" s="135"/>
      <c r="AA52" s="135"/>
      <c r="AB52" s="135"/>
      <c r="AC52" s="135"/>
      <c r="AD52" s="135"/>
      <c r="AE52" s="135"/>
      <c r="AF52" s="135"/>
      <c r="AG52" s="135"/>
      <c r="AH52" s="135"/>
      <c r="AI52" s="135"/>
      <c r="AJ52" s="135"/>
      <c r="AK52" s="135"/>
      <c r="AL52" s="135"/>
      <c r="AM52" s="135"/>
      <c r="AN52" s="135"/>
      <c r="AO52" s="135"/>
      <c r="AP52" s="159"/>
      <c r="AQ52" s="157" t="s">
        <v>121</v>
      </c>
      <c r="AR52" s="132"/>
      <c r="AS52" s="132"/>
      <c r="AT52" s="132"/>
      <c r="AU52" s="132"/>
      <c r="AV52" s="132"/>
      <c r="AW52" s="132"/>
      <c r="AX52" s="132"/>
      <c r="AY52" s="132"/>
      <c r="AZ52" s="132"/>
      <c r="BA52" s="132"/>
      <c r="BB52" s="155"/>
      <c r="BC52" s="157" t="s">
        <v>122</v>
      </c>
      <c r="BD52" s="132"/>
      <c r="BE52" s="132"/>
      <c r="BF52" s="132"/>
      <c r="BG52" s="132"/>
      <c r="BH52" s="132"/>
      <c r="BI52" s="132"/>
      <c r="BJ52" s="132"/>
      <c r="BK52" s="132"/>
      <c r="BL52" s="132"/>
      <c r="BM52" s="132"/>
      <c r="BN52" s="155"/>
      <c r="BO52" s="158"/>
      <c r="BP52" s="134"/>
      <c r="BQ52" s="134"/>
      <c r="BR52" s="134"/>
      <c r="BS52" s="71"/>
      <c r="BT52" s="71"/>
      <c r="BU52" s="71"/>
      <c r="BV52" s="71"/>
      <c r="BW52" s="71"/>
      <c r="BX52" s="71"/>
      <c r="BY52" s="71"/>
      <c r="BZ52" s="71"/>
    </row>
    <row r="53" spans="1:78" ht="14.25" customHeight="1" x14ac:dyDescent="0.25">
      <c r="A53" s="106"/>
      <c r="B53" s="134"/>
      <c r="C53" s="134"/>
      <c r="D53" s="132"/>
      <c r="E53" s="132"/>
      <c r="F53" s="132"/>
      <c r="G53" s="132"/>
      <c r="H53" s="132"/>
      <c r="I53" s="132"/>
      <c r="J53" s="132"/>
      <c r="K53" s="132"/>
      <c r="L53" s="132"/>
      <c r="M53" s="132"/>
      <c r="N53" s="132"/>
      <c r="O53" s="155"/>
      <c r="P53" s="157"/>
      <c r="Q53" s="132"/>
      <c r="R53" s="132"/>
      <c r="S53" s="132"/>
      <c r="T53" s="132"/>
      <c r="U53" s="155"/>
      <c r="V53" s="176"/>
      <c r="W53" s="135"/>
      <c r="X53" s="135"/>
      <c r="Y53" s="135"/>
      <c r="Z53" s="135"/>
      <c r="AA53" s="135"/>
      <c r="AB53" s="135"/>
      <c r="AC53" s="135"/>
      <c r="AD53" s="135"/>
      <c r="AE53" s="135"/>
      <c r="AF53" s="135"/>
      <c r="AG53" s="135"/>
      <c r="AH53" s="135"/>
      <c r="AI53" s="135"/>
      <c r="AJ53" s="135"/>
      <c r="AK53" s="135"/>
      <c r="AL53" s="135"/>
      <c r="AM53" s="135"/>
      <c r="AN53" s="135"/>
      <c r="AO53" s="135"/>
      <c r="AP53" s="159"/>
      <c r="AQ53" s="157"/>
      <c r="AR53" s="132"/>
      <c r="AS53" s="132"/>
      <c r="AT53" s="132"/>
      <c r="AU53" s="132"/>
      <c r="AV53" s="132"/>
      <c r="AW53" s="132"/>
      <c r="AX53" s="132"/>
      <c r="AY53" s="132"/>
      <c r="AZ53" s="132"/>
      <c r="BA53" s="132"/>
      <c r="BB53" s="155"/>
      <c r="BC53" s="157"/>
      <c r="BD53" s="132"/>
      <c r="BE53" s="132"/>
      <c r="BF53" s="132"/>
      <c r="BG53" s="132"/>
      <c r="BH53" s="132"/>
      <c r="BI53" s="132"/>
      <c r="BJ53" s="132"/>
      <c r="BK53" s="132"/>
      <c r="BL53" s="132"/>
      <c r="BM53" s="132"/>
      <c r="BN53" s="155"/>
      <c r="BO53" s="158"/>
      <c r="BP53" s="134"/>
      <c r="BQ53" s="134"/>
      <c r="BR53" s="134"/>
      <c r="BS53" s="71"/>
      <c r="BT53" s="71"/>
      <c r="BU53" s="71"/>
      <c r="BV53" s="71"/>
      <c r="BW53" s="71"/>
      <c r="BX53" s="71"/>
      <c r="BY53" s="71"/>
      <c r="BZ53" s="71"/>
    </row>
    <row r="54" spans="1:78" ht="14.25" customHeight="1" x14ac:dyDescent="0.25">
      <c r="A54" s="106"/>
      <c r="B54" s="134"/>
      <c r="C54" s="134"/>
      <c r="D54" s="132"/>
      <c r="E54" s="132"/>
      <c r="F54" s="132"/>
      <c r="G54" s="132"/>
      <c r="H54" s="132"/>
      <c r="I54" s="132"/>
      <c r="J54" s="132"/>
      <c r="K54" s="132"/>
      <c r="L54" s="132"/>
      <c r="M54" s="132"/>
      <c r="N54" s="132"/>
      <c r="O54" s="155"/>
      <c r="P54" s="157"/>
      <c r="Q54" s="132"/>
      <c r="R54" s="132"/>
      <c r="S54" s="132"/>
      <c r="T54" s="132"/>
      <c r="U54" s="155"/>
      <c r="V54" s="176"/>
      <c r="W54" s="135"/>
      <c r="X54" s="135"/>
      <c r="Y54" s="135"/>
      <c r="Z54" s="135"/>
      <c r="AA54" s="135"/>
      <c r="AB54" s="135"/>
      <c r="AC54" s="135"/>
      <c r="AD54" s="135"/>
      <c r="AE54" s="135"/>
      <c r="AF54" s="135"/>
      <c r="AG54" s="135"/>
      <c r="AH54" s="135"/>
      <c r="AI54" s="135"/>
      <c r="AJ54" s="135"/>
      <c r="AK54" s="135"/>
      <c r="AL54" s="135"/>
      <c r="AM54" s="135"/>
      <c r="AN54" s="135"/>
      <c r="AO54" s="135"/>
      <c r="AP54" s="159"/>
      <c r="AQ54" s="144">
        <v>15</v>
      </c>
      <c r="AR54" s="106"/>
      <c r="AS54" s="106"/>
      <c r="AT54" s="106">
        <v>15</v>
      </c>
      <c r="AU54" s="106"/>
      <c r="AV54" s="106"/>
      <c r="AW54" s="106">
        <v>15</v>
      </c>
      <c r="AX54" s="106"/>
      <c r="AY54" s="106"/>
      <c r="AZ54" s="106">
        <v>15</v>
      </c>
      <c r="BA54" s="106"/>
      <c r="BB54" s="147"/>
      <c r="BC54" s="144">
        <v>15</v>
      </c>
      <c r="BD54" s="106"/>
      <c r="BE54" s="106"/>
      <c r="BF54" s="106">
        <v>15</v>
      </c>
      <c r="BG54" s="106"/>
      <c r="BH54" s="106"/>
      <c r="BI54" s="106">
        <v>15</v>
      </c>
      <c r="BJ54" s="106"/>
      <c r="BK54" s="106"/>
      <c r="BL54" s="106">
        <v>15</v>
      </c>
      <c r="BM54" s="106"/>
      <c r="BN54" s="147"/>
      <c r="BO54" s="158"/>
      <c r="BP54" s="134"/>
      <c r="BQ54" s="134"/>
      <c r="BR54" s="134"/>
      <c r="BS54" s="71"/>
      <c r="BT54" s="71"/>
      <c r="BU54" s="71"/>
      <c r="BV54" s="71"/>
      <c r="BW54" s="71"/>
      <c r="BX54" s="71"/>
      <c r="BY54" s="71"/>
      <c r="BZ54" s="71"/>
    </row>
    <row r="55" spans="1:78" ht="14.25" customHeight="1" x14ac:dyDescent="0.25">
      <c r="A55" s="106"/>
      <c r="B55" s="134"/>
      <c r="C55" s="134"/>
      <c r="D55" s="132"/>
      <c r="E55" s="132"/>
      <c r="F55" s="132"/>
      <c r="G55" s="132"/>
      <c r="H55" s="132"/>
      <c r="I55" s="132"/>
      <c r="J55" s="132"/>
      <c r="K55" s="132"/>
      <c r="L55" s="132"/>
      <c r="M55" s="132"/>
      <c r="N55" s="132"/>
      <c r="O55" s="155"/>
      <c r="P55" s="144" t="s">
        <v>110</v>
      </c>
      <c r="Q55" s="106"/>
      <c r="R55" s="106"/>
      <c r="S55" s="106" t="s">
        <v>5</v>
      </c>
      <c r="T55" s="106"/>
      <c r="U55" s="147"/>
      <c r="V55" s="176"/>
      <c r="W55" s="135"/>
      <c r="X55" s="135"/>
      <c r="Y55" s="135"/>
      <c r="Z55" s="135"/>
      <c r="AA55" s="135"/>
      <c r="AB55" s="135"/>
      <c r="AC55" s="135"/>
      <c r="AD55" s="135"/>
      <c r="AE55" s="135"/>
      <c r="AF55" s="135"/>
      <c r="AG55" s="135"/>
      <c r="AH55" s="135"/>
      <c r="AI55" s="135"/>
      <c r="AJ55" s="135"/>
      <c r="AK55" s="135"/>
      <c r="AL55" s="135"/>
      <c r="AM55" s="135"/>
      <c r="AN55" s="135"/>
      <c r="AO55" s="135"/>
      <c r="AP55" s="159"/>
      <c r="AQ55" s="144"/>
      <c r="AR55" s="106"/>
      <c r="AS55" s="106"/>
      <c r="AT55" s="106"/>
      <c r="AU55" s="106"/>
      <c r="AV55" s="106"/>
      <c r="AW55" s="106"/>
      <c r="AX55" s="106"/>
      <c r="AY55" s="106"/>
      <c r="AZ55" s="106"/>
      <c r="BA55" s="106"/>
      <c r="BB55" s="147"/>
      <c r="BC55" s="144"/>
      <c r="BD55" s="106"/>
      <c r="BE55" s="106"/>
      <c r="BF55" s="106"/>
      <c r="BG55" s="106"/>
      <c r="BH55" s="106"/>
      <c r="BI55" s="106"/>
      <c r="BJ55" s="106"/>
      <c r="BK55" s="106"/>
      <c r="BL55" s="106"/>
      <c r="BM55" s="106"/>
      <c r="BN55" s="147"/>
      <c r="BO55" s="158"/>
      <c r="BP55" s="134"/>
      <c r="BQ55" s="134"/>
      <c r="BR55" s="134"/>
      <c r="BS55" s="71"/>
      <c r="BT55" s="71"/>
      <c r="BU55" s="71"/>
      <c r="BV55" s="71"/>
      <c r="BW55" s="71"/>
      <c r="BX55" s="71"/>
      <c r="BY55" s="71"/>
      <c r="BZ55" s="71"/>
    </row>
    <row r="56" spans="1:78" ht="14.25" customHeight="1" x14ac:dyDescent="0.25">
      <c r="A56" s="72">
        <v>1</v>
      </c>
      <c r="B56" s="130"/>
      <c r="C56" s="130"/>
      <c r="D56" s="106">
        <v>2</v>
      </c>
      <c r="E56" s="106"/>
      <c r="F56" s="106"/>
      <c r="G56" s="106"/>
      <c r="H56" s="106"/>
      <c r="I56" s="106"/>
      <c r="J56" s="106"/>
      <c r="K56" s="106"/>
      <c r="L56" s="106"/>
      <c r="M56" s="106"/>
      <c r="N56" s="106"/>
      <c r="O56" s="147"/>
      <c r="P56" s="144">
        <v>3</v>
      </c>
      <c r="Q56" s="106"/>
      <c r="R56" s="106"/>
      <c r="S56" s="106">
        <v>4</v>
      </c>
      <c r="T56" s="106"/>
      <c r="U56" s="147"/>
      <c r="V56" s="152">
        <v>5</v>
      </c>
      <c r="W56" s="106"/>
      <c r="X56" s="106"/>
      <c r="Y56" s="106">
        <v>6</v>
      </c>
      <c r="Z56" s="106"/>
      <c r="AA56" s="106"/>
      <c r="AB56" s="106">
        <v>7</v>
      </c>
      <c r="AC56" s="106"/>
      <c r="AD56" s="106"/>
      <c r="AE56" s="106">
        <v>8</v>
      </c>
      <c r="AF56" s="106"/>
      <c r="AG56" s="106"/>
      <c r="AH56" s="106">
        <v>9</v>
      </c>
      <c r="AI56" s="106"/>
      <c r="AJ56" s="106"/>
      <c r="AK56" s="106">
        <v>10</v>
      </c>
      <c r="AL56" s="106"/>
      <c r="AM56" s="106"/>
      <c r="AN56" s="106">
        <v>11</v>
      </c>
      <c r="AO56" s="106"/>
      <c r="AP56" s="147"/>
      <c r="AQ56" s="144">
        <v>12</v>
      </c>
      <c r="AR56" s="106"/>
      <c r="AS56" s="106"/>
      <c r="AT56" s="106">
        <v>13</v>
      </c>
      <c r="AU56" s="106"/>
      <c r="AV56" s="106"/>
      <c r="AW56" s="106">
        <v>14</v>
      </c>
      <c r="AX56" s="106"/>
      <c r="AY56" s="106"/>
      <c r="AZ56" s="106">
        <v>15</v>
      </c>
      <c r="BA56" s="106"/>
      <c r="BB56" s="147"/>
      <c r="BC56" s="144">
        <v>16</v>
      </c>
      <c r="BD56" s="106"/>
      <c r="BE56" s="106"/>
      <c r="BF56" s="106">
        <v>17</v>
      </c>
      <c r="BG56" s="106"/>
      <c r="BH56" s="106"/>
      <c r="BI56" s="106">
        <v>18</v>
      </c>
      <c r="BJ56" s="106"/>
      <c r="BK56" s="106"/>
      <c r="BL56" s="106">
        <v>19</v>
      </c>
      <c r="BM56" s="106"/>
      <c r="BN56" s="147"/>
      <c r="BO56" s="152">
        <v>20</v>
      </c>
      <c r="BP56" s="106"/>
      <c r="BQ56" s="106"/>
      <c r="BR56" s="106"/>
      <c r="BS56" s="71"/>
      <c r="BT56" s="71"/>
      <c r="BU56" s="71"/>
      <c r="BV56" s="71"/>
      <c r="BW56" s="71"/>
      <c r="BX56" s="71"/>
      <c r="BY56" s="71"/>
      <c r="BZ56" s="71"/>
    </row>
    <row r="57" spans="1:78" ht="14.25" customHeight="1" x14ac:dyDescent="0.25">
      <c r="A57" s="72" t="s">
        <v>6</v>
      </c>
      <c r="B57" s="130"/>
      <c r="C57" s="130"/>
      <c r="D57" s="182" t="s">
        <v>111</v>
      </c>
      <c r="E57" s="182"/>
      <c r="F57" s="182"/>
      <c r="G57" s="182"/>
      <c r="H57" s="182"/>
      <c r="I57" s="182"/>
      <c r="J57" s="182"/>
      <c r="K57" s="182"/>
      <c r="L57" s="182"/>
      <c r="M57" s="182"/>
      <c r="N57" s="182"/>
      <c r="O57" s="183"/>
      <c r="P57" s="144">
        <f t="shared" ref="P57:P65" si="5">SUM(V57+AN57)</f>
        <v>1470</v>
      </c>
      <c r="Q57" s="106"/>
      <c r="R57" s="106"/>
      <c r="S57" s="131">
        <f>P57/3600*100</f>
        <v>40.833333333333336</v>
      </c>
      <c r="T57" s="131"/>
      <c r="U57" s="151"/>
      <c r="V57" s="152">
        <f t="shared" ref="V57:V69" si="6">SUM(AQ57+AT57+AW57+AZ57)*15</f>
        <v>570</v>
      </c>
      <c r="W57" s="106"/>
      <c r="X57" s="106"/>
      <c r="Y57" s="106">
        <f>SUM(Y58:AA67)</f>
        <v>94</v>
      </c>
      <c r="Z57" s="106"/>
      <c r="AA57" s="106"/>
      <c r="AB57" s="106">
        <f>SUM(AB58:AD67)</f>
        <v>310</v>
      </c>
      <c r="AC57" s="106"/>
      <c r="AD57" s="106"/>
      <c r="AE57" s="106">
        <f>SUM(AE58:AG67)</f>
        <v>120</v>
      </c>
      <c r="AF57" s="106"/>
      <c r="AG57" s="106"/>
      <c r="AH57" s="106">
        <f>SUM(AH58:AJ67)</f>
        <v>46</v>
      </c>
      <c r="AI57" s="106"/>
      <c r="AJ57" s="106"/>
      <c r="AK57" s="106">
        <f>SUM(AK58:AM67)</f>
        <v>0</v>
      </c>
      <c r="AL57" s="106"/>
      <c r="AM57" s="106"/>
      <c r="AN57" s="106">
        <f>SUM(AN58:AP67)</f>
        <v>900</v>
      </c>
      <c r="AO57" s="106"/>
      <c r="AP57" s="147"/>
      <c r="AQ57" s="144">
        <f>SUM(AQ58:AS67)</f>
        <v>16</v>
      </c>
      <c r="AR57" s="106"/>
      <c r="AS57" s="106"/>
      <c r="AT57" s="106">
        <f>SUM(AT58:AV67)</f>
        <v>6</v>
      </c>
      <c r="AU57" s="106"/>
      <c r="AV57" s="106"/>
      <c r="AW57" s="106">
        <f>SUM(AW58:AY67)</f>
        <v>10</v>
      </c>
      <c r="AX57" s="106"/>
      <c r="AY57" s="106"/>
      <c r="AZ57" s="106">
        <f>SUM(AZ58:BB67)</f>
        <v>6</v>
      </c>
      <c r="BA57" s="106"/>
      <c r="BB57" s="147"/>
      <c r="BC57" s="144">
        <f>SUM(BC58:BE67)</f>
        <v>22</v>
      </c>
      <c r="BD57" s="106"/>
      <c r="BE57" s="106"/>
      <c r="BF57" s="106">
        <f>SUM(BF58:BH67)</f>
        <v>7</v>
      </c>
      <c r="BG57" s="106"/>
      <c r="BH57" s="106"/>
      <c r="BI57" s="106">
        <f>SUM(BI58:BK67)</f>
        <v>12</v>
      </c>
      <c r="BJ57" s="106"/>
      <c r="BK57" s="106"/>
      <c r="BL57" s="106">
        <f>SUM(BL58:BN67)</f>
        <v>8</v>
      </c>
      <c r="BM57" s="106"/>
      <c r="BN57" s="147"/>
      <c r="BO57" s="148">
        <f>SUM(P57/30)</f>
        <v>49</v>
      </c>
      <c r="BP57" s="105"/>
      <c r="BQ57" s="105"/>
      <c r="BR57" s="105"/>
      <c r="BS57" s="71">
        <f>SUM(V57/P57)*100</f>
        <v>38.775510204081634</v>
      </c>
      <c r="BT57" s="71">
        <f>SUM(AN57/P57)*100</f>
        <v>61.224489795918366</v>
      </c>
      <c r="BU57" s="71">
        <f>SUM(Y57:AJ57)</f>
        <v>570</v>
      </c>
      <c r="BV57" s="15">
        <f>IF(BU57=V57,1,0)</f>
        <v>1</v>
      </c>
      <c r="BW57" s="15" t="str">
        <f>IF(BV57=1,"тўғри","хато")</f>
        <v>тўғри</v>
      </c>
      <c r="BX57" s="71">
        <f>SUM(BC57:BN57)</f>
        <v>49</v>
      </c>
      <c r="BY57" s="15">
        <f>IF(BX57=BO57,1,0)</f>
        <v>1</v>
      </c>
      <c r="BZ57" s="15" t="str">
        <f>IF(BY57=1,"тўғри","хато")</f>
        <v>тўғри</v>
      </c>
    </row>
    <row r="58" spans="1:78" ht="14.25" customHeight="1" x14ac:dyDescent="0.25">
      <c r="A58" s="14" t="s">
        <v>7</v>
      </c>
      <c r="B58" s="104" t="s">
        <v>31</v>
      </c>
      <c r="C58" s="104"/>
      <c r="D58" s="149" t="s">
        <v>142</v>
      </c>
      <c r="E58" s="149"/>
      <c r="F58" s="149"/>
      <c r="G58" s="149"/>
      <c r="H58" s="149"/>
      <c r="I58" s="149"/>
      <c r="J58" s="149"/>
      <c r="K58" s="149"/>
      <c r="L58" s="149"/>
      <c r="M58" s="149"/>
      <c r="N58" s="149"/>
      <c r="O58" s="150"/>
      <c r="P58" s="144">
        <f t="shared" si="5"/>
        <v>90</v>
      </c>
      <c r="Q58" s="106"/>
      <c r="R58" s="106"/>
      <c r="S58" s="131"/>
      <c r="T58" s="131"/>
      <c r="U58" s="151"/>
      <c r="V58" s="152">
        <f t="shared" si="6"/>
        <v>30</v>
      </c>
      <c r="W58" s="106"/>
      <c r="X58" s="106"/>
      <c r="Y58" s="104">
        <v>16</v>
      </c>
      <c r="Z58" s="104"/>
      <c r="AA58" s="104"/>
      <c r="AB58" s="104">
        <v>14</v>
      </c>
      <c r="AC58" s="104"/>
      <c r="AD58" s="104"/>
      <c r="AE58" s="104"/>
      <c r="AF58" s="104"/>
      <c r="AG58" s="104"/>
      <c r="AH58" s="104"/>
      <c r="AI58" s="104"/>
      <c r="AJ58" s="104"/>
      <c r="AK58" s="104"/>
      <c r="AL58" s="104"/>
      <c r="AM58" s="104"/>
      <c r="AN58" s="104">
        <v>60</v>
      </c>
      <c r="AO58" s="104"/>
      <c r="AP58" s="145"/>
      <c r="AQ58" s="146">
        <v>2</v>
      </c>
      <c r="AR58" s="104"/>
      <c r="AS58" s="104"/>
      <c r="AT58" s="104"/>
      <c r="AU58" s="104"/>
      <c r="AV58" s="104"/>
      <c r="AW58" s="104"/>
      <c r="AX58" s="104"/>
      <c r="AY58" s="104"/>
      <c r="AZ58" s="104"/>
      <c r="BA58" s="104"/>
      <c r="BB58" s="145"/>
      <c r="BC58" s="146">
        <v>3</v>
      </c>
      <c r="BD58" s="104"/>
      <c r="BE58" s="104"/>
      <c r="BF58" s="104"/>
      <c r="BG58" s="104"/>
      <c r="BH58" s="104"/>
      <c r="BI58" s="104"/>
      <c r="BJ58" s="104"/>
      <c r="BK58" s="104"/>
      <c r="BL58" s="104"/>
      <c r="BM58" s="104"/>
      <c r="BN58" s="145"/>
      <c r="BO58" s="148">
        <f t="shared" ref="BO58:BO78" si="7">SUM(P58/30)</f>
        <v>3</v>
      </c>
      <c r="BP58" s="105"/>
      <c r="BQ58" s="105"/>
      <c r="BR58" s="105"/>
      <c r="BS58" s="71">
        <f>SUM(V58/P58)*100</f>
        <v>33.333333333333329</v>
      </c>
      <c r="BT58" s="71">
        <f>SUM(AN58/P58)*100</f>
        <v>66.666666666666657</v>
      </c>
      <c r="BU58" s="71">
        <f>SUM(Y58:AJ58)</f>
        <v>30</v>
      </c>
      <c r="BV58" s="15">
        <f>IF(BU58=V58,1,0)</f>
        <v>1</v>
      </c>
      <c r="BW58" s="15" t="str">
        <f>IF(BV58=1,"тўғри","хато")</f>
        <v>тўғри</v>
      </c>
      <c r="BX58" s="71">
        <f>SUM(BC58:BN58)</f>
        <v>3</v>
      </c>
      <c r="BY58" s="15">
        <f>IF(BX58=BO58,1,0)</f>
        <v>1</v>
      </c>
      <c r="BZ58" s="15" t="str">
        <f>IF(BY58=1,"тўғри","хато")</f>
        <v>тўғри</v>
      </c>
    </row>
    <row r="59" spans="1:78" ht="14.25" customHeight="1" x14ac:dyDescent="0.25">
      <c r="A59" s="14" t="s">
        <v>8</v>
      </c>
      <c r="B59" s="104" t="s">
        <v>213</v>
      </c>
      <c r="C59" s="104"/>
      <c r="D59" s="149" t="s">
        <v>143</v>
      </c>
      <c r="E59" s="149"/>
      <c r="F59" s="149"/>
      <c r="G59" s="149"/>
      <c r="H59" s="149"/>
      <c r="I59" s="149"/>
      <c r="J59" s="149"/>
      <c r="K59" s="149"/>
      <c r="L59" s="149"/>
      <c r="M59" s="149"/>
      <c r="N59" s="149"/>
      <c r="O59" s="150"/>
      <c r="P59" s="144">
        <f t="shared" si="5"/>
        <v>90</v>
      </c>
      <c r="Q59" s="106"/>
      <c r="R59" s="106"/>
      <c r="S59" s="131"/>
      <c r="T59" s="131"/>
      <c r="U59" s="151"/>
      <c r="V59" s="152">
        <f t="shared" si="6"/>
        <v>30</v>
      </c>
      <c r="W59" s="106"/>
      <c r="X59" s="106"/>
      <c r="Y59" s="104">
        <v>16</v>
      </c>
      <c r="Z59" s="104"/>
      <c r="AA59" s="104"/>
      <c r="AB59" s="104">
        <v>14</v>
      </c>
      <c r="AC59" s="104"/>
      <c r="AD59" s="104"/>
      <c r="AE59" s="104"/>
      <c r="AF59" s="104"/>
      <c r="AG59" s="104"/>
      <c r="AH59" s="104"/>
      <c r="AI59" s="104"/>
      <c r="AJ59" s="104"/>
      <c r="AK59" s="104"/>
      <c r="AL59" s="104"/>
      <c r="AM59" s="104"/>
      <c r="AN59" s="104">
        <v>60</v>
      </c>
      <c r="AO59" s="104"/>
      <c r="AP59" s="145"/>
      <c r="AQ59" s="146"/>
      <c r="AR59" s="104"/>
      <c r="AS59" s="104"/>
      <c r="AT59" s="104"/>
      <c r="AU59" s="104"/>
      <c r="AV59" s="104"/>
      <c r="AW59" s="104">
        <v>2</v>
      </c>
      <c r="AX59" s="104"/>
      <c r="AY59" s="104"/>
      <c r="AZ59" s="104"/>
      <c r="BA59" s="104"/>
      <c r="BB59" s="145"/>
      <c r="BC59" s="146"/>
      <c r="BD59" s="104"/>
      <c r="BE59" s="104"/>
      <c r="BF59" s="104"/>
      <c r="BG59" s="104"/>
      <c r="BH59" s="104"/>
      <c r="BI59" s="104">
        <v>3</v>
      </c>
      <c r="BJ59" s="104"/>
      <c r="BK59" s="104"/>
      <c r="BL59" s="104"/>
      <c r="BM59" s="104"/>
      <c r="BN59" s="145"/>
      <c r="BO59" s="148">
        <f t="shared" si="7"/>
        <v>3</v>
      </c>
      <c r="BP59" s="105"/>
      <c r="BQ59" s="105"/>
      <c r="BR59" s="105"/>
      <c r="BS59" s="71">
        <f t="shared" ref="BS59" si="8">SUM(V59/P59)*100</f>
        <v>33.333333333333329</v>
      </c>
      <c r="BT59" s="71">
        <f t="shared" ref="BT59" si="9">SUM(AN59/P59)*100</f>
        <v>66.666666666666657</v>
      </c>
      <c r="BU59" s="71">
        <f t="shared" ref="BU59" si="10">SUM(Y59:AJ59)</f>
        <v>30</v>
      </c>
      <c r="BV59" s="15">
        <f t="shared" ref="BV59:BV78" si="11">IF(BU59=V59,1,0)</f>
        <v>1</v>
      </c>
      <c r="BW59" s="15" t="str">
        <f t="shared" ref="BW59:BW78" si="12">IF(BV59=1,"тўғри","хато")</f>
        <v>тўғри</v>
      </c>
      <c r="BX59" s="71">
        <f t="shared" ref="BX59:BX83" si="13">SUM(BC59:BN59)</f>
        <v>3</v>
      </c>
      <c r="BY59" s="15">
        <f t="shared" ref="BY59:BY83" si="14">IF(BX59=BO59,1,0)</f>
        <v>1</v>
      </c>
      <c r="BZ59" s="15" t="str">
        <f t="shared" ref="BZ59:BZ77" si="15">IF(BY59=1,"тўғри","хато")</f>
        <v>тўғри</v>
      </c>
    </row>
    <row r="60" spans="1:78" ht="14.25" customHeight="1" x14ac:dyDescent="0.25">
      <c r="A60" s="14" t="s">
        <v>23</v>
      </c>
      <c r="B60" s="104" t="s">
        <v>266</v>
      </c>
      <c r="C60" s="104"/>
      <c r="D60" s="149" t="s">
        <v>265</v>
      </c>
      <c r="E60" s="149"/>
      <c r="F60" s="149"/>
      <c r="G60" s="149"/>
      <c r="H60" s="149"/>
      <c r="I60" s="149"/>
      <c r="J60" s="149"/>
      <c r="K60" s="149"/>
      <c r="L60" s="149"/>
      <c r="M60" s="149"/>
      <c r="N60" s="149"/>
      <c r="O60" s="150"/>
      <c r="P60" s="144">
        <f t="shared" si="5"/>
        <v>270</v>
      </c>
      <c r="Q60" s="106"/>
      <c r="R60" s="106"/>
      <c r="S60" s="106"/>
      <c r="T60" s="106"/>
      <c r="U60" s="147"/>
      <c r="V60" s="152">
        <f t="shared" si="6"/>
        <v>120</v>
      </c>
      <c r="W60" s="106"/>
      <c r="X60" s="106"/>
      <c r="Y60" s="104"/>
      <c r="Z60" s="104"/>
      <c r="AA60" s="104"/>
      <c r="AB60" s="104"/>
      <c r="AC60" s="104"/>
      <c r="AD60" s="104"/>
      <c r="AE60" s="104">
        <v>120</v>
      </c>
      <c r="AF60" s="104"/>
      <c r="AG60" s="104"/>
      <c r="AH60" s="104"/>
      <c r="AI60" s="104"/>
      <c r="AJ60" s="104"/>
      <c r="AK60" s="106"/>
      <c r="AL60" s="106"/>
      <c r="AM60" s="106"/>
      <c r="AN60" s="104">
        <v>150</v>
      </c>
      <c r="AO60" s="104"/>
      <c r="AP60" s="145"/>
      <c r="AQ60" s="146">
        <v>2</v>
      </c>
      <c r="AR60" s="104"/>
      <c r="AS60" s="104"/>
      <c r="AT60" s="104">
        <v>2</v>
      </c>
      <c r="AU60" s="104"/>
      <c r="AV60" s="104"/>
      <c r="AW60" s="104">
        <v>2</v>
      </c>
      <c r="AX60" s="104"/>
      <c r="AY60" s="104"/>
      <c r="AZ60" s="104">
        <v>2</v>
      </c>
      <c r="BA60" s="104"/>
      <c r="BB60" s="145"/>
      <c r="BC60" s="146">
        <v>2</v>
      </c>
      <c r="BD60" s="104"/>
      <c r="BE60" s="104"/>
      <c r="BF60" s="104">
        <v>2</v>
      </c>
      <c r="BG60" s="104"/>
      <c r="BH60" s="104"/>
      <c r="BI60" s="104">
        <v>2</v>
      </c>
      <c r="BJ60" s="104"/>
      <c r="BK60" s="104"/>
      <c r="BL60" s="104">
        <v>3</v>
      </c>
      <c r="BM60" s="104"/>
      <c r="BN60" s="145"/>
      <c r="BO60" s="148">
        <f t="shared" si="7"/>
        <v>9</v>
      </c>
      <c r="BP60" s="105"/>
      <c r="BQ60" s="105"/>
      <c r="BR60" s="105"/>
      <c r="BS60" s="71">
        <f t="shared" ref="BS60:BS83" si="16">SUM(V60/P60)*100</f>
        <v>44.444444444444443</v>
      </c>
      <c r="BT60" s="71">
        <f t="shared" ref="BT60:BT83" si="17">SUM(AN60/P60)*100</f>
        <v>55.555555555555557</v>
      </c>
      <c r="BU60" s="71">
        <f t="shared" ref="BU60:BU65" si="18">SUM(Y60:AJ60)</f>
        <v>120</v>
      </c>
      <c r="BV60" s="15">
        <f t="shared" si="11"/>
        <v>1</v>
      </c>
      <c r="BW60" s="15" t="str">
        <f t="shared" si="12"/>
        <v>тўғри</v>
      </c>
      <c r="BX60" s="71">
        <f t="shared" si="13"/>
        <v>9</v>
      </c>
      <c r="BY60" s="15">
        <f t="shared" si="14"/>
        <v>1</v>
      </c>
      <c r="BZ60" s="15" t="str">
        <f t="shared" si="15"/>
        <v>тўғри</v>
      </c>
    </row>
    <row r="61" spans="1:78" ht="14.25" customHeight="1" x14ac:dyDescent="0.25">
      <c r="A61" s="14" t="s">
        <v>24</v>
      </c>
      <c r="B61" s="104" t="s">
        <v>270</v>
      </c>
      <c r="C61" s="104"/>
      <c r="D61" s="149" t="s">
        <v>267</v>
      </c>
      <c r="E61" s="149"/>
      <c r="F61" s="149"/>
      <c r="G61" s="149"/>
      <c r="H61" s="149"/>
      <c r="I61" s="149"/>
      <c r="J61" s="149"/>
      <c r="K61" s="149"/>
      <c r="L61" s="149"/>
      <c r="M61" s="149"/>
      <c r="N61" s="149"/>
      <c r="O61" s="150"/>
      <c r="P61" s="144">
        <f t="shared" si="5"/>
        <v>270</v>
      </c>
      <c r="Q61" s="106"/>
      <c r="R61" s="106"/>
      <c r="S61" s="106"/>
      <c r="T61" s="106"/>
      <c r="U61" s="147"/>
      <c r="V61" s="152">
        <f t="shared" si="6"/>
        <v>120</v>
      </c>
      <c r="W61" s="106"/>
      <c r="X61" s="106"/>
      <c r="Y61" s="104"/>
      <c r="Z61" s="104"/>
      <c r="AA61" s="104"/>
      <c r="AB61" s="104">
        <v>120</v>
      </c>
      <c r="AC61" s="104"/>
      <c r="AD61" s="104"/>
      <c r="AE61" s="104"/>
      <c r="AF61" s="104"/>
      <c r="AG61" s="104"/>
      <c r="AH61" s="104"/>
      <c r="AI61" s="104"/>
      <c r="AJ61" s="104"/>
      <c r="AK61" s="106"/>
      <c r="AL61" s="106"/>
      <c r="AM61" s="106"/>
      <c r="AN61" s="104">
        <v>150</v>
      </c>
      <c r="AO61" s="104"/>
      <c r="AP61" s="145"/>
      <c r="AQ61" s="146">
        <v>2</v>
      </c>
      <c r="AR61" s="104"/>
      <c r="AS61" s="104"/>
      <c r="AT61" s="104">
        <v>2</v>
      </c>
      <c r="AU61" s="104"/>
      <c r="AV61" s="104"/>
      <c r="AW61" s="104">
        <v>2</v>
      </c>
      <c r="AX61" s="104"/>
      <c r="AY61" s="104"/>
      <c r="AZ61" s="104">
        <v>2</v>
      </c>
      <c r="BA61" s="104"/>
      <c r="BB61" s="145"/>
      <c r="BC61" s="146">
        <v>2</v>
      </c>
      <c r="BD61" s="104"/>
      <c r="BE61" s="104"/>
      <c r="BF61" s="104">
        <v>2</v>
      </c>
      <c r="BG61" s="104"/>
      <c r="BH61" s="104"/>
      <c r="BI61" s="104">
        <v>2</v>
      </c>
      <c r="BJ61" s="104"/>
      <c r="BK61" s="104"/>
      <c r="BL61" s="104">
        <v>3</v>
      </c>
      <c r="BM61" s="104"/>
      <c r="BN61" s="145"/>
      <c r="BO61" s="148">
        <f t="shared" si="7"/>
        <v>9</v>
      </c>
      <c r="BP61" s="105"/>
      <c r="BQ61" s="105"/>
      <c r="BR61" s="105"/>
      <c r="BS61" s="71">
        <f t="shared" si="16"/>
        <v>44.444444444444443</v>
      </c>
      <c r="BT61" s="71">
        <f t="shared" si="17"/>
        <v>55.555555555555557</v>
      </c>
      <c r="BU61" s="71">
        <f t="shared" si="18"/>
        <v>120</v>
      </c>
      <c r="BV61" s="15">
        <f t="shared" si="11"/>
        <v>1</v>
      </c>
      <c r="BW61" s="15" t="str">
        <f t="shared" si="12"/>
        <v>тўғри</v>
      </c>
      <c r="BX61" s="71">
        <f t="shared" si="13"/>
        <v>9</v>
      </c>
      <c r="BY61" s="15">
        <f t="shared" si="14"/>
        <v>1</v>
      </c>
      <c r="BZ61" s="15" t="str">
        <f t="shared" si="15"/>
        <v>тўғри</v>
      </c>
    </row>
    <row r="62" spans="1:78" ht="14.25" customHeight="1" x14ac:dyDescent="0.25">
      <c r="A62" s="14" t="s">
        <v>25</v>
      </c>
      <c r="B62" s="104" t="s">
        <v>269</v>
      </c>
      <c r="C62" s="104"/>
      <c r="D62" s="149" t="s">
        <v>268</v>
      </c>
      <c r="E62" s="149"/>
      <c r="F62" s="149"/>
      <c r="G62" s="149"/>
      <c r="H62" s="149"/>
      <c r="I62" s="149"/>
      <c r="J62" s="149"/>
      <c r="K62" s="149"/>
      <c r="L62" s="149"/>
      <c r="M62" s="149"/>
      <c r="N62" s="149"/>
      <c r="O62" s="150"/>
      <c r="P62" s="144">
        <f t="shared" si="5"/>
        <v>300</v>
      </c>
      <c r="Q62" s="106"/>
      <c r="R62" s="106"/>
      <c r="S62" s="106"/>
      <c r="T62" s="106"/>
      <c r="U62" s="147"/>
      <c r="V62" s="152">
        <f t="shared" si="6"/>
        <v>120</v>
      </c>
      <c r="W62" s="106"/>
      <c r="X62" s="106"/>
      <c r="Y62" s="104"/>
      <c r="Z62" s="104"/>
      <c r="AA62" s="104"/>
      <c r="AB62" s="104">
        <v>120</v>
      </c>
      <c r="AC62" s="104"/>
      <c r="AD62" s="104"/>
      <c r="AE62" s="104"/>
      <c r="AF62" s="104"/>
      <c r="AG62" s="104"/>
      <c r="AH62" s="104"/>
      <c r="AI62" s="104"/>
      <c r="AJ62" s="104"/>
      <c r="AK62" s="106"/>
      <c r="AL62" s="106"/>
      <c r="AM62" s="106"/>
      <c r="AN62" s="104">
        <v>180</v>
      </c>
      <c r="AO62" s="104"/>
      <c r="AP62" s="145"/>
      <c r="AQ62" s="146">
        <v>2</v>
      </c>
      <c r="AR62" s="104"/>
      <c r="AS62" s="104"/>
      <c r="AT62" s="104">
        <v>2</v>
      </c>
      <c r="AU62" s="104"/>
      <c r="AV62" s="104"/>
      <c r="AW62" s="104">
        <v>2</v>
      </c>
      <c r="AX62" s="104"/>
      <c r="AY62" s="104"/>
      <c r="AZ62" s="104">
        <v>2</v>
      </c>
      <c r="BA62" s="104"/>
      <c r="BB62" s="145"/>
      <c r="BC62" s="146">
        <v>3</v>
      </c>
      <c r="BD62" s="104"/>
      <c r="BE62" s="104"/>
      <c r="BF62" s="104">
        <v>3</v>
      </c>
      <c r="BG62" s="104"/>
      <c r="BH62" s="104"/>
      <c r="BI62" s="104">
        <v>2</v>
      </c>
      <c r="BJ62" s="104"/>
      <c r="BK62" s="104"/>
      <c r="BL62" s="104">
        <v>2</v>
      </c>
      <c r="BM62" s="104"/>
      <c r="BN62" s="145"/>
      <c r="BO62" s="148">
        <f t="shared" si="7"/>
        <v>10</v>
      </c>
      <c r="BP62" s="105"/>
      <c r="BQ62" s="105"/>
      <c r="BR62" s="105"/>
      <c r="BS62" s="71">
        <f t="shared" si="16"/>
        <v>40</v>
      </c>
      <c r="BT62" s="71">
        <f t="shared" si="17"/>
        <v>60</v>
      </c>
      <c r="BU62" s="71">
        <f t="shared" si="18"/>
        <v>120</v>
      </c>
      <c r="BV62" s="15">
        <f t="shared" si="11"/>
        <v>1</v>
      </c>
      <c r="BW62" s="15" t="str">
        <f t="shared" si="12"/>
        <v>тўғри</v>
      </c>
      <c r="BX62" s="71">
        <f t="shared" si="13"/>
        <v>10</v>
      </c>
      <c r="BY62" s="15">
        <f t="shared" si="14"/>
        <v>1</v>
      </c>
      <c r="BZ62" s="15" t="str">
        <f t="shared" si="15"/>
        <v>тўғри</v>
      </c>
    </row>
    <row r="63" spans="1:78" ht="14.25" customHeight="1" x14ac:dyDescent="0.25">
      <c r="A63" s="14" t="s">
        <v>26</v>
      </c>
      <c r="B63" s="104" t="s">
        <v>34</v>
      </c>
      <c r="C63" s="104"/>
      <c r="D63" s="149" t="s">
        <v>151</v>
      </c>
      <c r="E63" s="149"/>
      <c r="F63" s="149"/>
      <c r="G63" s="149"/>
      <c r="H63" s="149"/>
      <c r="I63" s="149"/>
      <c r="J63" s="149"/>
      <c r="K63" s="149"/>
      <c r="L63" s="149"/>
      <c r="M63" s="149"/>
      <c r="N63" s="149"/>
      <c r="O63" s="150"/>
      <c r="P63" s="144">
        <f t="shared" si="5"/>
        <v>90</v>
      </c>
      <c r="Q63" s="106"/>
      <c r="R63" s="106"/>
      <c r="S63" s="127"/>
      <c r="T63" s="127"/>
      <c r="U63" s="208"/>
      <c r="V63" s="152">
        <f t="shared" si="6"/>
        <v>30</v>
      </c>
      <c r="W63" s="106"/>
      <c r="X63" s="106"/>
      <c r="Y63" s="104">
        <v>10</v>
      </c>
      <c r="Z63" s="104"/>
      <c r="AA63" s="104"/>
      <c r="AB63" s="104">
        <v>10</v>
      </c>
      <c r="AC63" s="104"/>
      <c r="AD63" s="104"/>
      <c r="AE63" s="104"/>
      <c r="AF63" s="104"/>
      <c r="AG63" s="104"/>
      <c r="AH63" s="104">
        <v>10</v>
      </c>
      <c r="AI63" s="104"/>
      <c r="AJ63" s="104"/>
      <c r="AK63" s="104"/>
      <c r="AL63" s="104"/>
      <c r="AM63" s="104"/>
      <c r="AN63" s="104">
        <v>60</v>
      </c>
      <c r="AO63" s="104"/>
      <c r="AP63" s="145"/>
      <c r="AQ63" s="146">
        <v>2</v>
      </c>
      <c r="AR63" s="104"/>
      <c r="AS63" s="104"/>
      <c r="AT63" s="104"/>
      <c r="AU63" s="104"/>
      <c r="AV63" s="104"/>
      <c r="AW63" s="104"/>
      <c r="AX63" s="104"/>
      <c r="AY63" s="104"/>
      <c r="AZ63" s="104"/>
      <c r="BA63" s="104"/>
      <c r="BB63" s="145"/>
      <c r="BC63" s="146">
        <v>3</v>
      </c>
      <c r="BD63" s="104"/>
      <c r="BE63" s="104"/>
      <c r="BF63" s="104"/>
      <c r="BG63" s="104"/>
      <c r="BH63" s="104"/>
      <c r="BI63" s="104"/>
      <c r="BJ63" s="104"/>
      <c r="BK63" s="104"/>
      <c r="BL63" s="104"/>
      <c r="BM63" s="104"/>
      <c r="BN63" s="145"/>
      <c r="BO63" s="148">
        <f t="shared" si="7"/>
        <v>3</v>
      </c>
      <c r="BP63" s="105"/>
      <c r="BQ63" s="105"/>
      <c r="BR63" s="105"/>
      <c r="BS63" s="71">
        <f t="shared" si="16"/>
        <v>33.333333333333329</v>
      </c>
      <c r="BT63" s="71">
        <f t="shared" si="17"/>
        <v>66.666666666666657</v>
      </c>
      <c r="BU63" s="71">
        <f t="shared" si="18"/>
        <v>30</v>
      </c>
      <c r="BV63" s="15">
        <f t="shared" si="11"/>
        <v>1</v>
      </c>
      <c r="BW63" s="15" t="str">
        <f t="shared" si="12"/>
        <v>тўғри</v>
      </c>
      <c r="BX63" s="71">
        <f t="shared" si="13"/>
        <v>3</v>
      </c>
      <c r="BY63" s="15">
        <f t="shared" si="14"/>
        <v>1</v>
      </c>
      <c r="BZ63" s="15" t="str">
        <f t="shared" si="15"/>
        <v>тўғри</v>
      </c>
    </row>
    <row r="64" spans="1:78" ht="14.25" customHeight="1" x14ac:dyDescent="0.25">
      <c r="A64" s="14" t="s">
        <v>27</v>
      </c>
      <c r="B64" s="104" t="s">
        <v>38</v>
      </c>
      <c r="C64" s="104"/>
      <c r="D64" s="149" t="s">
        <v>153</v>
      </c>
      <c r="E64" s="149"/>
      <c r="F64" s="149"/>
      <c r="G64" s="149"/>
      <c r="H64" s="149"/>
      <c r="I64" s="149"/>
      <c r="J64" s="149"/>
      <c r="K64" s="149"/>
      <c r="L64" s="149"/>
      <c r="M64" s="149"/>
      <c r="N64" s="149"/>
      <c r="O64" s="150"/>
      <c r="P64" s="144">
        <f t="shared" si="5"/>
        <v>90</v>
      </c>
      <c r="Q64" s="106"/>
      <c r="R64" s="106"/>
      <c r="S64" s="127"/>
      <c r="T64" s="127"/>
      <c r="U64" s="208"/>
      <c r="V64" s="152">
        <f t="shared" si="6"/>
        <v>30</v>
      </c>
      <c r="W64" s="106"/>
      <c r="X64" s="106"/>
      <c r="Y64" s="104">
        <v>10</v>
      </c>
      <c r="Z64" s="104"/>
      <c r="AA64" s="104"/>
      <c r="AB64" s="104">
        <v>10</v>
      </c>
      <c r="AC64" s="104"/>
      <c r="AD64" s="104"/>
      <c r="AE64" s="104"/>
      <c r="AF64" s="104"/>
      <c r="AG64" s="104"/>
      <c r="AH64" s="104">
        <v>10</v>
      </c>
      <c r="AI64" s="104"/>
      <c r="AJ64" s="104"/>
      <c r="AK64" s="104"/>
      <c r="AL64" s="104"/>
      <c r="AM64" s="104"/>
      <c r="AN64" s="104">
        <v>60</v>
      </c>
      <c r="AO64" s="104"/>
      <c r="AP64" s="145"/>
      <c r="AQ64" s="146">
        <v>2</v>
      </c>
      <c r="AR64" s="104"/>
      <c r="AS64" s="104"/>
      <c r="AT64" s="104"/>
      <c r="AU64" s="104"/>
      <c r="AV64" s="104"/>
      <c r="AW64" s="104"/>
      <c r="AX64" s="104"/>
      <c r="AY64" s="104"/>
      <c r="AZ64" s="104"/>
      <c r="BA64" s="104"/>
      <c r="BB64" s="145"/>
      <c r="BC64" s="146">
        <v>3</v>
      </c>
      <c r="BD64" s="104"/>
      <c r="BE64" s="104"/>
      <c r="BF64" s="104"/>
      <c r="BG64" s="104"/>
      <c r="BH64" s="104"/>
      <c r="BI64" s="104"/>
      <c r="BJ64" s="104"/>
      <c r="BK64" s="104"/>
      <c r="BL64" s="104"/>
      <c r="BM64" s="104"/>
      <c r="BN64" s="145"/>
      <c r="BO64" s="148">
        <f t="shared" si="7"/>
        <v>3</v>
      </c>
      <c r="BP64" s="105"/>
      <c r="BQ64" s="105"/>
      <c r="BR64" s="105"/>
      <c r="BS64" s="71">
        <f t="shared" si="16"/>
        <v>33.333333333333329</v>
      </c>
      <c r="BT64" s="71">
        <f t="shared" si="17"/>
        <v>66.666666666666657</v>
      </c>
      <c r="BU64" s="71">
        <f t="shared" si="18"/>
        <v>30</v>
      </c>
      <c r="BV64" s="15">
        <f t="shared" si="11"/>
        <v>1</v>
      </c>
      <c r="BW64" s="15" t="str">
        <f t="shared" si="12"/>
        <v>тўғри</v>
      </c>
      <c r="BX64" s="71">
        <f t="shared" si="13"/>
        <v>3</v>
      </c>
      <c r="BY64" s="15">
        <f t="shared" si="14"/>
        <v>1</v>
      </c>
      <c r="BZ64" s="15" t="str">
        <f t="shared" si="15"/>
        <v>тўғри</v>
      </c>
    </row>
    <row r="65" spans="1:78" ht="14.25" customHeight="1" x14ac:dyDescent="0.25">
      <c r="A65" s="14" t="s">
        <v>28</v>
      </c>
      <c r="B65" s="104" t="s">
        <v>37</v>
      </c>
      <c r="C65" s="104"/>
      <c r="D65" s="149" t="s">
        <v>152</v>
      </c>
      <c r="E65" s="149"/>
      <c r="F65" s="149"/>
      <c r="G65" s="149"/>
      <c r="H65" s="149"/>
      <c r="I65" s="149"/>
      <c r="J65" s="149"/>
      <c r="K65" s="149"/>
      <c r="L65" s="149"/>
      <c r="M65" s="149"/>
      <c r="N65" s="149"/>
      <c r="O65" s="150"/>
      <c r="P65" s="144">
        <f t="shared" si="5"/>
        <v>90</v>
      </c>
      <c r="Q65" s="106"/>
      <c r="R65" s="106"/>
      <c r="S65" s="127"/>
      <c r="T65" s="127"/>
      <c r="U65" s="208"/>
      <c r="V65" s="152">
        <f t="shared" si="6"/>
        <v>30</v>
      </c>
      <c r="W65" s="106"/>
      <c r="X65" s="106"/>
      <c r="Y65" s="104">
        <v>10</v>
      </c>
      <c r="Z65" s="104"/>
      <c r="AA65" s="104"/>
      <c r="AB65" s="104">
        <v>10</v>
      </c>
      <c r="AC65" s="104"/>
      <c r="AD65" s="104"/>
      <c r="AE65" s="104"/>
      <c r="AF65" s="104"/>
      <c r="AG65" s="104"/>
      <c r="AH65" s="104">
        <v>10</v>
      </c>
      <c r="AI65" s="104"/>
      <c r="AJ65" s="104"/>
      <c r="AK65" s="104"/>
      <c r="AL65" s="104"/>
      <c r="AM65" s="104"/>
      <c r="AN65" s="104">
        <v>60</v>
      </c>
      <c r="AO65" s="104"/>
      <c r="AP65" s="145"/>
      <c r="AQ65" s="146">
        <v>2</v>
      </c>
      <c r="AR65" s="104"/>
      <c r="AS65" s="104"/>
      <c r="AT65" s="104"/>
      <c r="AU65" s="104"/>
      <c r="AV65" s="104"/>
      <c r="AW65" s="104"/>
      <c r="AX65" s="104"/>
      <c r="AY65" s="104"/>
      <c r="AZ65" s="104"/>
      <c r="BA65" s="104"/>
      <c r="BB65" s="145"/>
      <c r="BC65" s="146">
        <v>3</v>
      </c>
      <c r="BD65" s="104"/>
      <c r="BE65" s="104"/>
      <c r="BF65" s="104"/>
      <c r="BG65" s="104"/>
      <c r="BH65" s="104"/>
      <c r="BI65" s="104"/>
      <c r="BJ65" s="104"/>
      <c r="BK65" s="104"/>
      <c r="BL65" s="104"/>
      <c r="BM65" s="104"/>
      <c r="BN65" s="145"/>
      <c r="BO65" s="148">
        <f t="shared" si="7"/>
        <v>3</v>
      </c>
      <c r="BP65" s="105"/>
      <c r="BQ65" s="105"/>
      <c r="BR65" s="105"/>
      <c r="BS65" s="71">
        <f t="shared" si="16"/>
        <v>33.333333333333329</v>
      </c>
      <c r="BT65" s="71">
        <f t="shared" si="17"/>
        <v>66.666666666666657</v>
      </c>
      <c r="BU65" s="71">
        <f t="shared" si="18"/>
        <v>30</v>
      </c>
      <c r="BV65" s="15">
        <f t="shared" si="11"/>
        <v>1</v>
      </c>
      <c r="BW65" s="15" t="str">
        <f t="shared" si="12"/>
        <v>тўғри</v>
      </c>
      <c r="BX65" s="71">
        <f t="shared" si="13"/>
        <v>3</v>
      </c>
      <c r="BY65" s="15">
        <f t="shared" si="14"/>
        <v>1</v>
      </c>
      <c r="BZ65" s="15" t="str">
        <f t="shared" si="15"/>
        <v>тўғри</v>
      </c>
    </row>
    <row r="66" spans="1:78" ht="14.25" customHeight="1" x14ac:dyDescent="0.25">
      <c r="A66" s="14" t="s">
        <v>29</v>
      </c>
      <c r="B66" s="104" t="s">
        <v>47</v>
      </c>
      <c r="C66" s="104"/>
      <c r="D66" s="149" t="s">
        <v>156</v>
      </c>
      <c r="E66" s="149"/>
      <c r="F66" s="149"/>
      <c r="G66" s="149"/>
      <c r="H66" s="149"/>
      <c r="I66" s="149"/>
      <c r="J66" s="149"/>
      <c r="K66" s="149"/>
      <c r="L66" s="149"/>
      <c r="M66" s="149"/>
      <c r="N66" s="149"/>
      <c r="O66" s="150"/>
      <c r="P66" s="144">
        <f>SUM(V66+AN66)</f>
        <v>90</v>
      </c>
      <c r="Q66" s="106"/>
      <c r="R66" s="106"/>
      <c r="S66" s="131"/>
      <c r="T66" s="131"/>
      <c r="U66" s="151"/>
      <c r="V66" s="152">
        <f t="shared" si="6"/>
        <v>30</v>
      </c>
      <c r="W66" s="106"/>
      <c r="X66" s="106"/>
      <c r="Y66" s="104">
        <v>16</v>
      </c>
      <c r="Z66" s="104"/>
      <c r="AA66" s="104"/>
      <c r="AB66" s="104">
        <v>6</v>
      </c>
      <c r="AC66" s="104"/>
      <c r="AD66" s="104"/>
      <c r="AE66" s="104"/>
      <c r="AF66" s="104"/>
      <c r="AG66" s="104"/>
      <c r="AH66" s="104">
        <v>8</v>
      </c>
      <c r="AI66" s="104"/>
      <c r="AJ66" s="104"/>
      <c r="AK66" s="106"/>
      <c r="AL66" s="106"/>
      <c r="AM66" s="106"/>
      <c r="AN66" s="104">
        <v>60</v>
      </c>
      <c r="AO66" s="104"/>
      <c r="AP66" s="145"/>
      <c r="AQ66" s="146">
        <v>2</v>
      </c>
      <c r="AR66" s="104"/>
      <c r="AS66" s="104"/>
      <c r="AT66" s="104"/>
      <c r="AU66" s="104"/>
      <c r="AV66" s="104"/>
      <c r="AW66" s="104"/>
      <c r="AX66" s="104"/>
      <c r="AY66" s="104"/>
      <c r="AZ66" s="104"/>
      <c r="BA66" s="104"/>
      <c r="BB66" s="145"/>
      <c r="BC66" s="146">
        <v>3</v>
      </c>
      <c r="BD66" s="104"/>
      <c r="BE66" s="104"/>
      <c r="BF66" s="104"/>
      <c r="BG66" s="104"/>
      <c r="BH66" s="104"/>
      <c r="BI66" s="104"/>
      <c r="BJ66" s="104"/>
      <c r="BK66" s="104"/>
      <c r="BL66" s="104"/>
      <c r="BM66" s="104"/>
      <c r="BN66" s="145"/>
      <c r="BO66" s="148">
        <f t="shared" si="7"/>
        <v>3</v>
      </c>
      <c r="BP66" s="105"/>
      <c r="BQ66" s="105"/>
      <c r="BR66" s="105"/>
      <c r="BS66" s="71">
        <f t="shared" ref="BS66:BS82" si="19">SUM(V66/P66)*100</f>
        <v>33.333333333333329</v>
      </c>
      <c r="BT66" s="71">
        <f t="shared" ref="BT66:BT82" si="20">SUM(AN66/P66)*100</f>
        <v>66.666666666666657</v>
      </c>
      <c r="BU66" s="71">
        <f t="shared" ref="BU66:BU78" si="21">SUM(Y66:AJ66)</f>
        <v>30</v>
      </c>
      <c r="BV66" s="15">
        <f t="shared" si="11"/>
        <v>1</v>
      </c>
      <c r="BW66" s="15" t="str">
        <f t="shared" si="12"/>
        <v>тўғри</v>
      </c>
      <c r="BX66" s="71">
        <f t="shared" si="13"/>
        <v>3</v>
      </c>
      <c r="BY66" s="15">
        <f t="shared" si="14"/>
        <v>1</v>
      </c>
      <c r="BZ66" s="15" t="str">
        <f t="shared" si="15"/>
        <v>тўғри</v>
      </c>
    </row>
    <row r="67" spans="1:78" ht="14.25" customHeight="1" x14ac:dyDescent="0.25">
      <c r="A67" s="14" t="s">
        <v>30</v>
      </c>
      <c r="B67" s="104" t="s">
        <v>271</v>
      </c>
      <c r="C67" s="104"/>
      <c r="D67" s="149" t="s">
        <v>157</v>
      </c>
      <c r="E67" s="149"/>
      <c r="F67" s="149"/>
      <c r="G67" s="149"/>
      <c r="H67" s="149"/>
      <c r="I67" s="149"/>
      <c r="J67" s="149"/>
      <c r="K67" s="149"/>
      <c r="L67" s="149"/>
      <c r="M67" s="149"/>
      <c r="N67" s="149"/>
      <c r="O67" s="150"/>
      <c r="P67" s="144">
        <f>SUM(V67+AN67)</f>
        <v>90</v>
      </c>
      <c r="Q67" s="106"/>
      <c r="R67" s="106"/>
      <c r="S67" s="131"/>
      <c r="T67" s="131"/>
      <c r="U67" s="151"/>
      <c r="V67" s="152">
        <f t="shared" si="6"/>
        <v>30</v>
      </c>
      <c r="W67" s="106"/>
      <c r="X67" s="106"/>
      <c r="Y67" s="104">
        <v>16</v>
      </c>
      <c r="Z67" s="104"/>
      <c r="AA67" s="104"/>
      <c r="AB67" s="104">
        <v>6</v>
      </c>
      <c r="AC67" s="104"/>
      <c r="AD67" s="104"/>
      <c r="AE67" s="104"/>
      <c r="AF67" s="104"/>
      <c r="AG67" s="104"/>
      <c r="AH67" s="104">
        <v>8</v>
      </c>
      <c r="AI67" s="104"/>
      <c r="AJ67" s="104"/>
      <c r="AK67" s="106"/>
      <c r="AL67" s="106"/>
      <c r="AM67" s="106"/>
      <c r="AN67" s="104">
        <v>60</v>
      </c>
      <c r="AO67" s="104"/>
      <c r="AP67" s="145"/>
      <c r="AQ67" s="146"/>
      <c r="AR67" s="104"/>
      <c r="AS67" s="104"/>
      <c r="AT67" s="104"/>
      <c r="AU67" s="104"/>
      <c r="AV67" s="104"/>
      <c r="AW67" s="104">
        <v>2</v>
      </c>
      <c r="AX67" s="104"/>
      <c r="AY67" s="104"/>
      <c r="AZ67" s="104"/>
      <c r="BA67" s="104"/>
      <c r="BB67" s="145"/>
      <c r="BC67" s="146"/>
      <c r="BD67" s="104"/>
      <c r="BE67" s="104"/>
      <c r="BF67" s="104"/>
      <c r="BG67" s="104"/>
      <c r="BH67" s="104"/>
      <c r="BI67" s="104">
        <v>3</v>
      </c>
      <c r="BJ67" s="104"/>
      <c r="BK67" s="104"/>
      <c r="BL67" s="104"/>
      <c r="BM67" s="104"/>
      <c r="BN67" s="145"/>
      <c r="BO67" s="148">
        <f t="shared" si="7"/>
        <v>3</v>
      </c>
      <c r="BP67" s="105"/>
      <c r="BQ67" s="105"/>
      <c r="BR67" s="105"/>
      <c r="BS67" s="71">
        <f t="shared" si="19"/>
        <v>33.333333333333329</v>
      </c>
      <c r="BT67" s="71">
        <f t="shared" si="20"/>
        <v>66.666666666666657</v>
      </c>
      <c r="BU67" s="71">
        <f t="shared" si="21"/>
        <v>30</v>
      </c>
      <c r="BV67" s="15">
        <f t="shared" si="11"/>
        <v>1</v>
      </c>
      <c r="BW67" s="15" t="str">
        <f t="shared" si="12"/>
        <v>тўғри</v>
      </c>
      <c r="BX67" s="71">
        <f t="shared" si="13"/>
        <v>3</v>
      </c>
      <c r="BY67" s="15">
        <f t="shared" si="14"/>
        <v>1</v>
      </c>
      <c r="BZ67" s="15" t="str">
        <f t="shared" si="15"/>
        <v>тўғри</v>
      </c>
    </row>
    <row r="68" spans="1:78" ht="14.25" customHeight="1" x14ac:dyDescent="0.25">
      <c r="A68" s="72" t="s">
        <v>9</v>
      </c>
      <c r="B68" s="104"/>
      <c r="C68" s="104"/>
      <c r="D68" s="182" t="s">
        <v>112</v>
      </c>
      <c r="E68" s="182"/>
      <c r="F68" s="182"/>
      <c r="G68" s="182"/>
      <c r="H68" s="182"/>
      <c r="I68" s="182"/>
      <c r="J68" s="182"/>
      <c r="K68" s="182"/>
      <c r="L68" s="182"/>
      <c r="M68" s="182"/>
      <c r="N68" s="182"/>
      <c r="O68" s="183"/>
      <c r="P68" s="144">
        <f t="shared" ref="P68" si="22">SUM(V68+AN68)</f>
        <v>330</v>
      </c>
      <c r="Q68" s="106"/>
      <c r="R68" s="106"/>
      <c r="S68" s="131">
        <f>P68/3600*100</f>
        <v>9.1666666666666661</v>
      </c>
      <c r="T68" s="131"/>
      <c r="U68" s="151"/>
      <c r="V68" s="152">
        <f t="shared" si="6"/>
        <v>120</v>
      </c>
      <c r="W68" s="106"/>
      <c r="X68" s="106"/>
      <c r="Y68" s="106">
        <f>SUM(Y69:AA77)</f>
        <v>10</v>
      </c>
      <c r="Z68" s="106"/>
      <c r="AA68" s="106"/>
      <c r="AB68" s="106">
        <f>SUM(AB69:AD77)</f>
        <v>100</v>
      </c>
      <c r="AC68" s="106"/>
      <c r="AD68" s="106"/>
      <c r="AE68" s="106">
        <f>SUM(AE69:AG77)</f>
        <v>0</v>
      </c>
      <c r="AF68" s="106"/>
      <c r="AG68" s="106"/>
      <c r="AH68" s="106">
        <f>SUM(AH69:AJ77)</f>
        <v>10</v>
      </c>
      <c r="AI68" s="106"/>
      <c r="AJ68" s="106"/>
      <c r="AK68" s="106">
        <f>SUM(AK69:AM77)</f>
        <v>0</v>
      </c>
      <c r="AL68" s="106"/>
      <c r="AM68" s="106"/>
      <c r="AN68" s="106">
        <f>SUM(AN69:AP77)</f>
        <v>210</v>
      </c>
      <c r="AO68" s="106"/>
      <c r="AP68" s="147"/>
      <c r="AQ68" s="144">
        <f>SUM(AQ69:AS77)</f>
        <v>2</v>
      </c>
      <c r="AR68" s="106"/>
      <c r="AS68" s="106"/>
      <c r="AT68" s="106">
        <f>SUM(AT69:AV77)</f>
        <v>4</v>
      </c>
      <c r="AU68" s="106"/>
      <c r="AV68" s="106"/>
      <c r="AW68" s="106">
        <f>SUM(AW69:AY77)</f>
        <v>2</v>
      </c>
      <c r="AX68" s="106"/>
      <c r="AY68" s="106"/>
      <c r="AZ68" s="106">
        <f>SUM(AZ69:BB77)</f>
        <v>0</v>
      </c>
      <c r="BA68" s="106"/>
      <c r="BB68" s="147"/>
      <c r="BC68" s="144">
        <f>SUM(BC69:BE77)</f>
        <v>2</v>
      </c>
      <c r="BD68" s="106"/>
      <c r="BE68" s="106"/>
      <c r="BF68" s="106">
        <f>SUM(BF69:BH77)</f>
        <v>6</v>
      </c>
      <c r="BG68" s="106"/>
      <c r="BH68" s="106"/>
      <c r="BI68" s="106">
        <f>SUM(BI69:BK77)</f>
        <v>3</v>
      </c>
      <c r="BJ68" s="106"/>
      <c r="BK68" s="106"/>
      <c r="BL68" s="106">
        <f>SUM(BL69:BN77)</f>
        <v>0</v>
      </c>
      <c r="BM68" s="106"/>
      <c r="BN68" s="147"/>
      <c r="BO68" s="148">
        <f t="shared" si="7"/>
        <v>11</v>
      </c>
      <c r="BP68" s="105"/>
      <c r="BQ68" s="105"/>
      <c r="BR68" s="105"/>
      <c r="BS68" s="71">
        <f t="shared" si="19"/>
        <v>36.363636363636367</v>
      </c>
      <c r="BT68" s="71">
        <f t="shared" si="20"/>
        <v>63.636363636363633</v>
      </c>
      <c r="BU68" s="71">
        <f t="shared" si="21"/>
        <v>120</v>
      </c>
      <c r="BV68" s="15">
        <f t="shared" si="11"/>
        <v>1</v>
      </c>
      <c r="BW68" s="15" t="str">
        <f t="shared" si="12"/>
        <v>тўғри</v>
      </c>
      <c r="BX68" s="71">
        <f t="shared" si="13"/>
        <v>11</v>
      </c>
      <c r="BY68" s="15">
        <f t="shared" si="14"/>
        <v>1</v>
      </c>
      <c r="BZ68" s="15" t="str">
        <f t="shared" si="15"/>
        <v>тўғри</v>
      </c>
    </row>
    <row r="69" spans="1:78" ht="14.25" customHeight="1" x14ac:dyDescent="0.25">
      <c r="A69" s="85" t="s">
        <v>10</v>
      </c>
      <c r="B69" s="104"/>
      <c r="C69" s="104"/>
      <c r="D69" s="178" t="s">
        <v>130</v>
      </c>
      <c r="E69" s="178"/>
      <c r="F69" s="178"/>
      <c r="G69" s="178"/>
      <c r="H69" s="178"/>
      <c r="I69" s="178"/>
      <c r="J69" s="178"/>
      <c r="K69" s="178"/>
      <c r="L69" s="178"/>
      <c r="M69" s="178"/>
      <c r="N69" s="178"/>
      <c r="O69" s="179"/>
      <c r="P69" s="144">
        <f>SUM(V69+AN69)</f>
        <v>90</v>
      </c>
      <c r="Q69" s="106"/>
      <c r="R69" s="106"/>
      <c r="S69" s="131"/>
      <c r="T69" s="131"/>
      <c r="U69" s="151"/>
      <c r="V69" s="152">
        <f t="shared" si="6"/>
        <v>30</v>
      </c>
      <c r="W69" s="106"/>
      <c r="X69" s="106"/>
      <c r="Y69" s="104"/>
      <c r="Z69" s="104"/>
      <c r="AA69" s="104"/>
      <c r="AB69" s="104">
        <v>30</v>
      </c>
      <c r="AC69" s="104"/>
      <c r="AD69" s="104"/>
      <c r="AE69" s="104"/>
      <c r="AF69" s="104"/>
      <c r="AG69" s="104"/>
      <c r="AH69" s="104"/>
      <c r="AI69" s="104"/>
      <c r="AJ69" s="104"/>
      <c r="AK69" s="104"/>
      <c r="AL69" s="104"/>
      <c r="AM69" s="104"/>
      <c r="AN69" s="104">
        <v>60</v>
      </c>
      <c r="AO69" s="104"/>
      <c r="AP69" s="145"/>
      <c r="AQ69" s="146"/>
      <c r="AR69" s="104"/>
      <c r="AS69" s="104"/>
      <c r="AT69" s="104">
        <v>2</v>
      </c>
      <c r="AU69" s="104"/>
      <c r="AV69" s="104"/>
      <c r="AW69" s="104"/>
      <c r="AX69" s="104"/>
      <c r="AY69" s="104"/>
      <c r="AZ69" s="104"/>
      <c r="BA69" s="104"/>
      <c r="BB69" s="145"/>
      <c r="BC69" s="146"/>
      <c r="BD69" s="104"/>
      <c r="BE69" s="104"/>
      <c r="BF69" s="104">
        <v>3</v>
      </c>
      <c r="BG69" s="104"/>
      <c r="BH69" s="104"/>
      <c r="BI69" s="104"/>
      <c r="BJ69" s="104"/>
      <c r="BK69" s="104"/>
      <c r="BL69" s="104"/>
      <c r="BM69" s="104"/>
      <c r="BN69" s="145"/>
      <c r="BO69" s="148">
        <f t="shared" si="7"/>
        <v>3</v>
      </c>
      <c r="BP69" s="105"/>
      <c r="BQ69" s="105"/>
      <c r="BR69" s="105"/>
      <c r="BS69" s="71">
        <f t="shared" si="19"/>
        <v>33.333333333333329</v>
      </c>
      <c r="BT69" s="71">
        <f t="shared" si="20"/>
        <v>66.666666666666657</v>
      </c>
      <c r="BU69" s="71">
        <f t="shared" si="21"/>
        <v>30</v>
      </c>
      <c r="BV69" s="15">
        <f t="shared" si="11"/>
        <v>1</v>
      </c>
      <c r="BW69" s="15" t="str">
        <f t="shared" si="12"/>
        <v>тўғри</v>
      </c>
      <c r="BX69" s="71">
        <f t="shared" si="13"/>
        <v>3</v>
      </c>
      <c r="BY69" s="15">
        <f t="shared" si="14"/>
        <v>1</v>
      </c>
      <c r="BZ69" s="15" t="str">
        <f t="shared" si="15"/>
        <v>тўғри</v>
      </c>
    </row>
    <row r="70" spans="1:78" ht="14.25" customHeight="1" x14ac:dyDescent="0.25">
      <c r="A70" s="71">
        <v>1</v>
      </c>
      <c r="B70" s="104" t="s">
        <v>214</v>
      </c>
      <c r="C70" s="104"/>
      <c r="D70" s="149" t="s">
        <v>136</v>
      </c>
      <c r="E70" s="149"/>
      <c r="F70" s="149"/>
      <c r="G70" s="149"/>
      <c r="H70" s="149"/>
      <c r="I70" s="149"/>
      <c r="J70" s="149"/>
      <c r="K70" s="149"/>
      <c r="L70" s="149"/>
      <c r="M70" s="149"/>
      <c r="N70" s="149"/>
      <c r="O70" s="150"/>
      <c r="P70" s="144"/>
      <c r="Q70" s="106"/>
      <c r="R70" s="106"/>
      <c r="S70" s="131"/>
      <c r="T70" s="131"/>
      <c r="U70" s="151"/>
      <c r="V70" s="152"/>
      <c r="W70" s="106"/>
      <c r="X70" s="106"/>
      <c r="Y70" s="104"/>
      <c r="Z70" s="104"/>
      <c r="AA70" s="104"/>
      <c r="AB70" s="104"/>
      <c r="AC70" s="104"/>
      <c r="AD70" s="104"/>
      <c r="AE70" s="104"/>
      <c r="AF70" s="104"/>
      <c r="AG70" s="104"/>
      <c r="AH70" s="104"/>
      <c r="AI70" s="104"/>
      <c r="AJ70" s="104"/>
      <c r="AK70" s="104"/>
      <c r="AL70" s="104"/>
      <c r="AM70" s="104"/>
      <c r="AN70" s="104"/>
      <c r="AO70" s="104"/>
      <c r="AP70" s="145"/>
      <c r="AQ70" s="146"/>
      <c r="AR70" s="104"/>
      <c r="AS70" s="104"/>
      <c r="AT70" s="104"/>
      <c r="AU70" s="104"/>
      <c r="AV70" s="104"/>
      <c r="AW70" s="104"/>
      <c r="AX70" s="104"/>
      <c r="AY70" s="104"/>
      <c r="AZ70" s="104"/>
      <c r="BA70" s="104"/>
      <c r="BB70" s="145"/>
      <c r="BC70" s="146"/>
      <c r="BD70" s="104"/>
      <c r="BE70" s="104"/>
      <c r="BF70" s="104"/>
      <c r="BG70" s="104"/>
      <c r="BH70" s="104"/>
      <c r="BI70" s="104"/>
      <c r="BJ70" s="104"/>
      <c r="BK70" s="104"/>
      <c r="BL70" s="104"/>
      <c r="BM70" s="104"/>
      <c r="BN70" s="145"/>
      <c r="BO70" s="148">
        <f t="shared" si="7"/>
        <v>0</v>
      </c>
      <c r="BP70" s="105"/>
      <c r="BQ70" s="105"/>
      <c r="BR70" s="105"/>
      <c r="BS70" s="71" t="e">
        <f t="shared" si="19"/>
        <v>#DIV/0!</v>
      </c>
      <c r="BT70" s="71" t="e">
        <f t="shared" si="20"/>
        <v>#DIV/0!</v>
      </c>
      <c r="BU70" s="71">
        <f t="shared" si="21"/>
        <v>0</v>
      </c>
      <c r="BV70" s="15">
        <f t="shared" si="11"/>
        <v>1</v>
      </c>
      <c r="BW70" s="15" t="str">
        <f t="shared" si="12"/>
        <v>тўғри</v>
      </c>
      <c r="BX70" s="71">
        <f t="shared" si="13"/>
        <v>0</v>
      </c>
      <c r="BY70" s="15">
        <f t="shared" si="14"/>
        <v>1</v>
      </c>
      <c r="BZ70" s="15" t="str">
        <f t="shared" si="15"/>
        <v>тўғри</v>
      </c>
    </row>
    <row r="71" spans="1:78" ht="14.25" customHeight="1" x14ac:dyDescent="0.25">
      <c r="A71" s="71">
        <v>2</v>
      </c>
      <c r="B71" s="104" t="s">
        <v>215</v>
      </c>
      <c r="C71" s="104"/>
      <c r="D71" s="149" t="s">
        <v>137</v>
      </c>
      <c r="E71" s="149"/>
      <c r="F71" s="149"/>
      <c r="G71" s="149"/>
      <c r="H71" s="149"/>
      <c r="I71" s="149"/>
      <c r="J71" s="149"/>
      <c r="K71" s="149"/>
      <c r="L71" s="149"/>
      <c r="M71" s="149"/>
      <c r="N71" s="149"/>
      <c r="O71" s="150"/>
      <c r="P71" s="144"/>
      <c r="Q71" s="106"/>
      <c r="R71" s="106"/>
      <c r="S71" s="131"/>
      <c r="T71" s="131"/>
      <c r="U71" s="151"/>
      <c r="V71" s="152"/>
      <c r="W71" s="106"/>
      <c r="X71" s="106"/>
      <c r="Y71" s="104"/>
      <c r="Z71" s="104"/>
      <c r="AA71" s="104"/>
      <c r="AB71" s="104"/>
      <c r="AC71" s="104"/>
      <c r="AD71" s="104"/>
      <c r="AE71" s="104"/>
      <c r="AF71" s="104"/>
      <c r="AG71" s="104"/>
      <c r="AH71" s="104"/>
      <c r="AI71" s="104"/>
      <c r="AJ71" s="104"/>
      <c r="AK71" s="104"/>
      <c r="AL71" s="104"/>
      <c r="AM71" s="104"/>
      <c r="AN71" s="104"/>
      <c r="AO71" s="104"/>
      <c r="AP71" s="145"/>
      <c r="AQ71" s="146"/>
      <c r="AR71" s="104"/>
      <c r="AS71" s="104"/>
      <c r="AT71" s="104"/>
      <c r="AU71" s="104"/>
      <c r="AV71" s="104"/>
      <c r="AW71" s="104"/>
      <c r="AX71" s="104"/>
      <c r="AY71" s="104"/>
      <c r="AZ71" s="104"/>
      <c r="BA71" s="104"/>
      <c r="BB71" s="145"/>
      <c r="BC71" s="146"/>
      <c r="BD71" s="104"/>
      <c r="BE71" s="104"/>
      <c r="BF71" s="104"/>
      <c r="BG71" s="104"/>
      <c r="BH71" s="104"/>
      <c r="BI71" s="104"/>
      <c r="BJ71" s="104"/>
      <c r="BK71" s="104"/>
      <c r="BL71" s="104"/>
      <c r="BM71" s="104"/>
      <c r="BN71" s="145"/>
      <c r="BO71" s="148">
        <f t="shared" si="7"/>
        <v>0</v>
      </c>
      <c r="BP71" s="105"/>
      <c r="BQ71" s="105"/>
      <c r="BR71" s="105"/>
      <c r="BS71" s="71" t="e">
        <f t="shared" si="19"/>
        <v>#DIV/0!</v>
      </c>
      <c r="BT71" s="71" t="e">
        <f t="shared" si="20"/>
        <v>#DIV/0!</v>
      </c>
      <c r="BU71" s="71">
        <f t="shared" si="21"/>
        <v>0</v>
      </c>
      <c r="BV71" s="15">
        <f t="shared" si="11"/>
        <v>1</v>
      </c>
      <c r="BW71" s="15" t="str">
        <f t="shared" si="12"/>
        <v>тўғри</v>
      </c>
      <c r="BX71" s="71">
        <f t="shared" si="13"/>
        <v>0</v>
      </c>
      <c r="BY71" s="15">
        <f t="shared" si="14"/>
        <v>1</v>
      </c>
      <c r="BZ71" s="15" t="str">
        <f t="shared" si="15"/>
        <v>тўғри</v>
      </c>
    </row>
    <row r="72" spans="1:78" ht="14.25" customHeight="1" x14ac:dyDescent="0.25">
      <c r="A72" s="85" t="s">
        <v>11</v>
      </c>
      <c r="B72" s="104"/>
      <c r="C72" s="104"/>
      <c r="D72" s="178" t="s">
        <v>130</v>
      </c>
      <c r="E72" s="178"/>
      <c r="F72" s="178"/>
      <c r="G72" s="178"/>
      <c r="H72" s="178"/>
      <c r="I72" s="178"/>
      <c r="J72" s="178"/>
      <c r="K72" s="178"/>
      <c r="L72" s="178"/>
      <c r="M72" s="178"/>
      <c r="N72" s="178"/>
      <c r="O72" s="179"/>
      <c r="P72" s="144">
        <f t="shared" ref="P72" si="23">SUM(V72+AN72)</f>
        <v>150</v>
      </c>
      <c r="Q72" s="106"/>
      <c r="R72" s="106"/>
      <c r="S72" s="131"/>
      <c r="T72" s="131"/>
      <c r="U72" s="151"/>
      <c r="V72" s="152">
        <f t="shared" ref="V72" si="24">SUM(AQ72+AT72+AW72+AZ72)*15</f>
        <v>60</v>
      </c>
      <c r="W72" s="106"/>
      <c r="X72" s="106"/>
      <c r="Y72" s="104"/>
      <c r="Z72" s="104"/>
      <c r="AA72" s="104"/>
      <c r="AB72" s="104">
        <v>60</v>
      </c>
      <c r="AC72" s="104"/>
      <c r="AD72" s="104"/>
      <c r="AE72" s="104"/>
      <c r="AF72" s="104"/>
      <c r="AG72" s="104"/>
      <c r="AH72" s="104"/>
      <c r="AI72" s="104"/>
      <c r="AJ72" s="104"/>
      <c r="AK72" s="106"/>
      <c r="AL72" s="106"/>
      <c r="AM72" s="106"/>
      <c r="AN72" s="104">
        <v>90</v>
      </c>
      <c r="AO72" s="104"/>
      <c r="AP72" s="145"/>
      <c r="AQ72" s="146">
        <v>2</v>
      </c>
      <c r="AR72" s="104"/>
      <c r="AS72" s="104"/>
      <c r="AT72" s="104">
        <v>2</v>
      </c>
      <c r="AU72" s="104"/>
      <c r="AV72" s="104"/>
      <c r="AW72" s="104"/>
      <c r="AX72" s="104"/>
      <c r="AY72" s="104"/>
      <c r="AZ72" s="104"/>
      <c r="BA72" s="104"/>
      <c r="BB72" s="145"/>
      <c r="BC72" s="146">
        <v>2</v>
      </c>
      <c r="BD72" s="104"/>
      <c r="BE72" s="104"/>
      <c r="BF72" s="104">
        <v>3</v>
      </c>
      <c r="BG72" s="104"/>
      <c r="BH72" s="104"/>
      <c r="BI72" s="104"/>
      <c r="BJ72" s="104"/>
      <c r="BK72" s="104"/>
      <c r="BL72" s="104"/>
      <c r="BM72" s="104"/>
      <c r="BN72" s="145"/>
      <c r="BO72" s="148">
        <f t="shared" si="7"/>
        <v>5</v>
      </c>
      <c r="BP72" s="105"/>
      <c r="BQ72" s="105"/>
      <c r="BR72" s="105"/>
      <c r="BS72" s="71">
        <f t="shared" si="19"/>
        <v>40</v>
      </c>
      <c r="BT72" s="71">
        <f t="shared" si="20"/>
        <v>60</v>
      </c>
      <c r="BU72" s="71">
        <f t="shared" si="21"/>
        <v>60</v>
      </c>
      <c r="BV72" s="15">
        <f t="shared" si="11"/>
        <v>1</v>
      </c>
      <c r="BW72" s="15" t="str">
        <f t="shared" si="12"/>
        <v>тўғри</v>
      </c>
      <c r="BX72" s="71">
        <f t="shared" si="13"/>
        <v>5</v>
      </c>
      <c r="BY72" s="15">
        <f t="shared" si="14"/>
        <v>1</v>
      </c>
      <c r="BZ72" s="15" t="str">
        <f t="shared" si="15"/>
        <v>тўғри</v>
      </c>
    </row>
    <row r="73" spans="1:78" ht="28.5" customHeight="1" x14ac:dyDescent="0.25">
      <c r="A73" s="71">
        <v>1</v>
      </c>
      <c r="B73" s="104" t="s">
        <v>216</v>
      </c>
      <c r="C73" s="104"/>
      <c r="D73" s="180" t="s">
        <v>138</v>
      </c>
      <c r="E73" s="180"/>
      <c r="F73" s="180"/>
      <c r="G73" s="180"/>
      <c r="H73" s="180"/>
      <c r="I73" s="180"/>
      <c r="J73" s="180"/>
      <c r="K73" s="180"/>
      <c r="L73" s="180"/>
      <c r="M73" s="180"/>
      <c r="N73" s="180"/>
      <c r="O73" s="181"/>
      <c r="P73" s="144"/>
      <c r="Q73" s="106"/>
      <c r="R73" s="106"/>
      <c r="S73" s="131"/>
      <c r="T73" s="131"/>
      <c r="U73" s="151"/>
      <c r="V73" s="152"/>
      <c r="W73" s="106"/>
      <c r="X73" s="106"/>
      <c r="Y73" s="104"/>
      <c r="Z73" s="104"/>
      <c r="AA73" s="104"/>
      <c r="AB73" s="104"/>
      <c r="AC73" s="104"/>
      <c r="AD73" s="104"/>
      <c r="AE73" s="104"/>
      <c r="AF73" s="104"/>
      <c r="AG73" s="104"/>
      <c r="AH73" s="104"/>
      <c r="AI73" s="104"/>
      <c r="AJ73" s="104"/>
      <c r="AK73" s="106"/>
      <c r="AL73" s="106"/>
      <c r="AM73" s="106"/>
      <c r="AN73" s="104"/>
      <c r="AO73" s="104"/>
      <c r="AP73" s="145"/>
      <c r="AQ73" s="146"/>
      <c r="AR73" s="104"/>
      <c r="AS73" s="104"/>
      <c r="AT73" s="104"/>
      <c r="AU73" s="104"/>
      <c r="AV73" s="104"/>
      <c r="AW73" s="104"/>
      <c r="AX73" s="104"/>
      <c r="AY73" s="104"/>
      <c r="AZ73" s="104"/>
      <c r="BA73" s="104"/>
      <c r="BB73" s="145"/>
      <c r="BC73" s="146"/>
      <c r="BD73" s="104"/>
      <c r="BE73" s="104"/>
      <c r="BF73" s="104"/>
      <c r="BG73" s="104"/>
      <c r="BH73" s="104"/>
      <c r="BI73" s="104"/>
      <c r="BJ73" s="104"/>
      <c r="BK73" s="104"/>
      <c r="BL73" s="104"/>
      <c r="BM73" s="104"/>
      <c r="BN73" s="145"/>
      <c r="BO73" s="148">
        <f t="shared" si="7"/>
        <v>0</v>
      </c>
      <c r="BP73" s="105"/>
      <c r="BQ73" s="105"/>
      <c r="BR73" s="105"/>
      <c r="BS73" s="71" t="e">
        <f t="shared" si="19"/>
        <v>#DIV/0!</v>
      </c>
      <c r="BT73" s="71" t="e">
        <f t="shared" si="20"/>
        <v>#DIV/0!</v>
      </c>
      <c r="BU73" s="71">
        <f t="shared" si="21"/>
        <v>0</v>
      </c>
      <c r="BV73" s="15">
        <f t="shared" si="11"/>
        <v>1</v>
      </c>
      <c r="BW73" s="15" t="str">
        <f t="shared" si="12"/>
        <v>тўғри</v>
      </c>
      <c r="BX73" s="71">
        <f t="shared" si="13"/>
        <v>0</v>
      </c>
      <c r="BY73" s="15">
        <f t="shared" si="14"/>
        <v>1</v>
      </c>
      <c r="BZ73" s="15" t="str">
        <f t="shared" si="15"/>
        <v>тўғри</v>
      </c>
    </row>
    <row r="74" spans="1:78" ht="14.25" customHeight="1" x14ac:dyDescent="0.25">
      <c r="A74" s="71">
        <v>2</v>
      </c>
      <c r="B74" s="104" t="s">
        <v>217</v>
      </c>
      <c r="C74" s="104"/>
      <c r="D74" s="149" t="s">
        <v>139</v>
      </c>
      <c r="E74" s="149"/>
      <c r="F74" s="149"/>
      <c r="G74" s="149"/>
      <c r="H74" s="149"/>
      <c r="I74" s="149"/>
      <c r="J74" s="149"/>
      <c r="K74" s="149"/>
      <c r="L74" s="149"/>
      <c r="M74" s="149"/>
      <c r="N74" s="149"/>
      <c r="O74" s="150"/>
      <c r="P74" s="144"/>
      <c r="Q74" s="106"/>
      <c r="R74" s="106"/>
      <c r="S74" s="131"/>
      <c r="T74" s="131"/>
      <c r="U74" s="151"/>
      <c r="V74" s="152"/>
      <c r="W74" s="106"/>
      <c r="X74" s="106"/>
      <c r="Y74" s="104"/>
      <c r="Z74" s="104"/>
      <c r="AA74" s="104"/>
      <c r="AB74" s="104"/>
      <c r="AC74" s="104"/>
      <c r="AD74" s="104"/>
      <c r="AE74" s="104"/>
      <c r="AF74" s="104"/>
      <c r="AG74" s="104"/>
      <c r="AH74" s="104"/>
      <c r="AI74" s="104"/>
      <c r="AJ74" s="104"/>
      <c r="AK74" s="106"/>
      <c r="AL74" s="106"/>
      <c r="AM74" s="106"/>
      <c r="AN74" s="104"/>
      <c r="AO74" s="104"/>
      <c r="AP74" s="145"/>
      <c r="AQ74" s="146"/>
      <c r="AR74" s="104"/>
      <c r="AS74" s="104"/>
      <c r="AT74" s="104"/>
      <c r="AU74" s="104"/>
      <c r="AV74" s="104"/>
      <c r="AW74" s="104"/>
      <c r="AX74" s="104"/>
      <c r="AY74" s="104"/>
      <c r="AZ74" s="104"/>
      <c r="BA74" s="104"/>
      <c r="BB74" s="145"/>
      <c r="BC74" s="146"/>
      <c r="BD74" s="104"/>
      <c r="BE74" s="104"/>
      <c r="BF74" s="104"/>
      <c r="BG74" s="104"/>
      <c r="BH74" s="104"/>
      <c r="BI74" s="104"/>
      <c r="BJ74" s="104"/>
      <c r="BK74" s="104"/>
      <c r="BL74" s="104"/>
      <c r="BM74" s="104"/>
      <c r="BN74" s="145"/>
      <c r="BO74" s="148">
        <f t="shared" si="7"/>
        <v>0</v>
      </c>
      <c r="BP74" s="105"/>
      <c r="BQ74" s="105"/>
      <c r="BR74" s="105"/>
      <c r="BS74" s="71" t="e">
        <f t="shared" si="19"/>
        <v>#DIV/0!</v>
      </c>
      <c r="BT74" s="71" t="e">
        <f t="shared" si="20"/>
        <v>#DIV/0!</v>
      </c>
      <c r="BU74" s="71">
        <f t="shared" si="21"/>
        <v>0</v>
      </c>
      <c r="BV74" s="15">
        <f t="shared" si="11"/>
        <v>1</v>
      </c>
      <c r="BW74" s="15" t="str">
        <f t="shared" si="12"/>
        <v>тўғри</v>
      </c>
      <c r="BX74" s="71">
        <f t="shared" si="13"/>
        <v>0</v>
      </c>
      <c r="BY74" s="15">
        <f t="shared" si="14"/>
        <v>1</v>
      </c>
      <c r="BZ74" s="15" t="str">
        <f t="shared" si="15"/>
        <v>тўғри</v>
      </c>
    </row>
    <row r="75" spans="1:78" ht="14.25" customHeight="1" x14ac:dyDescent="0.25">
      <c r="A75" s="85" t="s">
        <v>12</v>
      </c>
      <c r="B75" s="104"/>
      <c r="C75" s="104"/>
      <c r="D75" s="178" t="s">
        <v>131</v>
      </c>
      <c r="E75" s="178"/>
      <c r="F75" s="178"/>
      <c r="G75" s="178"/>
      <c r="H75" s="178"/>
      <c r="I75" s="178"/>
      <c r="J75" s="178"/>
      <c r="K75" s="178"/>
      <c r="L75" s="178"/>
      <c r="M75" s="178"/>
      <c r="N75" s="178"/>
      <c r="O75" s="179"/>
      <c r="P75" s="144">
        <f>SUM(V75+AN75)</f>
        <v>90</v>
      </c>
      <c r="Q75" s="106"/>
      <c r="R75" s="106"/>
      <c r="S75" s="131"/>
      <c r="T75" s="131"/>
      <c r="U75" s="151"/>
      <c r="V75" s="152">
        <f t="shared" ref="V75" si="25">SUM(AQ75+AT75+AW75+AZ75)*15</f>
        <v>30</v>
      </c>
      <c r="W75" s="106"/>
      <c r="X75" s="106"/>
      <c r="Y75" s="104">
        <v>10</v>
      </c>
      <c r="Z75" s="104"/>
      <c r="AA75" s="104"/>
      <c r="AB75" s="104">
        <v>10</v>
      </c>
      <c r="AC75" s="104"/>
      <c r="AD75" s="104"/>
      <c r="AE75" s="104"/>
      <c r="AF75" s="104"/>
      <c r="AG75" s="104"/>
      <c r="AH75" s="104">
        <v>10</v>
      </c>
      <c r="AI75" s="104"/>
      <c r="AJ75" s="104"/>
      <c r="AK75" s="106"/>
      <c r="AL75" s="106"/>
      <c r="AM75" s="106"/>
      <c r="AN75" s="104">
        <v>60</v>
      </c>
      <c r="AO75" s="104"/>
      <c r="AP75" s="145"/>
      <c r="AQ75" s="146"/>
      <c r="AR75" s="104"/>
      <c r="AS75" s="104"/>
      <c r="AT75" s="104"/>
      <c r="AU75" s="104"/>
      <c r="AV75" s="104"/>
      <c r="AW75" s="104">
        <v>2</v>
      </c>
      <c r="AX75" s="104"/>
      <c r="AY75" s="104"/>
      <c r="AZ75" s="104"/>
      <c r="BA75" s="104"/>
      <c r="BB75" s="145"/>
      <c r="BC75" s="146"/>
      <c r="BD75" s="104"/>
      <c r="BE75" s="104"/>
      <c r="BF75" s="104"/>
      <c r="BG75" s="104"/>
      <c r="BH75" s="104"/>
      <c r="BI75" s="104">
        <v>3</v>
      </c>
      <c r="BJ75" s="104"/>
      <c r="BK75" s="104"/>
      <c r="BL75" s="104"/>
      <c r="BM75" s="104"/>
      <c r="BN75" s="145"/>
      <c r="BO75" s="148">
        <f t="shared" si="7"/>
        <v>3</v>
      </c>
      <c r="BP75" s="105"/>
      <c r="BQ75" s="105"/>
      <c r="BR75" s="105"/>
      <c r="BS75" s="71">
        <f t="shared" si="19"/>
        <v>33.333333333333329</v>
      </c>
      <c r="BT75" s="71">
        <f t="shared" si="20"/>
        <v>66.666666666666657</v>
      </c>
      <c r="BU75" s="71">
        <f t="shared" si="21"/>
        <v>30</v>
      </c>
      <c r="BV75" s="15">
        <f t="shared" si="11"/>
        <v>1</v>
      </c>
      <c r="BW75" s="15" t="str">
        <f t="shared" si="12"/>
        <v>тўғри</v>
      </c>
      <c r="BX75" s="71">
        <f t="shared" si="13"/>
        <v>3</v>
      </c>
      <c r="BY75" s="15">
        <f t="shared" si="14"/>
        <v>1</v>
      </c>
      <c r="BZ75" s="15" t="str">
        <f t="shared" si="15"/>
        <v>тўғри</v>
      </c>
    </row>
    <row r="76" spans="1:78" ht="14.25" customHeight="1" x14ac:dyDescent="0.25">
      <c r="A76" s="71">
        <v>1</v>
      </c>
      <c r="B76" s="104" t="s">
        <v>32</v>
      </c>
      <c r="C76" s="104"/>
      <c r="D76" s="149" t="s">
        <v>247</v>
      </c>
      <c r="E76" s="149"/>
      <c r="F76" s="149"/>
      <c r="G76" s="149"/>
      <c r="H76" s="149"/>
      <c r="I76" s="149"/>
      <c r="J76" s="149"/>
      <c r="K76" s="149"/>
      <c r="L76" s="149"/>
      <c r="M76" s="149"/>
      <c r="N76" s="149"/>
      <c r="O76" s="150"/>
      <c r="P76" s="144"/>
      <c r="Q76" s="106"/>
      <c r="R76" s="106"/>
      <c r="S76" s="131"/>
      <c r="T76" s="131"/>
      <c r="U76" s="151"/>
      <c r="V76" s="152"/>
      <c r="W76" s="106"/>
      <c r="X76" s="106"/>
      <c r="Y76" s="104"/>
      <c r="Z76" s="104"/>
      <c r="AA76" s="104"/>
      <c r="AB76" s="104"/>
      <c r="AC76" s="104"/>
      <c r="AD76" s="104"/>
      <c r="AE76" s="104"/>
      <c r="AF76" s="104"/>
      <c r="AG76" s="104"/>
      <c r="AH76" s="104"/>
      <c r="AI76" s="104"/>
      <c r="AJ76" s="104"/>
      <c r="AK76" s="106"/>
      <c r="AL76" s="106"/>
      <c r="AM76" s="106"/>
      <c r="AN76" s="104"/>
      <c r="AO76" s="104"/>
      <c r="AP76" s="145"/>
      <c r="AQ76" s="146"/>
      <c r="AR76" s="104"/>
      <c r="AS76" s="104"/>
      <c r="AT76" s="104"/>
      <c r="AU76" s="104"/>
      <c r="AV76" s="104"/>
      <c r="AW76" s="104"/>
      <c r="AX76" s="104"/>
      <c r="AY76" s="104"/>
      <c r="AZ76" s="104"/>
      <c r="BA76" s="104"/>
      <c r="BB76" s="145"/>
      <c r="BC76" s="146"/>
      <c r="BD76" s="104"/>
      <c r="BE76" s="104"/>
      <c r="BF76" s="104"/>
      <c r="BG76" s="104"/>
      <c r="BH76" s="104"/>
      <c r="BI76" s="104"/>
      <c r="BJ76" s="104"/>
      <c r="BK76" s="104"/>
      <c r="BL76" s="104"/>
      <c r="BM76" s="104"/>
      <c r="BN76" s="145"/>
      <c r="BO76" s="148">
        <f t="shared" si="7"/>
        <v>0</v>
      </c>
      <c r="BP76" s="105"/>
      <c r="BQ76" s="105"/>
      <c r="BR76" s="105"/>
      <c r="BS76" s="71" t="e">
        <f t="shared" si="19"/>
        <v>#DIV/0!</v>
      </c>
      <c r="BT76" s="71" t="e">
        <f t="shared" si="20"/>
        <v>#DIV/0!</v>
      </c>
      <c r="BU76" s="71">
        <f t="shared" si="21"/>
        <v>0</v>
      </c>
      <c r="BV76" s="15">
        <f t="shared" si="11"/>
        <v>1</v>
      </c>
      <c r="BW76" s="15" t="str">
        <f t="shared" si="12"/>
        <v>тўғри</v>
      </c>
      <c r="BX76" s="71">
        <f t="shared" si="13"/>
        <v>0</v>
      </c>
      <c r="BY76" s="15">
        <f t="shared" si="14"/>
        <v>1</v>
      </c>
      <c r="BZ76" s="15" t="str">
        <f t="shared" si="15"/>
        <v>тўғри</v>
      </c>
    </row>
    <row r="77" spans="1:78" ht="26.25" customHeight="1" x14ac:dyDescent="0.25">
      <c r="A77" s="71">
        <v>2</v>
      </c>
      <c r="B77" s="104" t="s">
        <v>33</v>
      </c>
      <c r="C77" s="104"/>
      <c r="D77" s="180" t="s">
        <v>140</v>
      </c>
      <c r="E77" s="180"/>
      <c r="F77" s="180"/>
      <c r="G77" s="180"/>
      <c r="H77" s="180"/>
      <c r="I77" s="180"/>
      <c r="J77" s="180"/>
      <c r="K77" s="180"/>
      <c r="L77" s="180"/>
      <c r="M77" s="180"/>
      <c r="N77" s="180"/>
      <c r="O77" s="181"/>
      <c r="P77" s="144"/>
      <c r="Q77" s="106"/>
      <c r="R77" s="106"/>
      <c r="S77" s="131"/>
      <c r="T77" s="131"/>
      <c r="U77" s="151"/>
      <c r="V77" s="152"/>
      <c r="W77" s="106"/>
      <c r="X77" s="106"/>
      <c r="Y77" s="104"/>
      <c r="Z77" s="104"/>
      <c r="AA77" s="104"/>
      <c r="AB77" s="104"/>
      <c r="AC77" s="104"/>
      <c r="AD77" s="104"/>
      <c r="AE77" s="104"/>
      <c r="AF77" s="104"/>
      <c r="AG77" s="104"/>
      <c r="AH77" s="104"/>
      <c r="AI77" s="104"/>
      <c r="AJ77" s="104"/>
      <c r="AK77" s="106"/>
      <c r="AL77" s="106"/>
      <c r="AM77" s="106"/>
      <c r="AN77" s="104"/>
      <c r="AO77" s="104"/>
      <c r="AP77" s="145"/>
      <c r="AQ77" s="146"/>
      <c r="AR77" s="104"/>
      <c r="AS77" s="104"/>
      <c r="AT77" s="104"/>
      <c r="AU77" s="104"/>
      <c r="AV77" s="104"/>
      <c r="AW77" s="104"/>
      <c r="AX77" s="104"/>
      <c r="AY77" s="104"/>
      <c r="AZ77" s="104"/>
      <c r="BA77" s="104"/>
      <c r="BB77" s="145"/>
      <c r="BC77" s="146"/>
      <c r="BD77" s="104"/>
      <c r="BE77" s="104"/>
      <c r="BF77" s="104"/>
      <c r="BG77" s="104"/>
      <c r="BH77" s="104"/>
      <c r="BI77" s="104"/>
      <c r="BJ77" s="104"/>
      <c r="BK77" s="104"/>
      <c r="BL77" s="104"/>
      <c r="BM77" s="104"/>
      <c r="BN77" s="145"/>
      <c r="BO77" s="148">
        <f t="shared" si="7"/>
        <v>0</v>
      </c>
      <c r="BP77" s="105"/>
      <c r="BQ77" s="105"/>
      <c r="BR77" s="105"/>
      <c r="BS77" s="71" t="e">
        <f t="shared" si="19"/>
        <v>#DIV/0!</v>
      </c>
      <c r="BT77" s="71" t="e">
        <f t="shared" si="20"/>
        <v>#DIV/0!</v>
      </c>
      <c r="BU77" s="71">
        <f t="shared" si="21"/>
        <v>0</v>
      </c>
      <c r="BV77" s="15">
        <f t="shared" si="11"/>
        <v>1</v>
      </c>
      <c r="BW77" s="15" t="str">
        <f t="shared" si="12"/>
        <v>тўғри</v>
      </c>
      <c r="BX77" s="71">
        <f t="shared" si="13"/>
        <v>0</v>
      </c>
      <c r="BY77" s="15">
        <f t="shared" si="14"/>
        <v>1</v>
      </c>
      <c r="BZ77" s="15" t="str">
        <f t="shared" si="15"/>
        <v>тўғри</v>
      </c>
    </row>
    <row r="78" spans="1:78" ht="14.25" customHeight="1" x14ac:dyDescent="0.25">
      <c r="A78" s="71"/>
      <c r="B78" s="104"/>
      <c r="C78" s="104"/>
      <c r="D78" s="184" t="s">
        <v>133</v>
      </c>
      <c r="E78" s="184"/>
      <c r="F78" s="184"/>
      <c r="G78" s="184"/>
      <c r="H78" s="184"/>
      <c r="I78" s="184"/>
      <c r="J78" s="184"/>
      <c r="K78" s="184"/>
      <c r="L78" s="184"/>
      <c r="M78" s="184"/>
      <c r="N78" s="184"/>
      <c r="O78" s="185"/>
      <c r="P78" s="144">
        <f>SUM(V78+AN78)</f>
        <v>1800</v>
      </c>
      <c r="Q78" s="106"/>
      <c r="R78" s="106"/>
      <c r="S78" s="131">
        <f>P78/3600*100</f>
        <v>50</v>
      </c>
      <c r="T78" s="131"/>
      <c r="U78" s="151"/>
      <c r="V78" s="152">
        <f t="shared" ref="V78" si="26">SUM(AQ78+AT78+AW78+AZ78)*15</f>
        <v>690</v>
      </c>
      <c r="W78" s="106"/>
      <c r="X78" s="106"/>
      <c r="Y78" s="106">
        <f>SUM(Y68+Y57)</f>
        <v>104</v>
      </c>
      <c r="Z78" s="106"/>
      <c r="AA78" s="106"/>
      <c r="AB78" s="106">
        <f t="shared" ref="AB78" si="27">SUM(AB68+AB57)</f>
        <v>410</v>
      </c>
      <c r="AC78" s="106"/>
      <c r="AD78" s="106"/>
      <c r="AE78" s="106">
        <f t="shared" ref="AE78" si="28">SUM(AE68+AE57)</f>
        <v>120</v>
      </c>
      <c r="AF78" s="106"/>
      <c r="AG78" s="106"/>
      <c r="AH78" s="106">
        <f t="shared" ref="AH78" si="29">SUM(AH68+AH57)</f>
        <v>56</v>
      </c>
      <c r="AI78" s="106"/>
      <c r="AJ78" s="106"/>
      <c r="AK78" s="106"/>
      <c r="AL78" s="106"/>
      <c r="AM78" s="106"/>
      <c r="AN78" s="106">
        <f>SUM(AN68+AN57)</f>
        <v>1110</v>
      </c>
      <c r="AO78" s="106"/>
      <c r="AP78" s="147"/>
      <c r="AQ78" s="144">
        <f>SUM(AQ68+AQ57)</f>
        <v>18</v>
      </c>
      <c r="AR78" s="106"/>
      <c r="AS78" s="106"/>
      <c r="AT78" s="106">
        <f>SUM(AT68+AT57)</f>
        <v>10</v>
      </c>
      <c r="AU78" s="106"/>
      <c r="AV78" s="106"/>
      <c r="AW78" s="106">
        <f>SUM(AW68+AW57)</f>
        <v>12</v>
      </c>
      <c r="AX78" s="106"/>
      <c r="AY78" s="106"/>
      <c r="AZ78" s="106">
        <f>SUM(AZ68+AZ57)</f>
        <v>6</v>
      </c>
      <c r="BA78" s="106"/>
      <c r="BB78" s="147"/>
      <c r="BC78" s="144">
        <f>SUM(BC68+BC57)</f>
        <v>24</v>
      </c>
      <c r="BD78" s="106"/>
      <c r="BE78" s="106"/>
      <c r="BF78" s="106">
        <f>SUM(BF68+BF57)</f>
        <v>13</v>
      </c>
      <c r="BG78" s="106"/>
      <c r="BH78" s="106"/>
      <c r="BI78" s="106">
        <f>SUM(BI68+BI57)</f>
        <v>15</v>
      </c>
      <c r="BJ78" s="106"/>
      <c r="BK78" s="106"/>
      <c r="BL78" s="106">
        <f>SUM(BL68+BL57)</f>
        <v>8</v>
      </c>
      <c r="BM78" s="106"/>
      <c r="BN78" s="147"/>
      <c r="BO78" s="148">
        <f t="shared" si="7"/>
        <v>60</v>
      </c>
      <c r="BP78" s="105"/>
      <c r="BQ78" s="105"/>
      <c r="BR78" s="105"/>
      <c r="BS78" s="71">
        <f t="shared" si="19"/>
        <v>38.333333333333336</v>
      </c>
      <c r="BT78" s="71">
        <f t="shared" si="20"/>
        <v>61.666666666666671</v>
      </c>
      <c r="BU78" s="71">
        <f t="shared" si="21"/>
        <v>690</v>
      </c>
      <c r="BV78" s="15">
        <f t="shared" si="11"/>
        <v>1</v>
      </c>
      <c r="BW78" s="15" t="str">
        <f t="shared" si="12"/>
        <v>тўғри</v>
      </c>
      <c r="BX78" s="71">
        <f t="shared" si="13"/>
        <v>60</v>
      </c>
      <c r="BY78" s="15">
        <f t="shared" si="14"/>
        <v>1</v>
      </c>
      <c r="BZ78" s="15" t="str">
        <f>IF(BY78=1,"тўғри","хато")</f>
        <v>тўғри</v>
      </c>
    </row>
    <row r="79" spans="1:78" ht="14.25" customHeight="1" x14ac:dyDescent="0.25">
      <c r="A79" s="72" t="s">
        <v>49</v>
      </c>
      <c r="B79" s="104"/>
      <c r="C79" s="104"/>
      <c r="D79" s="182" t="s">
        <v>132</v>
      </c>
      <c r="E79" s="182"/>
      <c r="F79" s="182"/>
      <c r="G79" s="182"/>
      <c r="H79" s="182"/>
      <c r="I79" s="182"/>
      <c r="J79" s="182"/>
      <c r="K79" s="182"/>
      <c r="L79" s="182"/>
      <c r="M79" s="182"/>
      <c r="N79" s="182"/>
      <c r="O79" s="183"/>
      <c r="P79" s="144">
        <f>SUM(V79+AN79)</f>
        <v>1800</v>
      </c>
      <c r="Q79" s="106"/>
      <c r="R79" s="106"/>
      <c r="S79" s="131">
        <f>P79/3600*100</f>
        <v>50</v>
      </c>
      <c r="T79" s="131"/>
      <c r="U79" s="151"/>
      <c r="V79" s="152">
        <f>SUM(V80:X82)</f>
        <v>750</v>
      </c>
      <c r="W79" s="106"/>
      <c r="X79" s="106"/>
      <c r="Y79" s="106"/>
      <c r="Z79" s="106"/>
      <c r="AA79" s="106"/>
      <c r="AB79" s="106"/>
      <c r="AC79" s="106"/>
      <c r="AD79" s="106"/>
      <c r="AE79" s="106"/>
      <c r="AF79" s="106"/>
      <c r="AG79" s="106"/>
      <c r="AH79" s="106"/>
      <c r="AI79" s="106"/>
      <c r="AJ79" s="106"/>
      <c r="AK79" s="106"/>
      <c r="AL79" s="106"/>
      <c r="AM79" s="106"/>
      <c r="AN79" s="106">
        <f>SUM(AN80:AP82)</f>
        <v>1050</v>
      </c>
      <c r="AO79" s="106"/>
      <c r="AP79" s="147"/>
      <c r="AQ79" s="144">
        <f>SUM(AQ80:AS82)</f>
        <v>6</v>
      </c>
      <c r="AR79" s="106"/>
      <c r="AS79" s="106"/>
      <c r="AT79" s="106">
        <f>SUM(AT80:AV82)</f>
        <v>14</v>
      </c>
      <c r="AU79" s="106"/>
      <c r="AV79" s="106"/>
      <c r="AW79" s="106">
        <f>SUM(AW80:AY82)</f>
        <v>12</v>
      </c>
      <c r="AX79" s="106"/>
      <c r="AY79" s="106"/>
      <c r="AZ79" s="106">
        <f>SUM(AZ80:BB82)</f>
        <v>18</v>
      </c>
      <c r="BA79" s="106"/>
      <c r="BB79" s="147"/>
      <c r="BC79" s="144">
        <f>SUM(BC80:BE82)</f>
        <v>6</v>
      </c>
      <c r="BD79" s="106"/>
      <c r="BE79" s="106"/>
      <c r="BF79" s="106">
        <f>SUM(BF80:BH82)</f>
        <v>17</v>
      </c>
      <c r="BG79" s="106"/>
      <c r="BH79" s="106"/>
      <c r="BI79" s="106">
        <f>SUM(BI80:BK82)</f>
        <v>15</v>
      </c>
      <c r="BJ79" s="106"/>
      <c r="BK79" s="106"/>
      <c r="BL79" s="106">
        <f>SUM(BL80:BN82)</f>
        <v>22</v>
      </c>
      <c r="BM79" s="106"/>
      <c r="BN79" s="147"/>
      <c r="BO79" s="148">
        <f>SUM(P79/30)</f>
        <v>60</v>
      </c>
      <c r="BP79" s="105"/>
      <c r="BQ79" s="105"/>
      <c r="BR79" s="105"/>
      <c r="BS79" s="71">
        <f t="shared" si="19"/>
        <v>41.666666666666671</v>
      </c>
      <c r="BT79" s="71">
        <f t="shared" si="20"/>
        <v>58.333333333333336</v>
      </c>
      <c r="BU79" s="71"/>
      <c r="BV79" s="15"/>
      <c r="BW79" s="15"/>
      <c r="BX79" s="71">
        <f>SUM(BC79:BN79)</f>
        <v>60</v>
      </c>
      <c r="BY79" s="15">
        <f t="shared" si="14"/>
        <v>1</v>
      </c>
      <c r="BZ79" s="15" t="str">
        <f t="shared" ref="BZ79:BZ81" si="30">IF(BY79=1,"тўғри","хато")</f>
        <v>тўғри</v>
      </c>
    </row>
    <row r="80" spans="1:78" ht="28.5" customHeight="1" x14ac:dyDescent="0.25">
      <c r="A80" s="14" t="s">
        <v>50</v>
      </c>
      <c r="B80" s="104"/>
      <c r="C80" s="104"/>
      <c r="D80" s="180" t="s">
        <v>99</v>
      </c>
      <c r="E80" s="180"/>
      <c r="F80" s="180"/>
      <c r="G80" s="180"/>
      <c r="H80" s="180"/>
      <c r="I80" s="180"/>
      <c r="J80" s="180"/>
      <c r="K80" s="180"/>
      <c r="L80" s="180"/>
      <c r="M80" s="180"/>
      <c r="N80" s="180"/>
      <c r="O80" s="181"/>
      <c r="P80" s="144">
        <f>SUM(V80+AN80)</f>
        <v>1080</v>
      </c>
      <c r="Q80" s="106"/>
      <c r="R80" s="106"/>
      <c r="S80" s="106"/>
      <c r="T80" s="106"/>
      <c r="U80" s="147"/>
      <c r="V80" s="152">
        <f t="shared" ref="V80:V82" si="31">SUM(AQ80+AT80+AW80+AZ80)*15</f>
        <v>480</v>
      </c>
      <c r="W80" s="106"/>
      <c r="X80" s="106"/>
      <c r="Y80" s="106"/>
      <c r="Z80" s="106"/>
      <c r="AA80" s="106"/>
      <c r="AB80" s="106"/>
      <c r="AC80" s="106"/>
      <c r="AD80" s="106"/>
      <c r="AE80" s="106"/>
      <c r="AF80" s="106"/>
      <c r="AG80" s="106"/>
      <c r="AH80" s="106"/>
      <c r="AI80" s="106"/>
      <c r="AJ80" s="106"/>
      <c r="AK80" s="106"/>
      <c r="AL80" s="106"/>
      <c r="AM80" s="106"/>
      <c r="AN80" s="104">
        <v>600</v>
      </c>
      <c r="AO80" s="104"/>
      <c r="AP80" s="145"/>
      <c r="AQ80" s="146">
        <v>4</v>
      </c>
      <c r="AR80" s="104"/>
      <c r="AS80" s="104"/>
      <c r="AT80" s="104">
        <v>6</v>
      </c>
      <c r="AU80" s="104"/>
      <c r="AV80" s="104"/>
      <c r="AW80" s="104">
        <v>10</v>
      </c>
      <c r="AX80" s="104"/>
      <c r="AY80" s="104"/>
      <c r="AZ80" s="104">
        <v>12</v>
      </c>
      <c r="BA80" s="104"/>
      <c r="BB80" s="145"/>
      <c r="BC80" s="146">
        <v>4</v>
      </c>
      <c r="BD80" s="104"/>
      <c r="BE80" s="104"/>
      <c r="BF80" s="104">
        <v>6</v>
      </c>
      <c r="BG80" s="104"/>
      <c r="BH80" s="104"/>
      <c r="BI80" s="104">
        <v>12</v>
      </c>
      <c r="BJ80" s="104"/>
      <c r="BK80" s="104"/>
      <c r="BL80" s="104">
        <v>14</v>
      </c>
      <c r="BM80" s="104"/>
      <c r="BN80" s="145"/>
      <c r="BO80" s="148">
        <f t="shared" ref="BO80:BO82" si="32">SUM(P80/30)</f>
        <v>36</v>
      </c>
      <c r="BP80" s="105"/>
      <c r="BQ80" s="105"/>
      <c r="BR80" s="105"/>
      <c r="BS80" s="71">
        <f t="shared" si="19"/>
        <v>44.444444444444443</v>
      </c>
      <c r="BT80" s="71">
        <f t="shared" si="20"/>
        <v>55.555555555555557</v>
      </c>
      <c r="BU80" s="71"/>
      <c r="BV80" s="15"/>
      <c r="BW80" s="15" t="str">
        <f>IF(BV80=1,"тўғри","хато")</f>
        <v>хато</v>
      </c>
      <c r="BX80" s="71">
        <f>SUM(BC80:BN80)</f>
        <v>36</v>
      </c>
      <c r="BY80" s="15">
        <f t="shared" si="14"/>
        <v>1</v>
      </c>
      <c r="BZ80" s="15" t="str">
        <f t="shared" si="30"/>
        <v>тўғри</v>
      </c>
    </row>
    <row r="81" spans="1:78" ht="14.25" customHeight="1" x14ac:dyDescent="0.25">
      <c r="A81" s="14" t="s">
        <v>51</v>
      </c>
      <c r="B81" s="104"/>
      <c r="C81" s="104"/>
      <c r="D81" s="149" t="s">
        <v>134</v>
      </c>
      <c r="E81" s="149"/>
      <c r="F81" s="149"/>
      <c r="G81" s="149"/>
      <c r="H81" s="149"/>
      <c r="I81" s="149"/>
      <c r="J81" s="149"/>
      <c r="K81" s="149"/>
      <c r="L81" s="149"/>
      <c r="M81" s="149"/>
      <c r="N81" s="149"/>
      <c r="O81" s="150"/>
      <c r="P81" s="144">
        <f t="shared" ref="P81:P82" si="33">SUM(V81+AN81)</f>
        <v>240</v>
      </c>
      <c r="Q81" s="106"/>
      <c r="R81" s="106"/>
      <c r="S81" s="106"/>
      <c r="T81" s="106"/>
      <c r="U81" s="147"/>
      <c r="V81" s="152">
        <f t="shared" si="31"/>
        <v>90</v>
      </c>
      <c r="W81" s="106"/>
      <c r="X81" s="106"/>
      <c r="Y81" s="106"/>
      <c r="Z81" s="106"/>
      <c r="AA81" s="106"/>
      <c r="AB81" s="106"/>
      <c r="AC81" s="106"/>
      <c r="AD81" s="106"/>
      <c r="AE81" s="106"/>
      <c r="AF81" s="106"/>
      <c r="AG81" s="106"/>
      <c r="AH81" s="106"/>
      <c r="AI81" s="106"/>
      <c r="AJ81" s="106"/>
      <c r="AK81" s="106"/>
      <c r="AL81" s="106"/>
      <c r="AM81" s="106"/>
      <c r="AN81" s="104">
        <v>150</v>
      </c>
      <c r="AO81" s="104"/>
      <c r="AP81" s="145"/>
      <c r="AQ81" s="146">
        <v>2</v>
      </c>
      <c r="AR81" s="104"/>
      <c r="AS81" s="104"/>
      <c r="AT81" s="104">
        <v>2</v>
      </c>
      <c r="AU81" s="104"/>
      <c r="AV81" s="104"/>
      <c r="AW81" s="104">
        <v>2</v>
      </c>
      <c r="AX81" s="104"/>
      <c r="AY81" s="104"/>
      <c r="AZ81" s="104"/>
      <c r="BA81" s="104"/>
      <c r="BB81" s="145"/>
      <c r="BC81" s="146">
        <v>2</v>
      </c>
      <c r="BD81" s="104"/>
      <c r="BE81" s="104"/>
      <c r="BF81" s="104">
        <v>3</v>
      </c>
      <c r="BG81" s="104"/>
      <c r="BH81" s="104"/>
      <c r="BI81" s="104">
        <v>3</v>
      </c>
      <c r="BJ81" s="104"/>
      <c r="BK81" s="104"/>
      <c r="BL81" s="104"/>
      <c r="BM81" s="104"/>
      <c r="BN81" s="145"/>
      <c r="BO81" s="148">
        <f t="shared" si="32"/>
        <v>8</v>
      </c>
      <c r="BP81" s="105"/>
      <c r="BQ81" s="105"/>
      <c r="BR81" s="105"/>
      <c r="BS81" s="71">
        <f t="shared" si="19"/>
        <v>37.5</v>
      </c>
      <c r="BT81" s="71">
        <f t="shared" si="20"/>
        <v>62.5</v>
      </c>
      <c r="BU81" s="71"/>
      <c r="BV81" s="15"/>
      <c r="BW81" s="15" t="str">
        <f t="shared" ref="BW81:BW82" si="34">IF(BV81=1,"тўғри","хато")</f>
        <v>хато</v>
      </c>
      <c r="BX81" s="71">
        <f t="shared" ref="BX81:BX82" si="35">SUM(BC81:BN81)</f>
        <v>8</v>
      </c>
      <c r="BY81" s="15">
        <f t="shared" si="14"/>
        <v>1</v>
      </c>
      <c r="BZ81" s="15" t="str">
        <f t="shared" si="30"/>
        <v>тўғри</v>
      </c>
    </row>
    <row r="82" spans="1:78" ht="14.25" customHeight="1" x14ac:dyDescent="0.25">
      <c r="A82" s="14" t="s">
        <v>52</v>
      </c>
      <c r="B82" s="104"/>
      <c r="C82" s="104"/>
      <c r="D82" s="149" t="s">
        <v>135</v>
      </c>
      <c r="E82" s="149"/>
      <c r="F82" s="149"/>
      <c r="G82" s="149"/>
      <c r="H82" s="149"/>
      <c r="I82" s="149"/>
      <c r="J82" s="149"/>
      <c r="K82" s="149"/>
      <c r="L82" s="149"/>
      <c r="M82" s="149"/>
      <c r="N82" s="149"/>
      <c r="O82" s="150"/>
      <c r="P82" s="144">
        <f t="shared" si="33"/>
        <v>480</v>
      </c>
      <c r="Q82" s="106"/>
      <c r="R82" s="106"/>
      <c r="S82" s="106"/>
      <c r="T82" s="106"/>
      <c r="U82" s="147"/>
      <c r="V82" s="152">
        <f t="shared" si="31"/>
        <v>180</v>
      </c>
      <c r="W82" s="106"/>
      <c r="X82" s="106"/>
      <c r="Y82" s="106"/>
      <c r="Z82" s="106"/>
      <c r="AA82" s="106"/>
      <c r="AB82" s="106"/>
      <c r="AC82" s="106"/>
      <c r="AD82" s="106"/>
      <c r="AE82" s="106"/>
      <c r="AF82" s="106"/>
      <c r="AG82" s="106"/>
      <c r="AH82" s="106"/>
      <c r="AI82" s="106"/>
      <c r="AJ82" s="106"/>
      <c r="AK82" s="106"/>
      <c r="AL82" s="106"/>
      <c r="AM82" s="106"/>
      <c r="AN82" s="104">
        <v>300</v>
      </c>
      <c r="AO82" s="104"/>
      <c r="AP82" s="145"/>
      <c r="AQ82" s="146"/>
      <c r="AR82" s="104"/>
      <c r="AS82" s="104"/>
      <c r="AT82" s="104">
        <v>6</v>
      </c>
      <c r="AU82" s="104"/>
      <c r="AV82" s="104"/>
      <c r="AW82" s="104"/>
      <c r="AX82" s="104"/>
      <c r="AY82" s="104"/>
      <c r="AZ82" s="104">
        <v>6</v>
      </c>
      <c r="BA82" s="104"/>
      <c r="BB82" s="145"/>
      <c r="BC82" s="146"/>
      <c r="BD82" s="104"/>
      <c r="BE82" s="104"/>
      <c r="BF82" s="104">
        <v>8</v>
      </c>
      <c r="BG82" s="104"/>
      <c r="BH82" s="104"/>
      <c r="BI82" s="104"/>
      <c r="BJ82" s="104"/>
      <c r="BK82" s="104"/>
      <c r="BL82" s="104">
        <v>8</v>
      </c>
      <c r="BM82" s="104"/>
      <c r="BN82" s="145"/>
      <c r="BO82" s="148">
        <f t="shared" si="32"/>
        <v>16</v>
      </c>
      <c r="BP82" s="105"/>
      <c r="BQ82" s="105"/>
      <c r="BR82" s="105"/>
      <c r="BS82" s="71">
        <f t="shared" si="19"/>
        <v>37.5</v>
      </c>
      <c r="BT82" s="71">
        <f t="shared" si="20"/>
        <v>62.5</v>
      </c>
      <c r="BU82" s="71"/>
      <c r="BV82" s="15"/>
      <c r="BW82" s="15" t="str">
        <f t="shared" si="34"/>
        <v>хато</v>
      </c>
      <c r="BX82" s="71">
        <f t="shared" si="35"/>
        <v>16</v>
      </c>
      <c r="BY82" s="15">
        <f t="shared" si="14"/>
        <v>1</v>
      </c>
      <c r="BZ82" s="15" t="str">
        <f>IF(BY82=1,"тўғри","хато")</f>
        <v>тўғри</v>
      </c>
    </row>
    <row r="83" spans="1:78" ht="14.25" customHeight="1" x14ac:dyDescent="0.25">
      <c r="A83" s="71"/>
      <c r="B83" s="130"/>
      <c r="C83" s="130"/>
      <c r="D83" s="184" t="s">
        <v>133</v>
      </c>
      <c r="E83" s="184"/>
      <c r="F83" s="184"/>
      <c r="G83" s="184"/>
      <c r="H83" s="184"/>
      <c r="I83" s="184"/>
      <c r="J83" s="184"/>
      <c r="K83" s="184"/>
      <c r="L83" s="184"/>
      <c r="M83" s="184"/>
      <c r="N83" s="184"/>
      <c r="O83" s="185"/>
      <c r="P83" s="144">
        <f>SUM(P79,P78)</f>
        <v>3600</v>
      </c>
      <c r="Q83" s="106"/>
      <c r="R83" s="106"/>
      <c r="S83" s="131">
        <f>P83/3600*100</f>
        <v>100</v>
      </c>
      <c r="T83" s="131"/>
      <c r="U83" s="151"/>
      <c r="V83" s="152">
        <f>SUM(V79+V77)</f>
        <v>750</v>
      </c>
      <c r="W83" s="106"/>
      <c r="X83" s="106"/>
      <c r="Y83" s="106"/>
      <c r="Z83" s="106"/>
      <c r="AA83" s="106"/>
      <c r="AB83" s="106"/>
      <c r="AC83" s="106"/>
      <c r="AD83" s="106"/>
      <c r="AE83" s="106"/>
      <c r="AF83" s="106"/>
      <c r="AG83" s="106"/>
      <c r="AH83" s="106"/>
      <c r="AI83" s="106"/>
      <c r="AJ83" s="106"/>
      <c r="AK83" s="106"/>
      <c r="AL83" s="106"/>
      <c r="AM83" s="106"/>
      <c r="AN83" s="106">
        <f>SUM(AN79+AN78)</f>
        <v>2160</v>
      </c>
      <c r="AO83" s="106"/>
      <c r="AP83" s="147"/>
      <c r="AQ83" s="144">
        <f>SUM(AQ79+AQ78)</f>
        <v>24</v>
      </c>
      <c r="AR83" s="106"/>
      <c r="AS83" s="106"/>
      <c r="AT83" s="106">
        <f>SUM(AT79+AT78)</f>
        <v>24</v>
      </c>
      <c r="AU83" s="106"/>
      <c r="AV83" s="106"/>
      <c r="AW83" s="106">
        <f>SUM(AW79+AW78)</f>
        <v>24</v>
      </c>
      <c r="AX83" s="106"/>
      <c r="AY83" s="106"/>
      <c r="AZ83" s="106">
        <f>SUM(AZ79+AZ78)</f>
        <v>24</v>
      </c>
      <c r="BA83" s="106"/>
      <c r="BB83" s="147"/>
      <c r="BC83" s="144">
        <f>SUM(BC79+BC78)</f>
        <v>30</v>
      </c>
      <c r="BD83" s="106"/>
      <c r="BE83" s="106"/>
      <c r="BF83" s="106">
        <f>SUM(BF79+BF78)</f>
        <v>30</v>
      </c>
      <c r="BG83" s="106"/>
      <c r="BH83" s="106"/>
      <c r="BI83" s="106">
        <f>SUM(BI79+BI78)</f>
        <v>30</v>
      </c>
      <c r="BJ83" s="106"/>
      <c r="BK83" s="106"/>
      <c r="BL83" s="106">
        <f>SUM(BL79+BL78)</f>
        <v>30</v>
      </c>
      <c r="BM83" s="106"/>
      <c r="BN83" s="147"/>
      <c r="BO83" s="148">
        <f>SUM(P83/30)</f>
        <v>120</v>
      </c>
      <c r="BP83" s="105"/>
      <c r="BQ83" s="105"/>
      <c r="BR83" s="105"/>
      <c r="BS83" s="71">
        <f t="shared" si="16"/>
        <v>20.833333333333336</v>
      </c>
      <c r="BT83" s="71">
        <f t="shared" si="17"/>
        <v>60</v>
      </c>
      <c r="BU83" s="71"/>
      <c r="BV83" s="15"/>
      <c r="BW83" s="15"/>
      <c r="BX83" s="71">
        <f t="shared" si="13"/>
        <v>120</v>
      </c>
      <c r="BY83" s="15">
        <f t="shared" si="14"/>
        <v>1</v>
      </c>
      <c r="BZ83" s="15" t="str">
        <f>IF(BY83=1,"тўғри","хато")</f>
        <v>тўғри</v>
      </c>
    </row>
    <row r="84" spans="1:78" ht="14.25" customHeight="1" x14ac:dyDescent="0.25">
      <c r="A84" s="1"/>
      <c r="B84" s="16"/>
      <c r="C84" s="16"/>
      <c r="D84" s="17"/>
      <c r="E84" s="17"/>
      <c r="F84" s="17"/>
      <c r="G84" s="17"/>
      <c r="H84" s="17"/>
      <c r="I84" s="17"/>
      <c r="J84" s="17"/>
      <c r="K84" s="17"/>
      <c r="L84" s="17"/>
      <c r="M84" s="17"/>
      <c r="N84" s="17"/>
      <c r="O84" s="17"/>
      <c r="P84" s="18"/>
      <c r="Q84" s="18"/>
      <c r="R84" s="18"/>
      <c r="S84" s="18"/>
      <c r="T84" s="18"/>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
      <c r="BC84" s="1"/>
      <c r="BD84" s="1"/>
      <c r="BE84" s="1"/>
      <c r="BF84" s="1"/>
      <c r="BG84" s="1"/>
      <c r="BH84" s="1"/>
      <c r="BI84" s="1"/>
      <c r="BJ84" s="1"/>
      <c r="BK84" s="1"/>
      <c r="BL84" s="1"/>
      <c r="BM84" s="1"/>
      <c r="BN84" s="1"/>
      <c r="BO84" s="20"/>
      <c r="BP84" s="20"/>
      <c r="BQ84" s="20"/>
      <c r="BR84" s="20"/>
    </row>
    <row r="85" spans="1:78" ht="14.25" customHeight="1" thickBot="1" x14ac:dyDescent="0.3">
      <c r="A85" s="1"/>
      <c r="B85" s="16"/>
      <c r="C85" s="16"/>
      <c r="D85" s="17"/>
      <c r="E85" s="17"/>
      <c r="F85" s="17"/>
      <c r="G85" s="17"/>
      <c r="H85" s="17"/>
      <c r="I85" s="17"/>
      <c r="J85" s="17"/>
      <c r="K85" s="17"/>
      <c r="L85" s="17"/>
      <c r="M85" s="17"/>
      <c r="N85" s="17"/>
      <c r="O85" s="17"/>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
      <c r="BC85" s="1"/>
      <c r="BD85" s="1"/>
      <c r="BE85" s="1"/>
      <c r="BF85" s="1"/>
      <c r="BG85" s="1"/>
      <c r="BH85" s="1"/>
      <c r="BI85" s="1"/>
      <c r="BJ85" s="1"/>
      <c r="BK85" s="1"/>
      <c r="BL85" s="1"/>
      <c r="BM85" s="1"/>
      <c r="BN85" s="1"/>
      <c r="BO85" s="20"/>
      <c r="BP85" s="20"/>
      <c r="BQ85" s="20"/>
      <c r="BR85" s="20"/>
    </row>
    <row r="86" spans="1:78" s="24" customFormat="1" ht="14.25" customHeight="1" x14ac:dyDescent="0.35">
      <c r="A86" s="21"/>
      <c r="B86" s="16"/>
      <c r="C86" s="16"/>
      <c r="D86" s="74"/>
      <c r="E86" s="74"/>
      <c r="F86" s="74"/>
      <c r="G86" s="74"/>
      <c r="H86" s="74"/>
      <c r="I86" s="74"/>
      <c r="J86" s="74"/>
      <c r="K86" s="74"/>
      <c r="L86" s="74"/>
      <c r="M86" s="74"/>
      <c r="N86" s="74"/>
      <c r="O86" s="74"/>
      <c r="P86" s="22"/>
      <c r="Q86" s="22"/>
      <c r="R86" s="22"/>
      <c r="S86" s="22"/>
      <c r="T86" s="22"/>
      <c r="U86" s="22"/>
      <c r="V86" s="191" t="s">
        <v>129</v>
      </c>
      <c r="W86" s="192"/>
      <c r="X86" s="192"/>
      <c r="Y86" s="192"/>
      <c r="Z86" s="192"/>
      <c r="AA86" s="192"/>
      <c r="AB86" s="192"/>
      <c r="AC86" s="192"/>
      <c r="AD86" s="192"/>
      <c r="AE86" s="192"/>
      <c r="AF86" s="192"/>
      <c r="AG86" s="192"/>
      <c r="AH86" s="192"/>
      <c r="AI86" s="192"/>
      <c r="AJ86" s="192"/>
      <c r="AK86" s="192"/>
      <c r="AL86" s="192"/>
      <c r="AM86" s="192"/>
      <c r="AN86" s="192"/>
      <c r="AO86" s="192"/>
      <c r="AP86" s="192"/>
      <c r="AQ86" s="192"/>
      <c r="AR86" s="192"/>
      <c r="AS86" s="192"/>
      <c r="AT86" s="192"/>
      <c r="AU86" s="192"/>
      <c r="AV86" s="192"/>
      <c r="AW86" s="192"/>
      <c r="AX86" s="192"/>
      <c r="AY86" s="192"/>
      <c r="AZ86" s="193"/>
      <c r="BA86" s="22"/>
      <c r="BB86" s="22"/>
      <c r="BC86" s="22"/>
      <c r="BD86" s="22"/>
      <c r="BE86" s="22"/>
      <c r="BF86" s="22"/>
      <c r="BG86" s="22"/>
      <c r="BH86" s="22"/>
      <c r="BI86" s="22"/>
      <c r="BJ86" s="22"/>
      <c r="BK86" s="22"/>
      <c r="BL86" s="22"/>
      <c r="BM86" s="22"/>
      <c r="BN86" s="22"/>
      <c r="BO86" s="23"/>
      <c r="BP86" s="23"/>
      <c r="BQ86" s="23"/>
      <c r="BR86" s="23"/>
      <c r="BS86" s="1"/>
      <c r="BT86" s="1"/>
      <c r="BU86" s="1"/>
      <c r="BV86" s="1"/>
      <c r="BW86" s="1"/>
      <c r="BX86" s="1"/>
      <c r="BY86" s="1"/>
      <c r="BZ86" s="1"/>
    </row>
    <row r="87" spans="1:78" s="24" customFormat="1" ht="14.25" customHeight="1" x14ac:dyDescent="0.35">
      <c r="A87" s="21"/>
      <c r="B87" s="16"/>
      <c r="C87" s="16"/>
      <c r="D87" s="74"/>
      <c r="E87" s="74"/>
      <c r="F87" s="74"/>
      <c r="G87" s="74"/>
      <c r="H87" s="74"/>
      <c r="I87" s="74"/>
      <c r="J87" s="74"/>
      <c r="K87" s="74"/>
      <c r="L87" s="74"/>
      <c r="M87" s="74"/>
      <c r="N87" s="74"/>
      <c r="O87" s="74"/>
      <c r="P87" s="22"/>
      <c r="Q87" s="22"/>
      <c r="R87" s="22"/>
      <c r="S87" s="22"/>
      <c r="T87" s="22"/>
      <c r="U87" s="22"/>
      <c r="V87" s="194"/>
      <c r="W87" s="195"/>
      <c r="X87" s="195"/>
      <c r="Y87" s="195"/>
      <c r="Z87" s="195"/>
      <c r="AA87" s="195"/>
      <c r="AB87" s="195"/>
      <c r="AC87" s="195"/>
      <c r="AD87" s="195"/>
      <c r="AE87" s="195"/>
      <c r="AF87" s="195"/>
      <c r="AG87" s="195"/>
      <c r="AH87" s="195"/>
      <c r="AI87" s="195"/>
      <c r="AJ87" s="195"/>
      <c r="AK87" s="195"/>
      <c r="AL87" s="195"/>
      <c r="AM87" s="195"/>
      <c r="AN87" s="195"/>
      <c r="AO87" s="195"/>
      <c r="AP87" s="195"/>
      <c r="AQ87" s="195"/>
      <c r="AR87" s="195"/>
      <c r="AS87" s="195"/>
      <c r="AT87" s="195"/>
      <c r="AU87" s="195"/>
      <c r="AV87" s="195"/>
      <c r="AW87" s="195"/>
      <c r="AX87" s="195"/>
      <c r="AY87" s="195"/>
      <c r="AZ87" s="196"/>
      <c r="BA87" s="22"/>
      <c r="BB87" s="22"/>
      <c r="BC87" s="22"/>
      <c r="BD87" s="22"/>
      <c r="BE87" s="22"/>
      <c r="BF87" s="22"/>
      <c r="BG87" s="22"/>
      <c r="BH87" s="22"/>
      <c r="BI87" s="22"/>
      <c r="BJ87" s="22"/>
      <c r="BK87" s="22"/>
      <c r="BL87" s="22"/>
      <c r="BM87" s="22"/>
      <c r="BN87" s="22"/>
      <c r="BO87" s="23"/>
      <c r="BP87" s="23"/>
      <c r="BQ87" s="23"/>
      <c r="BR87" s="23"/>
      <c r="BS87" s="1"/>
      <c r="BT87" s="1"/>
      <c r="BU87" s="1"/>
      <c r="BV87" s="1"/>
      <c r="BW87" s="1"/>
      <c r="BX87" s="1"/>
      <c r="BY87" s="1"/>
      <c r="BZ87" s="1"/>
    </row>
    <row r="88" spans="1:78" s="24" customFormat="1" ht="14.25" customHeight="1" x14ac:dyDescent="0.35">
      <c r="A88" s="21"/>
      <c r="B88" s="16"/>
      <c r="C88" s="16"/>
      <c r="D88" s="74"/>
      <c r="E88" s="74"/>
      <c r="F88" s="74"/>
      <c r="G88" s="74"/>
      <c r="H88" s="74"/>
      <c r="I88" s="74"/>
      <c r="J88" s="74"/>
      <c r="K88" s="74"/>
      <c r="L88" s="74"/>
      <c r="M88" s="74"/>
      <c r="N88" s="74"/>
      <c r="O88" s="74"/>
      <c r="P88" s="22"/>
      <c r="Q88" s="22"/>
      <c r="R88" s="22"/>
      <c r="S88" s="22"/>
      <c r="T88" s="22"/>
      <c r="U88" s="22"/>
      <c r="V88" s="197" t="s">
        <v>141</v>
      </c>
      <c r="W88" s="198"/>
      <c r="X88" s="198"/>
      <c r="Y88" s="198"/>
      <c r="Z88" s="198"/>
      <c r="AA88" s="198"/>
      <c r="AB88" s="198"/>
      <c r="AC88" s="198"/>
      <c r="AD88" s="198"/>
      <c r="AE88" s="198"/>
      <c r="AF88" s="198"/>
      <c r="AG88" s="198"/>
      <c r="AH88" s="198"/>
      <c r="AI88" s="198"/>
      <c r="AJ88" s="198"/>
      <c r="AK88" s="198"/>
      <c r="AL88" s="198"/>
      <c r="AM88" s="198"/>
      <c r="AN88" s="198"/>
      <c r="AO88" s="198"/>
      <c r="AP88" s="198"/>
      <c r="AQ88" s="198"/>
      <c r="AR88" s="198"/>
      <c r="AS88" s="198"/>
      <c r="AT88" s="198"/>
      <c r="AU88" s="198"/>
      <c r="AV88" s="198"/>
      <c r="AW88" s="198"/>
      <c r="AX88" s="198"/>
      <c r="AY88" s="198"/>
      <c r="AZ88" s="199"/>
      <c r="BA88" s="22"/>
      <c r="BB88" s="22"/>
      <c r="BC88" s="22"/>
      <c r="BD88" s="22"/>
      <c r="BE88" s="22"/>
      <c r="BF88" s="22"/>
      <c r="BG88" s="22"/>
      <c r="BH88" s="22"/>
      <c r="BI88" s="22"/>
      <c r="BJ88" s="22"/>
      <c r="BK88" s="22"/>
      <c r="BL88" s="22"/>
      <c r="BM88" s="22"/>
      <c r="BN88" s="22"/>
      <c r="BO88" s="23"/>
      <c r="BP88" s="23"/>
      <c r="BQ88" s="23"/>
      <c r="BR88" s="23"/>
      <c r="BS88" s="1"/>
      <c r="BT88" s="1"/>
      <c r="BU88" s="1"/>
      <c r="BV88" s="1"/>
      <c r="BW88" s="1"/>
      <c r="BX88" s="1"/>
      <c r="BY88" s="1"/>
      <c r="BZ88" s="1"/>
    </row>
    <row r="89" spans="1:78" ht="14.25" customHeight="1" thickBot="1" x14ac:dyDescent="0.3">
      <c r="A89" s="1"/>
      <c r="B89" s="16"/>
      <c r="C89" s="16"/>
      <c r="D89" s="18"/>
      <c r="E89" s="18"/>
      <c r="F89" s="18"/>
      <c r="G89" s="18"/>
      <c r="H89" s="18"/>
      <c r="I89" s="18"/>
      <c r="J89" s="18"/>
      <c r="K89" s="18"/>
      <c r="L89" s="18"/>
      <c r="M89" s="18"/>
      <c r="N89" s="18"/>
      <c r="O89" s="18"/>
      <c r="P89" s="25"/>
      <c r="Q89" s="25"/>
      <c r="R89" s="25"/>
      <c r="S89" s="25"/>
      <c r="T89" s="25"/>
      <c r="U89" s="25"/>
      <c r="V89" s="200"/>
      <c r="W89" s="201"/>
      <c r="X89" s="201"/>
      <c r="Y89" s="201"/>
      <c r="Z89" s="201"/>
      <c r="AA89" s="201"/>
      <c r="AB89" s="201"/>
      <c r="AC89" s="201"/>
      <c r="AD89" s="201"/>
      <c r="AE89" s="201"/>
      <c r="AF89" s="201"/>
      <c r="AG89" s="201"/>
      <c r="AH89" s="201"/>
      <c r="AI89" s="201"/>
      <c r="AJ89" s="201"/>
      <c r="AK89" s="201"/>
      <c r="AL89" s="201"/>
      <c r="AM89" s="201"/>
      <c r="AN89" s="201"/>
      <c r="AO89" s="201"/>
      <c r="AP89" s="201"/>
      <c r="AQ89" s="201"/>
      <c r="AR89" s="201"/>
      <c r="AS89" s="201"/>
      <c r="AT89" s="201"/>
      <c r="AU89" s="201"/>
      <c r="AV89" s="201"/>
      <c r="AW89" s="201"/>
      <c r="AX89" s="201"/>
      <c r="AY89" s="201"/>
      <c r="AZ89" s="202"/>
      <c r="BA89" s="25"/>
      <c r="BB89" s="25"/>
      <c r="BC89" s="25"/>
      <c r="BD89" s="25"/>
      <c r="BE89" s="25"/>
      <c r="BF89" s="25"/>
      <c r="BG89" s="25"/>
      <c r="BH89" s="25"/>
      <c r="BI89" s="25"/>
      <c r="BJ89" s="25"/>
      <c r="BK89" s="25"/>
      <c r="BL89" s="25"/>
      <c r="BM89" s="25"/>
      <c r="BN89" s="25"/>
      <c r="BO89" s="26"/>
      <c r="BP89" s="26"/>
      <c r="BQ89" s="26"/>
      <c r="BR89" s="26"/>
    </row>
    <row r="90" spans="1:78" ht="14.25" customHeight="1" x14ac:dyDescent="0.25">
      <c r="A90" s="1"/>
      <c r="B90" s="10"/>
      <c r="C90" s="10"/>
      <c r="D90" s="18"/>
      <c r="E90" s="18"/>
      <c r="F90" s="18"/>
      <c r="G90" s="18"/>
      <c r="H90" s="18"/>
      <c r="I90" s="18"/>
      <c r="J90" s="18"/>
      <c r="K90" s="18"/>
      <c r="L90" s="18"/>
      <c r="M90" s="18"/>
      <c r="N90" s="18"/>
      <c r="O90" s="18"/>
      <c r="P90" s="25"/>
      <c r="Q90" s="25"/>
      <c r="R90" s="25"/>
      <c r="S90" s="25"/>
      <c r="T90" s="25"/>
      <c r="U90" s="25"/>
      <c r="V90" s="80"/>
      <c r="W90" s="80"/>
      <c r="X90" s="80"/>
      <c r="Y90" s="80"/>
      <c r="Z90" s="80"/>
      <c r="AA90" s="80"/>
      <c r="AB90" s="80"/>
      <c r="AC90" s="80"/>
      <c r="AD90" s="80"/>
      <c r="AE90" s="80"/>
      <c r="AF90" s="80"/>
      <c r="AG90" s="80"/>
      <c r="AH90" s="80"/>
      <c r="AI90" s="80"/>
      <c r="AJ90" s="80"/>
      <c r="AK90" s="80"/>
      <c r="AL90" s="80"/>
      <c r="AM90" s="80"/>
      <c r="AN90" s="80"/>
      <c r="AO90" s="80"/>
      <c r="AP90" s="80"/>
      <c r="AQ90" s="80"/>
      <c r="AR90" s="80"/>
      <c r="AS90" s="80"/>
      <c r="AT90" s="80"/>
      <c r="AU90" s="80"/>
      <c r="AV90" s="80"/>
      <c r="AW90" s="80"/>
      <c r="AX90" s="80"/>
      <c r="AY90" s="80"/>
      <c r="AZ90" s="80"/>
      <c r="BA90" s="25"/>
      <c r="BB90" s="25"/>
      <c r="BC90" s="25"/>
      <c r="BD90" s="25"/>
      <c r="BE90" s="25"/>
      <c r="BF90" s="25"/>
      <c r="BG90" s="25"/>
      <c r="BH90" s="25"/>
      <c r="BI90" s="25"/>
      <c r="BJ90" s="25"/>
      <c r="BK90" s="25"/>
      <c r="BL90" s="25"/>
      <c r="BM90" s="25"/>
      <c r="BN90" s="25"/>
      <c r="BO90" s="26"/>
      <c r="BP90" s="26"/>
      <c r="BQ90" s="26"/>
      <c r="BR90" s="26"/>
    </row>
    <row r="91" spans="1:78" ht="14.25" customHeight="1" x14ac:dyDescent="0.25">
      <c r="A91" s="27" t="s">
        <v>149</v>
      </c>
      <c r="B91" s="28"/>
      <c r="C91" s="28"/>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30"/>
      <c r="BP91" s="30"/>
    </row>
    <row r="92" spans="1:78" ht="14.25" customHeight="1" x14ac:dyDescent="0.25">
      <c r="A92" s="31" t="s">
        <v>13</v>
      </c>
      <c r="B92" s="207" t="s">
        <v>144</v>
      </c>
      <c r="C92" s="207"/>
      <c r="D92" s="207"/>
      <c r="E92" s="207"/>
      <c r="F92" s="207"/>
      <c r="G92" s="207"/>
      <c r="H92" s="207"/>
      <c r="I92" s="207"/>
      <c r="J92" s="207"/>
      <c r="K92" s="207"/>
      <c r="L92" s="207"/>
      <c r="M92" s="207"/>
      <c r="N92" s="207"/>
      <c r="O92" s="207"/>
      <c r="P92" s="207"/>
      <c r="Q92" s="207"/>
      <c r="R92" s="207"/>
      <c r="S92" s="207"/>
      <c r="T92" s="207"/>
      <c r="U92" s="207"/>
      <c r="V92" s="207"/>
      <c r="W92" s="207"/>
      <c r="X92" s="207"/>
      <c r="Y92" s="207"/>
      <c r="Z92" s="207"/>
      <c r="AA92" s="207"/>
      <c r="AB92" s="207"/>
      <c r="AC92" s="207"/>
      <c r="AD92" s="207"/>
      <c r="AE92" s="207"/>
      <c r="AF92" s="207"/>
      <c r="AG92" s="207"/>
      <c r="AH92" s="207"/>
      <c r="AI92" s="207"/>
      <c r="AJ92" s="207"/>
      <c r="AK92" s="207"/>
      <c r="AL92" s="207"/>
      <c r="AM92" s="207"/>
      <c r="AN92" s="207"/>
      <c r="AO92" s="207"/>
      <c r="AP92" s="207"/>
      <c r="AQ92" s="207"/>
      <c r="AR92" s="207"/>
      <c r="AS92" s="207"/>
      <c r="AT92" s="207"/>
      <c r="AU92" s="207"/>
      <c r="AV92" s="207"/>
      <c r="AW92" s="207"/>
      <c r="AX92" s="207"/>
      <c r="AY92" s="207"/>
      <c r="AZ92" s="207"/>
      <c r="BA92" s="207"/>
      <c r="BB92" s="207"/>
      <c r="BC92" s="207"/>
      <c r="BD92" s="207"/>
      <c r="BE92" s="207"/>
      <c r="BF92" s="207"/>
      <c r="BG92" s="207"/>
      <c r="BH92" s="207"/>
      <c r="BI92" s="207"/>
      <c r="BJ92" s="207"/>
      <c r="BK92" s="207"/>
      <c r="BL92" s="207"/>
      <c r="BM92" s="207"/>
      <c r="BN92" s="207"/>
      <c r="BO92" s="207"/>
      <c r="BP92" s="207"/>
      <c r="BQ92" s="207"/>
    </row>
    <row r="93" spans="1:78" ht="14.25" customHeight="1" x14ac:dyDescent="0.25">
      <c r="A93" s="31" t="s">
        <v>14</v>
      </c>
      <c r="B93" s="189" t="s">
        <v>145</v>
      </c>
      <c r="C93" s="189"/>
      <c r="D93" s="189"/>
      <c r="E93" s="189"/>
      <c r="F93" s="189"/>
      <c r="G93" s="189"/>
      <c r="H93" s="189"/>
      <c r="I93" s="189"/>
      <c r="J93" s="189"/>
      <c r="K93" s="189"/>
      <c r="L93" s="189"/>
      <c r="M93" s="189"/>
      <c r="N93" s="189"/>
      <c r="O93" s="189"/>
      <c r="P93" s="189"/>
      <c r="Q93" s="189"/>
      <c r="R93" s="189"/>
      <c r="S93" s="189"/>
      <c r="T93" s="189"/>
      <c r="U93" s="189"/>
      <c r="V93" s="189"/>
      <c r="W93" s="189"/>
      <c r="X93" s="189"/>
      <c r="Y93" s="189"/>
      <c r="Z93" s="189"/>
      <c r="AA93" s="189"/>
      <c r="AB93" s="189"/>
      <c r="AC93" s="189"/>
      <c r="AD93" s="189"/>
      <c r="AE93" s="189"/>
      <c r="AF93" s="189"/>
      <c r="AG93" s="189"/>
      <c r="AH93" s="189"/>
      <c r="AI93" s="189"/>
      <c r="AJ93" s="189"/>
      <c r="AK93" s="189"/>
      <c r="AL93" s="189"/>
      <c r="AM93" s="189"/>
      <c r="AN93" s="189"/>
      <c r="AO93" s="189"/>
      <c r="AP93" s="189"/>
      <c r="AQ93" s="189"/>
      <c r="AR93" s="189"/>
      <c r="AS93" s="189"/>
      <c r="AT93" s="189"/>
      <c r="AU93" s="189"/>
      <c r="AV93" s="189"/>
      <c r="AW93" s="189"/>
      <c r="AX93" s="189"/>
      <c r="AY93" s="189"/>
      <c r="AZ93" s="189"/>
      <c r="BA93" s="189"/>
      <c r="BB93" s="189"/>
      <c r="BC93" s="189"/>
      <c r="BD93" s="189"/>
      <c r="BE93" s="189"/>
      <c r="BF93" s="189"/>
      <c r="BG93" s="189"/>
      <c r="BH93" s="189"/>
      <c r="BI93" s="189"/>
      <c r="BJ93" s="189"/>
      <c r="BK93" s="189"/>
      <c r="BL93" s="189"/>
      <c r="BM93" s="189"/>
      <c r="BN93" s="189"/>
      <c r="BO93" s="189"/>
      <c r="BP93" s="189"/>
      <c r="BQ93" s="190"/>
    </row>
    <row r="94" spans="1:78" ht="14.25" customHeight="1" x14ac:dyDescent="0.25">
      <c r="A94" s="31" t="s">
        <v>15</v>
      </c>
      <c r="B94" s="189" t="s">
        <v>146</v>
      </c>
      <c r="C94" s="189"/>
      <c r="D94" s="189"/>
      <c r="E94" s="189"/>
      <c r="F94" s="189"/>
      <c r="G94" s="189"/>
      <c r="H94" s="189"/>
      <c r="I94" s="189"/>
      <c r="J94" s="189"/>
      <c r="K94" s="189"/>
      <c r="L94" s="189"/>
      <c r="M94" s="189"/>
      <c r="N94" s="189"/>
      <c r="O94" s="189"/>
      <c r="P94" s="189"/>
      <c r="Q94" s="189"/>
      <c r="R94" s="189"/>
      <c r="S94" s="189"/>
      <c r="T94" s="189"/>
      <c r="U94" s="189"/>
      <c r="V94" s="189"/>
      <c r="W94" s="189"/>
      <c r="X94" s="189"/>
      <c r="Y94" s="189"/>
      <c r="Z94" s="189"/>
      <c r="AA94" s="189"/>
      <c r="AB94" s="189"/>
      <c r="AC94" s="189"/>
      <c r="AD94" s="189"/>
      <c r="AE94" s="189"/>
      <c r="AF94" s="189"/>
      <c r="AG94" s="189"/>
      <c r="AH94" s="189"/>
      <c r="AI94" s="189"/>
      <c r="AJ94" s="189"/>
      <c r="AK94" s="189"/>
      <c r="AL94" s="189"/>
      <c r="AM94" s="189"/>
      <c r="AN94" s="189"/>
      <c r="AO94" s="189"/>
      <c r="AP94" s="189"/>
      <c r="AQ94" s="189"/>
      <c r="AR94" s="189"/>
      <c r="AS94" s="189"/>
      <c r="AT94" s="189"/>
      <c r="AU94" s="189"/>
      <c r="AV94" s="189"/>
      <c r="AW94" s="189"/>
      <c r="AX94" s="189"/>
      <c r="AY94" s="189"/>
      <c r="AZ94" s="189"/>
      <c r="BA94" s="189"/>
      <c r="BB94" s="189"/>
      <c r="BC94" s="189"/>
      <c r="BD94" s="189"/>
      <c r="BE94" s="189"/>
      <c r="BF94" s="189"/>
      <c r="BG94" s="189"/>
      <c r="BH94" s="189"/>
      <c r="BI94" s="189"/>
      <c r="BJ94" s="189"/>
      <c r="BK94" s="189"/>
      <c r="BL94" s="189"/>
      <c r="BM94" s="189"/>
      <c r="BN94" s="189"/>
      <c r="BO94" s="189"/>
      <c r="BP94" s="189"/>
      <c r="BQ94" s="190"/>
    </row>
    <row r="95" spans="1:78" ht="14.25" customHeight="1" x14ac:dyDescent="0.25">
      <c r="A95" s="31" t="s">
        <v>16</v>
      </c>
      <c r="B95" s="189" t="s">
        <v>147</v>
      </c>
      <c r="C95" s="189"/>
      <c r="D95" s="189"/>
      <c r="E95" s="189"/>
      <c r="F95" s="189"/>
      <c r="G95" s="189"/>
      <c r="H95" s="189"/>
      <c r="I95" s="189"/>
      <c r="J95" s="189"/>
      <c r="K95" s="189"/>
      <c r="L95" s="189"/>
      <c r="M95" s="189"/>
      <c r="N95" s="189"/>
      <c r="O95" s="189"/>
      <c r="P95" s="189"/>
      <c r="Q95" s="189"/>
      <c r="R95" s="189"/>
      <c r="S95" s="189"/>
      <c r="T95" s="189"/>
      <c r="U95" s="189"/>
      <c r="V95" s="189"/>
      <c r="W95" s="189"/>
      <c r="X95" s="189"/>
      <c r="Y95" s="189"/>
      <c r="Z95" s="189"/>
      <c r="AA95" s="189"/>
      <c r="AB95" s="189"/>
      <c r="AC95" s="189"/>
      <c r="AD95" s="189"/>
      <c r="AE95" s="189"/>
      <c r="AF95" s="189"/>
      <c r="AG95" s="189"/>
      <c r="AH95" s="189"/>
      <c r="AI95" s="189"/>
      <c r="AJ95" s="189"/>
      <c r="AK95" s="189"/>
      <c r="AL95" s="189"/>
      <c r="AM95" s="189"/>
      <c r="AN95" s="189"/>
      <c r="AO95" s="189"/>
      <c r="AP95" s="189"/>
      <c r="AQ95" s="189"/>
      <c r="AR95" s="189"/>
      <c r="AS95" s="189"/>
      <c r="AT95" s="189"/>
      <c r="AU95" s="189"/>
      <c r="AV95" s="189"/>
      <c r="AW95" s="189"/>
      <c r="AX95" s="189"/>
      <c r="AY95" s="189"/>
      <c r="AZ95" s="189"/>
      <c r="BA95" s="189"/>
      <c r="BB95" s="189"/>
      <c r="BC95" s="189"/>
      <c r="BD95" s="189"/>
      <c r="BE95" s="189"/>
      <c r="BF95" s="189"/>
      <c r="BG95" s="189"/>
      <c r="BH95" s="189"/>
      <c r="BI95" s="189"/>
      <c r="BJ95" s="189"/>
      <c r="BK95" s="189"/>
      <c r="BL95" s="189"/>
      <c r="BM95" s="189"/>
      <c r="BN95" s="189"/>
      <c r="BO95" s="189"/>
      <c r="BP95" s="189"/>
      <c r="BQ95" s="190"/>
    </row>
    <row r="96" spans="1:78" ht="14.25" customHeight="1" x14ac:dyDescent="0.25">
      <c r="A96" s="31" t="s">
        <v>17</v>
      </c>
      <c r="B96" s="189" t="s">
        <v>148</v>
      </c>
      <c r="C96" s="189"/>
      <c r="D96" s="189"/>
      <c r="E96" s="189"/>
      <c r="F96" s="189"/>
      <c r="G96" s="189"/>
      <c r="H96" s="189"/>
      <c r="I96" s="189"/>
      <c r="J96" s="189"/>
      <c r="K96" s="189"/>
      <c r="L96" s="189"/>
      <c r="M96" s="189"/>
      <c r="N96" s="189"/>
      <c r="O96" s="189"/>
      <c r="P96" s="189"/>
      <c r="Q96" s="189"/>
      <c r="R96" s="189"/>
      <c r="S96" s="189"/>
      <c r="T96" s="189"/>
      <c r="U96" s="189"/>
      <c r="V96" s="189"/>
      <c r="W96" s="189"/>
      <c r="X96" s="189"/>
      <c r="Y96" s="189"/>
      <c r="Z96" s="189"/>
      <c r="AA96" s="189"/>
      <c r="AB96" s="189"/>
      <c r="AC96" s="189"/>
      <c r="AD96" s="189"/>
      <c r="AE96" s="189"/>
      <c r="AF96" s="189"/>
      <c r="AG96" s="189"/>
      <c r="AH96" s="189"/>
      <c r="AI96" s="189"/>
      <c r="AJ96" s="189"/>
      <c r="AK96" s="189"/>
      <c r="AL96" s="189"/>
      <c r="AM96" s="189"/>
      <c r="AN96" s="189"/>
      <c r="AO96" s="189"/>
      <c r="AP96" s="189"/>
      <c r="AQ96" s="189"/>
      <c r="AR96" s="189"/>
      <c r="AS96" s="189"/>
      <c r="AT96" s="189"/>
      <c r="AU96" s="189"/>
      <c r="AV96" s="189"/>
      <c r="AW96" s="189"/>
      <c r="AX96" s="189"/>
      <c r="AY96" s="189"/>
      <c r="AZ96" s="189"/>
      <c r="BA96" s="189"/>
      <c r="BB96" s="189"/>
      <c r="BC96" s="189"/>
      <c r="BD96" s="189"/>
      <c r="BE96" s="189"/>
      <c r="BF96" s="189"/>
      <c r="BG96" s="189"/>
      <c r="BH96" s="189"/>
      <c r="BI96" s="189"/>
      <c r="BJ96" s="189"/>
      <c r="BK96" s="189"/>
      <c r="BL96" s="189"/>
      <c r="BM96" s="189"/>
      <c r="BN96" s="189"/>
      <c r="BO96" s="189"/>
      <c r="BP96" s="190"/>
      <c r="BQ96" s="190"/>
    </row>
    <row r="97" spans="1:70" ht="14.25" customHeight="1" x14ac:dyDescent="0.25">
      <c r="A97" s="31" t="s">
        <v>18</v>
      </c>
      <c r="B97" s="188" t="s">
        <v>162</v>
      </c>
      <c r="C97" s="188"/>
      <c r="D97" s="188"/>
      <c r="E97" s="188"/>
      <c r="F97" s="188"/>
      <c r="G97" s="188"/>
      <c r="H97" s="188"/>
      <c r="I97" s="188"/>
      <c r="J97" s="188"/>
      <c r="K97" s="188"/>
      <c r="L97" s="188"/>
      <c r="M97" s="188"/>
      <c r="N97" s="188"/>
      <c r="O97" s="188"/>
      <c r="P97" s="188"/>
      <c r="Q97" s="188"/>
      <c r="R97" s="188"/>
      <c r="S97" s="188"/>
      <c r="T97" s="188"/>
      <c r="U97" s="188"/>
      <c r="V97" s="188"/>
      <c r="W97" s="188"/>
      <c r="X97" s="188"/>
      <c r="Y97" s="188"/>
      <c r="Z97" s="188"/>
      <c r="AA97" s="188"/>
      <c r="AB97" s="188"/>
      <c r="AC97" s="188"/>
      <c r="AD97" s="188"/>
      <c r="AE97" s="188"/>
      <c r="AF97" s="188"/>
      <c r="AG97" s="188"/>
      <c r="AH97" s="188"/>
      <c r="AI97" s="188"/>
      <c r="AJ97" s="188"/>
      <c r="AK97" s="188"/>
      <c r="AL97" s="188"/>
      <c r="AM97" s="188"/>
      <c r="AN97" s="188"/>
      <c r="AO97" s="188"/>
      <c r="AP97" s="188"/>
      <c r="AQ97" s="188"/>
      <c r="AR97" s="188"/>
      <c r="AS97" s="188"/>
      <c r="AT97" s="188"/>
      <c r="AU97" s="188"/>
      <c r="AV97" s="188"/>
      <c r="AW97" s="188"/>
      <c r="AX97" s="188"/>
      <c r="AY97" s="188"/>
      <c r="AZ97" s="188"/>
      <c r="BA97" s="188"/>
      <c r="BB97" s="188"/>
      <c r="BC97" s="188"/>
      <c r="BD97" s="188"/>
      <c r="BE97" s="188"/>
      <c r="BF97" s="188"/>
      <c r="BG97" s="188"/>
      <c r="BH97" s="188"/>
      <c r="BI97" s="188"/>
      <c r="BJ97" s="188"/>
      <c r="BK97" s="188"/>
      <c r="BL97" s="188"/>
      <c r="BM97" s="188"/>
      <c r="BN97" s="188"/>
      <c r="BO97" s="188"/>
      <c r="BP97" s="188"/>
    </row>
    <row r="98" spans="1:70" ht="15.75" customHeight="1" x14ac:dyDescent="0.25">
      <c r="A98" s="31"/>
      <c r="B98" s="188" t="s">
        <v>273</v>
      </c>
      <c r="C98" s="188"/>
      <c r="D98" s="188"/>
      <c r="E98" s="188"/>
      <c r="F98" s="188"/>
      <c r="G98" s="188"/>
      <c r="H98" s="188"/>
      <c r="I98" s="188"/>
      <c r="J98" s="188"/>
      <c r="K98" s="188"/>
      <c r="L98" s="188"/>
      <c r="M98" s="188"/>
      <c r="N98" s="188"/>
      <c r="O98" s="188"/>
      <c r="P98" s="188"/>
      <c r="Q98" s="188"/>
      <c r="R98" s="188"/>
      <c r="S98" s="188"/>
      <c r="T98" s="188"/>
      <c r="U98" s="188"/>
      <c r="V98" s="188"/>
      <c r="W98" s="188"/>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88"/>
      <c r="AX98" s="188"/>
      <c r="AY98" s="188"/>
      <c r="AZ98" s="188"/>
      <c r="BA98" s="188"/>
      <c r="BB98" s="188"/>
      <c r="BC98" s="188"/>
      <c r="BD98" s="188"/>
      <c r="BE98" s="188"/>
      <c r="BF98" s="188"/>
      <c r="BG98" s="188"/>
      <c r="BH98" s="188"/>
      <c r="BI98" s="188"/>
      <c r="BJ98" s="188"/>
      <c r="BK98" s="188"/>
      <c r="BL98" s="188"/>
      <c r="BM98" s="188"/>
      <c r="BN98" s="188"/>
      <c r="BO98" s="188"/>
      <c r="BP98" s="188"/>
    </row>
    <row r="99" spans="1:70" ht="15.75" customHeight="1" x14ac:dyDescent="0.25">
      <c r="A99" s="31"/>
      <c r="B99" s="188" t="s">
        <v>274</v>
      </c>
      <c r="C99" s="188"/>
      <c r="D99" s="188"/>
      <c r="E99" s="188"/>
      <c r="F99" s="188"/>
      <c r="G99" s="188"/>
      <c r="H99" s="188"/>
      <c r="I99" s="188"/>
      <c r="J99" s="188"/>
      <c r="K99" s="188"/>
      <c r="L99" s="188"/>
      <c r="M99" s="188"/>
      <c r="N99" s="188"/>
      <c r="O99" s="188"/>
      <c r="P99" s="188"/>
      <c r="Q99" s="188"/>
      <c r="R99" s="188"/>
      <c r="S99" s="188"/>
      <c r="T99" s="188"/>
      <c r="U99" s="188"/>
      <c r="V99" s="188"/>
      <c r="W99" s="188"/>
      <c r="X99" s="188"/>
      <c r="Y99" s="188"/>
      <c r="Z99" s="188"/>
      <c r="AA99" s="188"/>
      <c r="AB99" s="188"/>
      <c r="AC99" s="188"/>
      <c r="AD99" s="188"/>
      <c r="AE99" s="188"/>
      <c r="AF99" s="188"/>
      <c r="AG99" s="188"/>
      <c r="AH99" s="188"/>
      <c r="AI99" s="188"/>
      <c r="AJ99" s="188"/>
      <c r="AK99" s="188"/>
      <c r="AL99" s="188"/>
      <c r="AM99" s="188"/>
      <c r="AN99" s="188"/>
      <c r="AO99" s="188"/>
      <c r="AP99" s="188"/>
      <c r="AQ99" s="188"/>
      <c r="AR99" s="188"/>
      <c r="AS99" s="188"/>
      <c r="AT99" s="188"/>
      <c r="AU99" s="188"/>
      <c r="AV99" s="188"/>
      <c r="AW99" s="188"/>
      <c r="AX99" s="188"/>
      <c r="AY99" s="188"/>
      <c r="AZ99" s="188"/>
      <c r="BA99" s="188"/>
      <c r="BB99" s="188"/>
      <c r="BC99" s="188"/>
      <c r="BD99" s="188"/>
      <c r="BE99" s="188"/>
      <c r="BF99" s="188"/>
      <c r="BG99" s="188"/>
      <c r="BH99" s="188"/>
      <c r="BI99" s="188"/>
      <c r="BJ99" s="188"/>
      <c r="BK99" s="188"/>
      <c r="BL99" s="188"/>
      <c r="BM99" s="188"/>
      <c r="BN99" s="188"/>
      <c r="BO99" s="188"/>
      <c r="BP99" s="188"/>
    </row>
    <row r="100" spans="1:70" ht="14.25" customHeight="1" x14ac:dyDescent="0.25">
      <c r="A100" s="31" t="s">
        <v>19</v>
      </c>
      <c r="B100" s="188" t="s">
        <v>158</v>
      </c>
      <c r="C100" s="188"/>
      <c r="D100" s="188"/>
      <c r="E100" s="188"/>
      <c r="F100" s="188"/>
      <c r="G100" s="188"/>
      <c r="H100" s="188"/>
      <c r="I100" s="188"/>
      <c r="J100" s="188"/>
      <c r="K100" s="188"/>
      <c r="L100" s="188"/>
      <c r="M100" s="188"/>
      <c r="N100" s="188"/>
      <c r="O100" s="188"/>
      <c r="P100" s="188"/>
      <c r="Q100" s="188"/>
      <c r="R100" s="188"/>
      <c r="S100" s="188"/>
      <c r="T100" s="188"/>
      <c r="U100" s="188"/>
      <c r="V100" s="188"/>
      <c r="W100" s="188"/>
      <c r="X100" s="188"/>
      <c r="Y100" s="188"/>
      <c r="Z100" s="188"/>
      <c r="AA100" s="188"/>
      <c r="AB100" s="188"/>
      <c r="AC100" s="188"/>
      <c r="AD100" s="188"/>
      <c r="AE100" s="188"/>
      <c r="AF100" s="188"/>
      <c r="AG100" s="188"/>
      <c r="AH100" s="188"/>
      <c r="AI100" s="188"/>
      <c r="AJ100" s="188"/>
      <c r="AK100" s="188"/>
      <c r="AL100" s="188"/>
      <c r="AM100" s="188"/>
      <c r="AN100" s="188"/>
      <c r="AO100" s="188"/>
      <c r="AP100" s="188"/>
      <c r="AQ100" s="188"/>
      <c r="AR100" s="188"/>
      <c r="AS100" s="188"/>
      <c r="AT100" s="188"/>
      <c r="AU100" s="188"/>
      <c r="AV100" s="188"/>
      <c r="AW100" s="188"/>
      <c r="AX100" s="188"/>
      <c r="AY100" s="188"/>
      <c r="AZ100" s="188"/>
      <c r="BA100" s="188"/>
      <c r="BB100" s="188"/>
      <c r="BC100" s="188"/>
      <c r="BD100" s="188"/>
      <c r="BE100" s="188"/>
      <c r="BF100" s="188"/>
      <c r="BG100" s="188"/>
      <c r="BH100" s="188"/>
      <c r="BI100" s="188"/>
      <c r="BJ100" s="188"/>
      <c r="BK100" s="188"/>
      <c r="BL100" s="188"/>
      <c r="BM100" s="188"/>
      <c r="BN100" s="188"/>
      <c r="BO100" s="188"/>
      <c r="BP100" s="188"/>
    </row>
    <row r="101" spans="1:70" ht="14.25" customHeight="1" x14ac:dyDescent="0.25">
      <c r="A101" s="31" t="s">
        <v>20</v>
      </c>
      <c r="B101" s="188" t="s">
        <v>167</v>
      </c>
      <c r="C101" s="188"/>
      <c r="D101" s="188"/>
      <c r="E101" s="188"/>
      <c r="F101" s="188"/>
      <c r="G101" s="188"/>
      <c r="H101" s="188"/>
      <c r="I101" s="188"/>
      <c r="J101" s="188"/>
      <c r="K101" s="188"/>
      <c r="L101" s="188"/>
      <c r="M101" s="188"/>
      <c r="N101" s="188"/>
      <c r="O101" s="188"/>
      <c r="P101" s="188"/>
      <c r="Q101" s="188"/>
      <c r="R101" s="188"/>
      <c r="S101" s="188"/>
      <c r="T101" s="188"/>
      <c r="U101" s="188"/>
      <c r="V101" s="188"/>
      <c r="W101" s="188"/>
      <c r="X101" s="188"/>
      <c r="Y101" s="188"/>
      <c r="Z101" s="188"/>
      <c r="AA101" s="188"/>
      <c r="AB101" s="188"/>
      <c r="AC101" s="188"/>
      <c r="AD101" s="188"/>
      <c r="AE101" s="188"/>
      <c r="AF101" s="188"/>
      <c r="AG101" s="188"/>
      <c r="AH101" s="188"/>
      <c r="AI101" s="188"/>
      <c r="AJ101" s="188"/>
      <c r="AK101" s="188"/>
      <c r="AL101" s="188"/>
      <c r="AM101" s="188"/>
      <c r="AN101" s="188"/>
      <c r="AO101" s="188"/>
      <c r="AP101" s="188"/>
      <c r="AQ101" s="188"/>
      <c r="AR101" s="188"/>
      <c r="AS101" s="188"/>
      <c r="AT101" s="188"/>
      <c r="AU101" s="188"/>
      <c r="AV101" s="188"/>
      <c r="AW101" s="188"/>
      <c r="AX101" s="188"/>
      <c r="AY101" s="188"/>
      <c r="AZ101" s="188"/>
      <c r="BA101" s="188"/>
      <c r="BB101" s="188"/>
      <c r="BC101" s="188"/>
      <c r="BD101" s="188"/>
      <c r="BE101" s="188"/>
      <c r="BF101" s="188"/>
      <c r="BG101" s="188"/>
      <c r="BH101" s="188"/>
      <c r="BI101" s="188"/>
      <c r="BJ101" s="188"/>
      <c r="BK101" s="188"/>
      <c r="BL101" s="188"/>
      <c r="BM101" s="188"/>
      <c r="BN101" s="188"/>
      <c r="BO101" s="188"/>
      <c r="BP101" s="188"/>
    </row>
    <row r="102" spans="1:70" ht="14.25" customHeight="1" x14ac:dyDescent="0.25">
      <c r="A102" s="31"/>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row>
    <row r="103" spans="1:70" ht="14.25" customHeight="1" x14ac:dyDescent="0.25">
      <c r="A103" s="31"/>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row>
    <row r="104" spans="1:70" ht="14.25" customHeight="1" x14ac:dyDescent="0.25">
      <c r="A104" s="143"/>
      <c r="B104" s="143"/>
      <c r="C104" s="143"/>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32"/>
      <c r="Z104" s="32"/>
      <c r="AA104" s="32"/>
      <c r="AB104" s="32"/>
      <c r="AC104" s="32"/>
      <c r="AD104" s="32"/>
      <c r="AE104" s="32"/>
      <c r="AF104" s="32"/>
      <c r="AG104" s="32"/>
      <c r="AH104" s="32"/>
      <c r="AI104" s="32"/>
      <c r="AJ104" s="142" t="s">
        <v>71</v>
      </c>
      <c r="AK104" s="142"/>
      <c r="AL104" s="142"/>
      <c r="AM104" s="142"/>
      <c r="AN104" s="142"/>
      <c r="AO104" s="142"/>
      <c r="AP104" s="142"/>
      <c r="AQ104" s="142"/>
      <c r="AR104" s="142"/>
      <c r="AS104" s="142"/>
      <c r="AT104" s="142"/>
      <c r="AU104" s="142"/>
      <c r="AV104" s="142"/>
      <c r="AW104" s="142"/>
      <c r="AX104" s="142"/>
      <c r="AY104" s="142"/>
      <c r="AZ104" s="142"/>
      <c r="BA104" s="142"/>
      <c r="BB104" s="142"/>
      <c r="BC104" s="142"/>
      <c r="BD104" s="142"/>
      <c r="BE104" s="142"/>
      <c r="BF104" s="142"/>
      <c r="BG104" s="142"/>
      <c r="BH104" s="142"/>
      <c r="BI104" s="142"/>
      <c r="BJ104" s="142"/>
      <c r="BK104" s="142"/>
      <c r="BL104" s="142"/>
      <c r="BM104" s="142"/>
      <c r="BN104" s="142"/>
      <c r="BO104" s="142"/>
      <c r="BP104" s="142"/>
      <c r="BQ104" s="142"/>
      <c r="BR104" s="142"/>
    </row>
    <row r="105" spans="1:70" ht="14.25" customHeight="1" x14ac:dyDescent="0.25">
      <c r="A105" s="33"/>
      <c r="B105" s="34"/>
      <c r="C105" s="34"/>
      <c r="D105" s="33"/>
      <c r="E105" s="33"/>
      <c r="F105" s="33"/>
      <c r="G105" s="33"/>
      <c r="H105" s="33"/>
      <c r="I105" s="33"/>
      <c r="J105" s="33"/>
      <c r="K105" s="33"/>
      <c r="L105" s="33"/>
      <c r="M105" s="33"/>
      <c r="N105" s="33"/>
      <c r="O105" s="33"/>
      <c r="P105" s="33"/>
      <c r="Q105" s="33"/>
      <c r="R105" s="33"/>
      <c r="S105" s="33"/>
      <c r="T105" s="35"/>
      <c r="U105" s="35"/>
      <c r="V105" s="35"/>
      <c r="W105" s="35"/>
      <c r="X105" s="35"/>
      <c r="Y105" s="36"/>
      <c r="Z105" s="36"/>
      <c r="AA105" s="36"/>
      <c r="AB105" s="36"/>
      <c r="AC105" s="36"/>
      <c r="AD105" s="36"/>
      <c r="AE105" s="36"/>
      <c r="AF105" s="36"/>
      <c r="AG105" s="36"/>
      <c r="AH105" s="36"/>
      <c r="AI105" s="36"/>
      <c r="AJ105" s="142"/>
      <c r="AK105" s="142"/>
      <c r="AL105" s="142"/>
      <c r="AM105" s="142"/>
      <c r="AN105" s="142"/>
      <c r="AO105" s="142"/>
      <c r="AP105" s="142"/>
      <c r="AQ105" s="142"/>
      <c r="AR105" s="142"/>
      <c r="AS105" s="142"/>
      <c r="AT105" s="142"/>
      <c r="AU105" s="142"/>
      <c r="AV105" s="142"/>
      <c r="AW105" s="142"/>
      <c r="AX105" s="142"/>
      <c r="AY105" s="142"/>
      <c r="AZ105" s="142"/>
      <c r="BA105" s="142"/>
      <c r="BB105" s="142"/>
      <c r="BC105" s="142"/>
      <c r="BD105" s="142"/>
      <c r="BE105" s="142"/>
      <c r="BF105" s="142"/>
      <c r="BG105" s="142"/>
      <c r="BH105" s="142"/>
      <c r="BI105" s="142"/>
      <c r="BJ105" s="142"/>
      <c r="BK105" s="142"/>
      <c r="BL105" s="142"/>
      <c r="BM105" s="142"/>
      <c r="BN105" s="142"/>
      <c r="BO105" s="142"/>
      <c r="BP105" s="142"/>
      <c r="BQ105" s="142"/>
      <c r="BR105" s="142"/>
    </row>
    <row r="106" spans="1:70" ht="14.25" customHeight="1" x14ac:dyDescent="0.25">
      <c r="A106" s="33"/>
      <c r="B106" s="34"/>
      <c r="C106" s="34"/>
      <c r="D106" s="33"/>
      <c r="E106" s="33"/>
      <c r="F106" s="33"/>
      <c r="G106" s="33"/>
      <c r="H106" s="33"/>
      <c r="I106" s="33"/>
      <c r="J106" s="33"/>
      <c r="K106" s="33"/>
      <c r="L106" s="33"/>
      <c r="M106" s="33"/>
      <c r="N106" s="33"/>
      <c r="O106" s="33"/>
      <c r="P106" s="33"/>
      <c r="Q106" s="33"/>
      <c r="R106" s="33"/>
      <c r="S106" s="33"/>
      <c r="T106" s="35"/>
      <c r="U106" s="35"/>
      <c r="V106" s="35"/>
      <c r="W106" s="35"/>
      <c r="X106" s="35"/>
      <c r="Y106" s="36"/>
      <c r="Z106" s="36"/>
      <c r="AA106" s="36"/>
      <c r="AB106" s="36"/>
      <c r="AC106" s="36"/>
      <c r="AD106" s="36"/>
      <c r="AE106" s="36"/>
      <c r="AF106" s="36"/>
      <c r="AG106" s="36"/>
      <c r="AH106" s="36"/>
      <c r="AI106" s="36"/>
      <c r="AJ106" s="142"/>
      <c r="AK106" s="142"/>
      <c r="AL106" s="142"/>
      <c r="AM106" s="142"/>
      <c r="AN106" s="142"/>
      <c r="AO106" s="142"/>
      <c r="AP106" s="142"/>
      <c r="AQ106" s="142"/>
      <c r="AR106" s="142"/>
      <c r="AS106" s="142"/>
      <c r="AT106" s="142"/>
      <c r="AU106" s="142"/>
      <c r="AV106" s="142"/>
      <c r="AW106" s="142"/>
      <c r="AX106" s="142"/>
      <c r="AY106" s="142"/>
      <c r="AZ106" s="142"/>
      <c r="BA106" s="142"/>
      <c r="BB106" s="142"/>
      <c r="BC106" s="142"/>
      <c r="BD106" s="142"/>
      <c r="BE106" s="142"/>
      <c r="BF106" s="142"/>
      <c r="BG106" s="142"/>
      <c r="BH106" s="142"/>
      <c r="BI106" s="142"/>
      <c r="BJ106" s="142"/>
      <c r="BK106" s="142"/>
      <c r="BL106" s="142"/>
      <c r="BM106" s="142"/>
      <c r="BN106" s="142"/>
      <c r="BO106" s="142"/>
      <c r="BP106" s="142"/>
      <c r="BQ106" s="142"/>
      <c r="BR106" s="142"/>
    </row>
    <row r="107" spans="1:70" ht="14.25" customHeight="1" x14ac:dyDescent="0.25">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6"/>
      <c r="AG107" s="36"/>
      <c r="AH107" s="36"/>
      <c r="AI107" s="36"/>
      <c r="AJ107" s="142"/>
      <c r="AK107" s="142"/>
      <c r="AL107" s="142"/>
      <c r="AM107" s="142"/>
      <c r="AN107" s="142"/>
      <c r="AO107" s="142"/>
      <c r="AP107" s="142"/>
      <c r="AQ107" s="142"/>
      <c r="AR107" s="142"/>
      <c r="AS107" s="142"/>
      <c r="AT107" s="142"/>
      <c r="AU107" s="142"/>
      <c r="AV107" s="142"/>
      <c r="AW107" s="142"/>
      <c r="AX107" s="142"/>
      <c r="AY107" s="142"/>
      <c r="AZ107" s="142"/>
      <c r="BA107" s="142"/>
      <c r="BB107" s="142"/>
      <c r="BC107" s="142"/>
      <c r="BD107" s="142"/>
      <c r="BE107" s="142"/>
      <c r="BF107" s="142"/>
      <c r="BG107" s="142"/>
      <c r="BH107" s="142"/>
      <c r="BI107" s="142"/>
      <c r="BJ107" s="142"/>
      <c r="BK107" s="142"/>
      <c r="BL107" s="142"/>
      <c r="BM107" s="142"/>
      <c r="BN107" s="142"/>
      <c r="BO107" s="142"/>
      <c r="BP107" s="142"/>
      <c r="BQ107" s="142"/>
      <c r="BR107" s="142"/>
    </row>
    <row r="108" spans="1:70" ht="14.25" customHeight="1" x14ac:dyDescent="0.25">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6"/>
      <c r="AG108" s="36"/>
      <c r="AH108" s="36"/>
      <c r="AI108" s="36"/>
      <c r="AJ108" s="142"/>
      <c r="AK108" s="142"/>
      <c r="AL108" s="142"/>
      <c r="AM108" s="142"/>
      <c r="AN108" s="142"/>
      <c r="AO108" s="142"/>
      <c r="AP108" s="142"/>
      <c r="AQ108" s="142"/>
      <c r="AR108" s="142"/>
      <c r="AS108" s="142"/>
      <c r="AT108" s="142"/>
      <c r="AU108" s="142"/>
      <c r="AV108" s="142"/>
      <c r="AW108" s="142"/>
      <c r="AX108" s="142"/>
      <c r="AY108" s="142"/>
      <c r="AZ108" s="142"/>
      <c r="BA108" s="142"/>
      <c r="BB108" s="142"/>
      <c r="BC108" s="142"/>
      <c r="BD108" s="142"/>
      <c r="BE108" s="142"/>
      <c r="BF108" s="142"/>
      <c r="BG108" s="142"/>
      <c r="BH108" s="142"/>
      <c r="BI108" s="142"/>
      <c r="BJ108" s="142"/>
      <c r="BK108" s="142"/>
      <c r="BL108" s="142"/>
      <c r="BM108" s="142"/>
      <c r="BN108" s="142"/>
      <c r="BO108" s="142"/>
      <c r="BP108" s="142"/>
      <c r="BQ108" s="142"/>
      <c r="BR108" s="142"/>
    </row>
    <row r="109" spans="1:70" ht="14.25" customHeight="1" x14ac:dyDescent="0.25">
      <c r="A109" s="38"/>
      <c r="B109" s="16"/>
      <c r="C109" s="16"/>
      <c r="D109" s="38"/>
      <c r="E109" s="38"/>
      <c r="F109" s="38"/>
      <c r="G109" s="38"/>
      <c r="H109" s="38"/>
      <c r="I109" s="38"/>
      <c r="J109" s="38"/>
      <c r="K109" s="38"/>
      <c r="L109" s="38"/>
      <c r="M109" s="38"/>
      <c r="N109" s="38"/>
      <c r="O109" s="38"/>
      <c r="P109" s="38"/>
      <c r="Q109" s="38"/>
      <c r="R109" s="38"/>
      <c r="S109" s="38"/>
      <c r="T109" s="39"/>
      <c r="U109" s="39"/>
      <c r="V109" s="39"/>
      <c r="W109" s="39"/>
      <c r="X109" s="39"/>
      <c r="Y109" s="38"/>
      <c r="Z109" s="38"/>
      <c r="AA109" s="38"/>
      <c r="AB109" s="38"/>
      <c r="AC109" s="38"/>
      <c r="AD109" s="38"/>
      <c r="AE109" s="38"/>
      <c r="AF109" s="36"/>
      <c r="AG109" s="36"/>
      <c r="AH109" s="36"/>
      <c r="AI109" s="36"/>
      <c r="AJ109" s="142"/>
      <c r="AK109" s="142"/>
      <c r="AL109" s="142"/>
      <c r="AM109" s="142"/>
      <c r="AN109" s="142"/>
      <c r="AO109" s="142"/>
      <c r="AP109" s="142"/>
      <c r="AQ109" s="142"/>
      <c r="AR109" s="142"/>
      <c r="AS109" s="142"/>
      <c r="AT109" s="142"/>
      <c r="AU109" s="142"/>
      <c r="AV109" s="142"/>
      <c r="AW109" s="142"/>
      <c r="AX109" s="142"/>
      <c r="AY109" s="142"/>
      <c r="AZ109" s="142"/>
      <c r="BA109" s="142"/>
      <c r="BB109" s="142"/>
      <c r="BC109" s="142"/>
      <c r="BD109" s="142"/>
      <c r="BE109" s="142"/>
      <c r="BF109" s="142"/>
      <c r="BG109" s="142"/>
      <c r="BH109" s="142"/>
      <c r="BI109" s="142"/>
      <c r="BJ109" s="142"/>
      <c r="BK109" s="142"/>
      <c r="BL109" s="142"/>
      <c r="BM109" s="142"/>
      <c r="BN109" s="142"/>
      <c r="BO109" s="142"/>
      <c r="BP109" s="142"/>
      <c r="BQ109" s="142"/>
      <c r="BR109" s="142"/>
    </row>
    <row r="110" spans="1:70" ht="14.25" customHeight="1" x14ac:dyDescent="0.25">
      <c r="A110" s="70"/>
      <c r="B110" s="16"/>
      <c r="C110" s="16"/>
      <c r="D110" s="70"/>
      <c r="E110" s="70"/>
      <c r="F110" s="70"/>
      <c r="G110" s="70"/>
      <c r="H110" s="70"/>
      <c r="I110" s="70"/>
      <c r="J110" s="70"/>
      <c r="K110" s="70"/>
      <c r="L110" s="70"/>
      <c r="M110" s="70"/>
      <c r="N110" s="70"/>
      <c r="O110" s="70"/>
      <c r="P110" s="70"/>
      <c r="Q110" s="70"/>
      <c r="R110" s="70"/>
      <c r="S110" s="70"/>
      <c r="T110" s="40"/>
      <c r="U110" s="40"/>
      <c r="V110" s="40"/>
      <c r="W110" s="40"/>
      <c r="X110" s="40"/>
      <c r="Y110" s="38"/>
      <c r="Z110" s="38"/>
      <c r="AA110" s="38"/>
      <c r="AB110" s="38"/>
      <c r="AC110" s="38"/>
      <c r="AD110" s="38"/>
      <c r="AE110" s="38"/>
      <c r="AF110" s="36"/>
      <c r="AG110" s="36"/>
      <c r="AH110" s="36"/>
      <c r="AI110" s="36"/>
      <c r="AJ110" s="142"/>
      <c r="AK110" s="142"/>
      <c r="AL110" s="142"/>
      <c r="AM110" s="142"/>
      <c r="AN110" s="142"/>
      <c r="AO110" s="142"/>
      <c r="AP110" s="142"/>
      <c r="AQ110" s="142"/>
      <c r="AR110" s="142"/>
      <c r="AS110" s="142"/>
      <c r="AT110" s="142"/>
      <c r="AU110" s="142"/>
      <c r="AV110" s="142"/>
      <c r="AW110" s="142"/>
      <c r="AX110" s="142"/>
      <c r="AY110" s="142"/>
      <c r="AZ110" s="142"/>
      <c r="BA110" s="142"/>
      <c r="BB110" s="142"/>
      <c r="BC110" s="142"/>
      <c r="BD110" s="142"/>
      <c r="BE110" s="142"/>
      <c r="BF110" s="142"/>
      <c r="BG110" s="142"/>
      <c r="BH110" s="142"/>
      <c r="BI110" s="142"/>
      <c r="BJ110" s="142"/>
      <c r="BK110" s="142"/>
      <c r="BL110" s="142"/>
      <c r="BM110" s="142"/>
      <c r="BN110" s="142"/>
      <c r="BO110" s="142"/>
      <c r="BP110" s="142"/>
      <c r="BQ110" s="142"/>
      <c r="BR110" s="142"/>
    </row>
    <row r="111" spans="1:70" ht="14.25" customHeight="1" x14ac:dyDescent="0.3">
      <c r="A111" s="70"/>
      <c r="B111" s="16"/>
      <c r="C111" s="16"/>
      <c r="D111" s="70"/>
      <c r="E111" s="70"/>
      <c r="F111" s="70"/>
      <c r="G111" s="70"/>
      <c r="H111" s="70"/>
      <c r="I111" s="70"/>
      <c r="J111" s="70"/>
      <c r="K111" s="70"/>
      <c r="L111" s="70"/>
      <c r="M111" s="70"/>
      <c r="N111" s="70"/>
      <c r="O111" s="70"/>
      <c r="P111" s="70"/>
      <c r="Q111" s="70"/>
      <c r="R111" s="70"/>
      <c r="S111" s="70"/>
      <c r="T111" s="40"/>
      <c r="U111" s="40"/>
      <c r="V111" s="40"/>
      <c r="W111" s="40"/>
      <c r="X111" s="40"/>
      <c r="Y111" s="38"/>
      <c r="Z111" s="38"/>
      <c r="AA111" s="38"/>
      <c r="AB111" s="38"/>
      <c r="AC111" s="38"/>
      <c r="AD111" s="38"/>
      <c r="AE111" s="38"/>
      <c r="AF111" s="36"/>
      <c r="AG111" s="36"/>
      <c r="AH111" s="36"/>
      <c r="AI111" s="36"/>
      <c r="AJ111" s="36"/>
      <c r="AK111" s="41"/>
      <c r="AL111" s="69"/>
      <c r="AM111" s="69"/>
      <c r="AN111" s="69"/>
      <c r="AO111" s="69"/>
      <c r="AP111" s="69"/>
      <c r="AQ111" s="69"/>
      <c r="AR111" s="69"/>
      <c r="AS111" s="69"/>
      <c r="AT111" s="69"/>
      <c r="AU111" s="69"/>
      <c r="AV111" s="69"/>
      <c r="AW111" s="69"/>
      <c r="AX111" s="69"/>
      <c r="AY111" s="69"/>
      <c r="AZ111" s="69"/>
      <c r="BA111" s="69"/>
      <c r="BB111" s="69"/>
      <c r="BC111" s="69"/>
      <c r="BD111" s="69"/>
      <c r="BE111" s="69"/>
      <c r="BF111" s="69"/>
      <c r="BG111" s="69"/>
      <c r="BH111" s="69"/>
      <c r="BI111" s="69"/>
      <c r="BJ111" s="69"/>
      <c r="BK111" s="69"/>
      <c r="BL111" s="69"/>
      <c r="BM111" s="69"/>
      <c r="BN111" s="69"/>
      <c r="BO111" s="69"/>
      <c r="BP111" s="69"/>
    </row>
    <row r="112" spans="1:70" ht="14.25" customHeight="1" x14ac:dyDescent="0.3">
      <c r="A112" s="70"/>
      <c r="B112" s="16"/>
      <c r="C112" s="16"/>
      <c r="D112" s="70"/>
      <c r="E112" s="70"/>
      <c r="F112" s="70"/>
      <c r="G112" s="70"/>
      <c r="H112" s="70"/>
      <c r="I112" s="70"/>
      <c r="J112" s="70"/>
      <c r="K112" s="70"/>
      <c r="L112" s="70"/>
      <c r="M112" s="70"/>
      <c r="N112" s="70"/>
      <c r="O112" s="70"/>
      <c r="P112" s="70"/>
      <c r="Q112" s="70"/>
      <c r="R112" s="70"/>
      <c r="S112" s="70"/>
      <c r="T112" s="40"/>
      <c r="U112" s="40"/>
      <c r="V112" s="40"/>
      <c r="W112" s="40"/>
      <c r="X112" s="40"/>
      <c r="Y112" s="38"/>
      <c r="Z112" s="38"/>
      <c r="AA112" s="38"/>
      <c r="AB112" s="38"/>
      <c r="AC112" s="38"/>
      <c r="AD112" s="38"/>
      <c r="AE112" s="38"/>
      <c r="AF112" s="36"/>
      <c r="AG112" s="36"/>
      <c r="AH112" s="36"/>
      <c r="AI112" s="36"/>
      <c r="AJ112" s="36"/>
      <c r="AK112" s="41"/>
      <c r="AL112" s="69"/>
      <c r="AM112" s="69"/>
      <c r="AN112" s="69"/>
      <c r="AO112" s="69"/>
      <c r="AP112" s="69"/>
      <c r="AQ112" s="69"/>
      <c r="AR112" s="69"/>
      <c r="AS112" s="69"/>
      <c r="AT112" s="69"/>
      <c r="AU112" s="69"/>
      <c r="AV112" s="69"/>
      <c r="AW112" s="69"/>
      <c r="AX112" s="69"/>
      <c r="AY112" s="69"/>
      <c r="AZ112" s="69"/>
      <c r="BA112" s="69"/>
      <c r="BB112" s="69"/>
      <c r="BC112" s="69"/>
      <c r="BD112" s="69"/>
      <c r="BE112" s="69"/>
      <c r="BF112" s="69"/>
      <c r="BG112" s="69"/>
      <c r="BH112" s="69"/>
      <c r="BI112" s="69"/>
      <c r="BJ112" s="69"/>
      <c r="BK112" s="69"/>
      <c r="BL112" s="69"/>
      <c r="BM112" s="69"/>
      <c r="BN112" s="69"/>
      <c r="BO112" s="69"/>
      <c r="BP112" s="69"/>
    </row>
    <row r="113" spans="1:70" ht="14.25" customHeight="1" x14ac:dyDescent="0.25">
      <c r="A113" s="141" t="s">
        <v>67</v>
      </c>
      <c r="B113" s="141"/>
      <c r="C113" s="141"/>
      <c r="D113" s="141"/>
      <c r="E113" s="141"/>
      <c r="F113" s="141"/>
      <c r="G113" s="141"/>
      <c r="H113" s="141"/>
      <c r="I113" s="141"/>
      <c r="J113" s="141"/>
      <c r="K113" s="141"/>
      <c r="L113" s="141"/>
      <c r="M113" s="141"/>
      <c r="N113" s="141"/>
      <c r="O113" s="141"/>
      <c r="P113" s="142" t="s">
        <v>21</v>
      </c>
      <c r="Q113" s="142"/>
      <c r="R113" s="142"/>
      <c r="S113" s="142"/>
      <c r="T113" s="142"/>
      <c r="U113" s="142"/>
      <c r="V113" s="142"/>
      <c r="W113" s="142"/>
      <c r="X113" s="142"/>
      <c r="Y113" s="141" t="s">
        <v>68</v>
      </c>
      <c r="Z113" s="141"/>
      <c r="AA113" s="141"/>
      <c r="AB113" s="141"/>
      <c r="AC113" s="141"/>
      <c r="AD113" s="141"/>
      <c r="AE113" s="141"/>
      <c r="AF113" s="42"/>
      <c r="AG113" s="42"/>
      <c r="AH113" s="43"/>
      <c r="AI113" s="43"/>
      <c r="AJ113" s="203" t="s">
        <v>238</v>
      </c>
      <c r="AK113" s="203"/>
      <c r="AL113" s="203"/>
      <c r="AM113" s="203"/>
      <c r="AN113" s="203"/>
      <c r="AO113" s="203"/>
      <c r="AP113" s="203"/>
      <c r="AQ113" s="203"/>
      <c r="AR113" s="203"/>
      <c r="AS113" s="203"/>
      <c r="AT113" s="203"/>
      <c r="AU113" s="203"/>
      <c r="AV113" s="203"/>
      <c r="AW113" s="203"/>
      <c r="AX113" s="203"/>
      <c r="AY113" s="142" t="s">
        <v>21</v>
      </c>
      <c r="AZ113" s="142"/>
      <c r="BA113" s="142"/>
      <c r="BB113" s="142"/>
      <c r="BC113" s="142"/>
      <c r="BD113" s="142"/>
      <c r="BE113" s="142"/>
      <c r="BF113" s="142"/>
      <c r="BG113" s="142"/>
      <c r="BH113" s="203" t="s">
        <v>244</v>
      </c>
      <c r="BI113" s="203"/>
      <c r="BJ113" s="203"/>
      <c r="BK113" s="203"/>
      <c r="BL113" s="203"/>
      <c r="BM113" s="203"/>
      <c r="BN113" s="203"/>
      <c r="BO113" s="203"/>
      <c r="BP113" s="203"/>
      <c r="BQ113" s="203"/>
      <c r="BR113" s="203"/>
    </row>
    <row r="114" spans="1:70" ht="14.25" customHeight="1" x14ac:dyDescent="0.25">
      <c r="A114" s="141"/>
      <c r="B114" s="141"/>
      <c r="C114" s="141"/>
      <c r="D114" s="141"/>
      <c r="E114" s="141"/>
      <c r="F114" s="141"/>
      <c r="G114" s="141"/>
      <c r="H114" s="141"/>
      <c r="I114" s="141"/>
      <c r="J114" s="141"/>
      <c r="K114" s="141"/>
      <c r="L114" s="141"/>
      <c r="M114" s="141"/>
      <c r="N114" s="141"/>
      <c r="O114" s="141"/>
      <c r="P114" s="142"/>
      <c r="Q114" s="142"/>
      <c r="R114" s="142"/>
      <c r="S114" s="142"/>
      <c r="T114" s="142"/>
      <c r="U114" s="142"/>
      <c r="V114" s="142"/>
      <c r="W114" s="142"/>
      <c r="X114" s="142"/>
      <c r="Y114" s="141"/>
      <c r="Z114" s="141"/>
      <c r="AA114" s="141"/>
      <c r="AB114" s="141"/>
      <c r="AC114" s="141"/>
      <c r="AD114" s="141"/>
      <c r="AE114" s="141"/>
      <c r="AF114" s="42"/>
      <c r="AG114" s="42"/>
      <c r="AH114" s="43"/>
      <c r="AI114" s="43"/>
      <c r="AJ114" s="203"/>
      <c r="AK114" s="203"/>
      <c r="AL114" s="203"/>
      <c r="AM114" s="203"/>
      <c r="AN114" s="203"/>
      <c r="AO114" s="203"/>
      <c r="AP114" s="203"/>
      <c r="AQ114" s="203"/>
      <c r="AR114" s="203"/>
      <c r="AS114" s="203"/>
      <c r="AT114" s="203"/>
      <c r="AU114" s="203"/>
      <c r="AV114" s="203"/>
      <c r="AW114" s="203"/>
      <c r="AX114" s="203"/>
      <c r="AY114" s="142"/>
      <c r="AZ114" s="142"/>
      <c r="BA114" s="142"/>
      <c r="BB114" s="142"/>
      <c r="BC114" s="142"/>
      <c r="BD114" s="142"/>
      <c r="BE114" s="142"/>
      <c r="BF114" s="142"/>
      <c r="BG114" s="142"/>
      <c r="BH114" s="203"/>
      <c r="BI114" s="203"/>
      <c r="BJ114" s="203"/>
      <c r="BK114" s="203"/>
      <c r="BL114" s="203"/>
      <c r="BM114" s="203"/>
      <c r="BN114" s="203"/>
      <c r="BO114" s="203"/>
      <c r="BP114" s="203"/>
      <c r="BQ114" s="203"/>
      <c r="BR114" s="203"/>
    </row>
    <row r="115" spans="1:70" ht="14.25" customHeight="1" x14ac:dyDescent="0.25">
      <c r="A115" s="141"/>
      <c r="B115" s="141"/>
      <c r="C115" s="141"/>
      <c r="D115" s="141"/>
      <c r="E115" s="141"/>
      <c r="F115" s="141"/>
      <c r="G115" s="141"/>
      <c r="H115" s="141"/>
      <c r="I115" s="141"/>
      <c r="J115" s="141"/>
      <c r="K115" s="141"/>
      <c r="L115" s="141"/>
      <c r="M115" s="141"/>
      <c r="N115" s="141"/>
      <c r="O115" s="141"/>
      <c r="P115" s="142"/>
      <c r="Q115" s="142"/>
      <c r="R115" s="142"/>
      <c r="S115" s="142"/>
      <c r="T115" s="142"/>
      <c r="U115" s="142"/>
      <c r="V115" s="142"/>
      <c r="W115" s="142"/>
      <c r="X115" s="142"/>
      <c r="Y115" s="141"/>
      <c r="Z115" s="141"/>
      <c r="AA115" s="141"/>
      <c r="AB115" s="141"/>
      <c r="AC115" s="141"/>
      <c r="AD115" s="141"/>
      <c r="AE115" s="141"/>
      <c r="AF115" s="42"/>
      <c r="AG115" s="42"/>
      <c r="AH115" s="43"/>
      <c r="AI115" s="43"/>
      <c r="AJ115" s="203"/>
      <c r="AK115" s="203"/>
      <c r="AL115" s="203"/>
      <c r="AM115" s="203"/>
      <c r="AN115" s="203"/>
      <c r="AO115" s="203"/>
      <c r="AP115" s="203"/>
      <c r="AQ115" s="203"/>
      <c r="AR115" s="203"/>
      <c r="AS115" s="203"/>
      <c r="AT115" s="203"/>
      <c r="AU115" s="203"/>
      <c r="AV115" s="203"/>
      <c r="AW115" s="203"/>
      <c r="AX115" s="203"/>
      <c r="AY115" s="142"/>
      <c r="AZ115" s="142"/>
      <c r="BA115" s="142"/>
      <c r="BB115" s="142"/>
      <c r="BC115" s="142"/>
      <c r="BD115" s="142"/>
      <c r="BE115" s="142"/>
      <c r="BF115" s="142"/>
      <c r="BG115" s="142"/>
      <c r="BH115" s="203"/>
      <c r="BI115" s="203"/>
      <c r="BJ115" s="203"/>
      <c r="BK115" s="203"/>
      <c r="BL115" s="203"/>
      <c r="BM115" s="203"/>
      <c r="BN115" s="203"/>
      <c r="BO115" s="203"/>
      <c r="BP115" s="203"/>
      <c r="BQ115" s="203"/>
      <c r="BR115" s="203"/>
    </row>
    <row r="116" spans="1:70" ht="14.25" customHeight="1" x14ac:dyDescent="0.25">
      <c r="A116" s="141"/>
      <c r="B116" s="141"/>
      <c r="C116" s="141"/>
      <c r="D116" s="141"/>
      <c r="E116" s="141"/>
      <c r="F116" s="141"/>
      <c r="G116" s="141"/>
      <c r="H116" s="141"/>
      <c r="I116" s="141"/>
      <c r="J116" s="141"/>
      <c r="K116" s="141"/>
      <c r="L116" s="141"/>
      <c r="M116" s="141"/>
      <c r="N116" s="141"/>
      <c r="O116" s="141"/>
      <c r="P116" s="142"/>
      <c r="Q116" s="142"/>
      <c r="R116" s="142"/>
      <c r="S116" s="142"/>
      <c r="T116" s="142"/>
      <c r="U116" s="142"/>
      <c r="V116" s="142"/>
      <c r="W116" s="142"/>
      <c r="X116" s="142"/>
      <c r="Y116" s="141"/>
      <c r="Z116" s="141"/>
      <c r="AA116" s="141"/>
      <c r="AB116" s="141"/>
      <c r="AC116" s="141"/>
      <c r="AD116" s="141"/>
      <c r="AE116" s="141"/>
      <c r="AF116" s="42"/>
      <c r="AG116" s="42"/>
      <c r="AH116" s="43"/>
      <c r="AI116" s="43"/>
      <c r="AJ116" s="203"/>
      <c r="AK116" s="203"/>
      <c r="AL116" s="203"/>
      <c r="AM116" s="203"/>
      <c r="AN116" s="203"/>
      <c r="AO116" s="203"/>
      <c r="AP116" s="203"/>
      <c r="AQ116" s="203"/>
      <c r="AR116" s="203"/>
      <c r="AS116" s="203"/>
      <c r="AT116" s="203"/>
      <c r="AU116" s="203"/>
      <c r="AV116" s="203"/>
      <c r="AW116" s="203"/>
      <c r="AX116" s="203"/>
      <c r="AY116" s="142"/>
      <c r="AZ116" s="142"/>
      <c r="BA116" s="142"/>
      <c r="BB116" s="142"/>
      <c r="BC116" s="142"/>
      <c r="BD116" s="142"/>
      <c r="BE116" s="142"/>
      <c r="BF116" s="142"/>
      <c r="BG116" s="142"/>
      <c r="BH116" s="203"/>
      <c r="BI116" s="203"/>
      <c r="BJ116" s="203"/>
      <c r="BK116" s="203"/>
      <c r="BL116" s="203"/>
      <c r="BM116" s="203"/>
      <c r="BN116" s="203"/>
      <c r="BO116" s="203"/>
      <c r="BP116" s="203"/>
      <c r="BQ116" s="203"/>
      <c r="BR116" s="203"/>
    </row>
    <row r="117" spans="1:70" ht="14.25" customHeight="1" x14ac:dyDescent="0.25">
      <c r="A117" s="68"/>
      <c r="B117" s="68"/>
      <c r="C117" s="68"/>
      <c r="D117" s="68"/>
      <c r="E117" s="68"/>
      <c r="F117" s="68"/>
      <c r="G117" s="68"/>
      <c r="H117" s="68"/>
      <c r="I117" s="68"/>
      <c r="J117" s="68"/>
      <c r="K117" s="68"/>
      <c r="L117" s="68"/>
      <c r="M117" s="68"/>
      <c r="N117" s="68"/>
      <c r="O117" s="68"/>
      <c r="P117" s="69"/>
      <c r="Q117" s="69"/>
      <c r="R117" s="69"/>
      <c r="S117" s="69"/>
      <c r="T117" s="69"/>
      <c r="U117" s="69"/>
      <c r="V117" s="69"/>
      <c r="W117" s="69"/>
      <c r="X117" s="69"/>
      <c r="Y117" s="68"/>
      <c r="Z117" s="68"/>
      <c r="AA117" s="68"/>
      <c r="AB117" s="68"/>
      <c r="AC117" s="68"/>
      <c r="AD117" s="68"/>
      <c r="AE117" s="68"/>
      <c r="AF117" s="42"/>
      <c r="AG117" s="42"/>
      <c r="AH117" s="43"/>
      <c r="AI117" s="43"/>
      <c r="AJ117" s="68"/>
      <c r="AK117" s="68"/>
      <c r="AL117" s="68"/>
      <c r="AM117" s="68"/>
      <c r="AN117" s="68"/>
      <c r="AO117" s="68"/>
      <c r="AP117" s="68"/>
      <c r="AQ117" s="68"/>
      <c r="AR117" s="68"/>
      <c r="AS117" s="68"/>
      <c r="AT117" s="68"/>
      <c r="AU117" s="68"/>
      <c r="AV117" s="68"/>
      <c r="AW117" s="68"/>
      <c r="AX117" s="68"/>
      <c r="AY117" s="69"/>
      <c r="AZ117" s="69"/>
      <c r="BA117" s="69"/>
      <c r="BB117" s="69"/>
      <c r="BC117" s="69"/>
      <c r="BD117" s="69"/>
      <c r="BE117" s="69"/>
      <c r="BF117" s="69"/>
      <c r="BG117" s="69"/>
      <c r="BH117" s="81"/>
      <c r="BI117" s="81"/>
      <c r="BJ117" s="81"/>
      <c r="BK117" s="81"/>
      <c r="BL117" s="81"/>
      <c r="BM117" s="81"/>
      <c r="BN117" s="81"/>
      <c r="BO117" s="81"/>
      <c r="BP117" s="81"/>
      <c r="BQ117" s="81"/>
      <c r="BR117" s="81"/>
    </row>
    <row r="118" spans="1:70" ht="14.25" customHeight="1" x14ac:dyDescent="0.3">
      <c r="A118" s="68"/>
      <c r="B118" s="68"/>
      <c r="C118" s="68"/>
      <c r="D118" s="68"/>
      <c r="E118" s="68"/>
      <c r="F118" s="68"/>
      <c r="G118" s="68"/>
      <c r="H118" s="68"/>
      <c r="I118" s="68"/>
      <c r="J118" s="68"/>
      <c r="K118" s="68"/>
      <c r="L118" s="68"/>
      <c r="M118" s="68"/>
      <c r="N118" s="68"/>
      <c r="O118" s="68"/>
      <c r="P118" s="68"/>
      <c r="Q118" s="42"/>
      <c r="R118" s="42"/>
      <c r="S118" s="42"/>
      <c r="T118" s="68"/>
      <c r="U118" s="68"/>
      <c r="V118" s="44"/>
      <c r="W118" s="44"/>
      <c r="X118" s="44"/>
      <c r="Y118" s="81"/>
      <c r="Z118" s="81"/>
      <c r="AA118" s="81"/>
      <c r="AB118" s="81"/>
      <c r="AC118" s="81"/>
      <c r="AD118" s="81"/>
      <c r="AE118" s="81"/>
      <c r="AF118" s="81"/>
      <c r="AG118" s="81"/>
      <c r="AH118" s="81"/>
      <c r="AI118" s="43"/>
      <c r="AJ118" s="68"/>
      <c r="AK118" s="68"/>
      <c r="AL118" s="68"/>
      <c r="AM118" s="68"/>
      <c r="AN118" s="68"/>
      <c r="AO118" s="68"/>
      <c r="AP118" s="68"/>
      <c r="AQ118" s="68"/>
      <c r="AR118" s="68"/>
      <c r="AS118" s="68"/>
      <c r="AT118" s="68"/>
      <c r="AU118" s="68"/>
      <c r="AV118" s="68"/>
      <c r="AW118" s="68"/>
      <c r="AX118" s="68"/>
      <c r="AY118" s="68"/>
      <c r="AZ118" s="42"/>
      <c r="BA118" s="42"/>
      <c r="BB118" s="42"/>
      <c r="BC118" s="68"/>
      <c r="BD118" s="68"/>
      <c r="BE118" s="44"/>
      <c r="BF118" s="44"/>
      <c r="BG118" s="44"/>
      <c r="BH118" s="81"/>
      <c r="BI118" s="81"/>
      <c r="BJ118" s="81"/>
      <c r="BK118" s="81"/>
      <c r="BL118" s="81"/>
      <c r="BM118" s="81"/>
      <c r="BN118" s="81"/>
      <c r="BO118" s="45"/>
      <c r="BP118" s="45"/>
    </row>
    <row r="119" spans="1:70" ht="14.25" customHeight="1" x14ac:dyDescent="0.25">
      <c r="A119" s="141" t="s">
        <v>254</v>
      </c>
      <c r="B119" s="141"/>
      <c r="C119" s="141"/>
      <c r="D119" s="141"/>
      <c r="E119" s="141"/>
      <c r="F119" s="141"/>
      <c r="G119" s="141"/>
      <c r="H119" s="141"/>
      <c r="I119" s="141"/>
      <c r="J119" s="141"/>
      <c r="K119" s="141"/>
      <c r="L119" s="141"/>
      <c r="M119" s="141"/>
      <c r="N119" s="141"/>
      <c r="O119" s="141"/>
      <c r="P119" s="142" t="s">
        <v>21</v>
      </c>
      <c r="Q119" s="142"/>
      <c r="R119" s="142"/>
      <c r="S119" s="142"/>
      <c r="T119" s="142"/>
      <c r="U119" s="142"/>
      <c r="V119" s="142"/>
      <c r="W119" s="142"/>
      <c r="X119" s="142"/>
      <c r="Y119" s="141" t="s">
        <v>69</v>
      </c>
      <c r="Z119" s="141"/>
      <c r="AA119" s="141"/>
      <c r="AB119" s="141"/>
      <c r="AC119" s="141"/>
      <c r="AD119" s="141"/>
      <c r="AE119" s="141"/>
      <c r="AF119" s="42"/>
      <c r="AG119" s="42"/>
      <c r="AH119" s="43"/>
      <c r="AI119" s="43"/>
      <c r="AJ119" s="141" t="s">
        <v>70</v>
      </c>
      <c r="AK119" s="141"/>
      <c r="AL119" s="141"/>
      <c r="AM119" s="141"/>
      <c r="AN119" s="141"/>
      <c r="AO119" s="141"/>
      <c r="AP119" s="141"/>
      <c r="AQ119" s="141"/>
      <c r="AR119" s="141"/>
      <c r="AS119" s="141"/>
      <c r="AT119" s="141"/>
      <c r="AU119" s="141"/>
      <c r="AV119" s="141"/>
      <c r="AW119" s="141"/>
      <c r="AX119" s="141"/>
      <c r="AY119" s="142" t="s">
        <v>21</v>
      </c>
      <c r="AZ119" s="142"/>
      <c r="BA119" s="142"/>
      <c r="BB119" s="142"/>
      <c r="BC119" s="142"/>
      <c r="BD119" s="142"/>
      <c r="BE119" s="142"/>
      <c r="BF119" s="142"/>
      <c r="BG119" s="142"/>
      <c r="BH119" s="203" t="s">
        <v>272</v>
      </c>
      <c r="BI119" s="203"/>
      <c r="BJ119" s="203"/>
      <c r="BK119" s="203"/>
      <c r="BL119" s="203"/>
      <c r="BM119" s="203"/>
      <c r="BN119" s="203"/>
      <c r="BO119" s="203"/>
      <c r="BP119" s="203"/>
      <c r="BQ119" s="203"/>
      <c r="BR119" s="203"/>
    </row>
    <row r="120" spans="1:70" ht="14.25" customHeight="1" x14ac:dyDescent="0.25">
      <c r="A120" s="141"/>
      <c r="B120" s="141"/>
      <c r="C120" s="141"/>
      <c r="D120" s="141"/>
      <c r="E120" s="141"/>
      <c r="F120" s="141"/>
      <c r="G120" s="141"/>
      <c r="H120" s="141"/>
      <c r="I120" s="141"/>
      <c r="J120" s="141"/>
      <c r="K120" s="141"/>
      <c r="L120" s="141"/>
      <c r="M120" s="141"/>
      <c r="N120" s="141"/>
      <c r="O120" s="141"/>
      <c r="P120" s="142"/>
      <c r="Q120" s="142"/>
      <c r="R120" s="142"/>
      <c r="S120" s="142"/>
      <c r="T120" s="142"/>
      <c r="U120" s="142"/>
      <c r="V120" s="142"/>
      <c r="W120" s="142"/>
      <c r="X120" s="142"/>
      <c r="Y120" s="141"/>
      <c r="Z120" s="141"/>
      <c r="AA120" s="141"/>
      <c r="AB120" s="141"/>
      <c r="AC120" s="141"/>
      <c r="AD120" s="141"/>
      <c r="AE120" s="141"/>
      <c r="AF120" s="42"/>
      <c r="AG120" s="42"/>
      <c r="AH120" s="43"/>
      <c r="AI120" s="43"/>
      <c r="AJ120" s="141"/>
      <c r="AK120" s="141"/>
      <c r="AL120" s="141"/>
      <c r="AM120" s="141"/>
      <c r="AN120" s="141"/>
      <c r="AO120" s="141"/>
      <c r="AP120" s="141"/>
      <c r="AQ120" s="141"/>
      <c r="AR120" s="141"/>
      <c r="AS120" s="141"/>
      <c r="AT120" s="141"/>
      <c r="AU120" s="141"/>
      <c r="AV120" s="141"/>
      <c r="AW120" s="141"/>
      <c r="AX120" s="141"/>
      <c r="AY120" s="142"/>
      <c r="AZ120" s="142"/>
      <c r="BA120" s="142"/>
      <c r="BB120" s="142"/>
      <c r="BC120" s="142"/>
      <c r="BD120" s="142"/>
      <c r="BE120" s="142"/>
      <c r="BF120" s="142"/>
      <c r="BG120" s="142"/>
      <c r="BH120" s="203"/>
      <c r="BI120" s="203"/>
      <c r="BJ120" s="203"/>
      <c r="BK120" s="203"/>
      <c r="BL120" s="203"/>
      <c r="BM120" s="203"/>
      <c r="BN120" s="203"/>
      <c r="BO120" s="203"/>
      <c r="BP120" s="203"/>
      <c r="BQ120" s="203"/>
      <c r="BR120" s="203"/>
    </row>
    <row r="121" spans="1:70" ht="14.25" customHeight="1" x14ac:dyDescent="0.25">
      <c r="A121" s="141"/>
      <c r="B121" s="141"/>
      <c r="C121" s="141"/>
      <c r="D121" s="141"/>
      <c r="E121" s="141"/>
      <c r="F121" s="141"/>
      <c r="G121" s="141"/>
      <c r="H121" s="141"/>
      <c r="I121" s="141"/>
      <c r="J121" s="141"/>
      <c r="K121" s="141"/>
      <c r="L121" s="141"/>
      <c r="M121" s="141"/>
      <c r="N121" s="141"/>
      <c r="O121" s="141"/>
      <c r="P121" s="142"/>
      <c r="Q121" s="142"/>
      <c r="R121" s="142"/>
      <c r="S121" s="142"/>
      <c r="T121" s="142"/>
      <c r="U121" s="142"/>
      <c r="V121" s="142"/>
      <c r="W121" s="142"/>
      <c r="X121" s="142"/>
      <c r="Y121" s="141"/>
      <c r="Z121" s="141"/>
      <c r="AA121" s="141"/>
      <c r="AB121" s="141"/>
      <c r="AC121" s="141"/>
      <c r="AD121" s="141"/>
      <c r="AE121" s="141"/>
      <c r="AF121" s="42"/>
      <c r="AG121" s="42"/>
      <c r="AH121" s="43"/>
      <c r="AI121" s="43"/>
      <c r="AJ121" s="141"/>
      <c r="AK121" s="141"/>
      <c r="AL121" s="141"/>
      <c r="AM121" s="141"/>
      <c r="AN121" s="141"/>
      <c r="AO121" s="141"/>
      <c r="AP121" s="141"/>
      <c r="AQ121" s="141"/>
      <c r="AR121" s="141"/>
      <c r="AS121" s="141"/>
      <c r="AT121" s="141"/>
      <c r="AU121" s="141"/>
      <c r="AV121" s="141"/>
      <c r="AW121" s="141"/>
      <c r="AX121" s="141"/>
      <c r="AY121" s="142"/>
      <c r="AZ121" s="142"/>
      <c r="BA121" s="142"/>
      <c r="BB121" s="142"/>
      <c r="BC121" s="142"/>
      <c r="BD121" s="142"/>
      <c r="BE121" s="142"/>
      <c r="BF121" s="142"/>
      <c r="BG121" s="142"/>
      <c r="BH121" s="203"/>
      <c r="BI121" s="203"/>
      <c r="BJ121" s="203"/>
      <c r="BK121" s="203"/>
      <c r="BL121" s="203"/>
      <c r="BM121" s="203"/>
      <c r="BN121" s="203"/>
      <c r="BO121" s="203"/>
      <c r="BP121" s="203"/>
      <c r="BQ121" s="203"/>
      <c r="BR121" s="203"/>
    </row>
    <row r="122" spans="1:70" ht="14.25" customHeight="1" x14ac:dyDescent="0.25">
      <c r="A122" s="141"/>
      <c r="B122" s="141"/>
      <c r="C122" s="141"/>
      <c r="D122" s="141"/>
      <c r="E122" s="141"/>
      <c r="F122" s="141"/>
      <c r="G122" s="141"/>
      <c r="H122" s="141"/>
      <c r="I122" s="141"/>
      <c r="J122" s="141"/>
      <c r="K122" s="141"/>
      <c r="L122" s="141"/>
      <c r="M122" s="141"/>
      <c r="N122" s="141"/>
      <c r="O122" s="141"/>
      <c r="P122" s="142"/>
      <c r="Q122" s="142"/>
      <c r="R122" s="142"/>
      <c r="S122" s="142"/>
      <c r="T122" s="142"/>
      <c r="U122" s="142"/>
      <c r="V122" s="142"/>
      <c r="W122" s="142"/>
      <c r="X122" s="142"/>
      <c r="Y122" s="141"/>
      <c r="Z122" s="141"/>
      <c r="AA122" s="141"/>
      <c r="AB122" s="141"/>
      <c r="AC122" s="141"/>
      <c r="AD122" s="141"/>
      <c r="AE122" s="141"/>
      <c r="AF122" s="42"/>
      <c r="AG122" s="42"/>
      <c r="AH122" s="43"/>
      <c r="AI122" s="81"/>
      <c r="AJ122" s="141"/>
      <c r="AK122" s="141"/>
      <c r="AL122" s="141"/>
      <c r="AM122" s="141"/>
      <c r="AN122" s="141"/>
      <c r="AO122" s="141"/>
      <c r="AP122" s="141"/>
      <c r="AQ122" s="141"/>
      <c r="AR122" s="141"/>
      <c r="AS122" s="141"/>
      <c r="AT122" s="141"/>
      <c r="AU122" s="141"/>
      <c r="AV122" s="141"/>
      <c r="AW122" s="141"/>
      <c r="AX122" s="141"/>
      <c r="AY122" s="142"/>
      <c r="AZ122" s="142"/>
      <c r="BA122" s="142"/>
      <c r="BB122" s="142"/>
      <c r="BC122" s="142"/>
      <c r="BD122" s="142"/>
      <c r="BE122" s="142"/>
      <c r="BF122" s="142"/>
      <c r="BG122" s="142"/>
      <c r="BH122" s="203"/>
      <c r="BI122" s="203"/>
      <c r="BJ122" s="203"/>
      <c r="BK122" s="203"/>
      <c r="BL122" s="203"/>
      <c r="BM122" s="203"/>
      <c r="BN122" s="203"/>
      <c r="BO122" s="203"/>
      <c r="BP122" s="203"/>
      <c r="BQ122" s="203"/>
      <c r="BR122" s="203"/>
    </row>
    <row r="123" spans="1:70" ht="14.25" customHeight="1" x14ac:dyDescent="0.25">
      <c r="A123" s="68"/>
      <c r="B123" s="68"/>
      <c r="C123" s="68"/>
      <c r="D123" s="68"/>
      <c r="E123" s="68"/>
      <c r="F123" s="68"/>
      <c r="G123" s="68"/>
      <c r="H123" s="68"/>
      <c r="I123" s="68"/>
      <c r="J123" s="68"/>
      <c r="K123" s="68"/>
      <c r="L123" s="68"/>
      <c r="M123" s="68"/>
      <c r="N123" s="68"/>
      <c r="O123" s="68"/>
      <c r="P123" s="43"/>
      <c r="Q123" s="43"/>
      <c r="R123" s="43"/>
      <c r="S123" s="43"/>
      <c r="T123" s="43"/>
      <c r="U123" s="43"/>
      <c r="V123" s="43"/>
      <c r="W123" s="43"/>
      <c r="X123" s="43"/>
      <c r="Y123" s="81"/>
      <c r="Z123" s="81"/>
      <c r="AA123" s="81"/>
      <c r="AB123" s="81"/>
      <c r="AC123" s="81"/>
      <c r="AD123" s="81"/>
      <c r="AE123" s="81"/>
      <c r="AF123" s="81"/>
      <c r="AG123" s="81"/>
      <c r="AH123" s="43"/>
      <c r="AI123" s="81"/>
      <c r="AJ123" s="68"/>
      <c r="AK123" s="68"/>
      <c r="AL123" s="68"/>
      <c r="AM123" s="68"/>
      <c r="AN123" s="68"/>
      <c r="AO123" s="68"/>
      <c r="AP123" s="68"/>
      <c r="AQ123" s="68"/>
      <c r="AR123" s="68"/>
      <c r="AS123" s="68"/>
      <c r="AT123" s="68"/>
      <c r="AU123" s="68"/>
      <c r="AV123" s="68"/>
      <c r="AW123" s="68"/>
      <c r="AX123" s="68"/>
      <c r="AY123" s="43"/>
      <c r="AZ123" s="43"/>
      <c r="BA123" s="43"/>
      <c r="BB123" s="43"/>
      <c r="BC123" s="43"/>
      <c r="BD123" s="43"/>
      <c r="BE123" s="43"/>
      <c r="BF123" s="43"/>
      <c r="BG123" s="43"/>
      <c r="BH123" s="81"/>
      <c r="BI123" s="81"/>
      <c r="BJ123" s="81"/>
      <c r="BK123" s="81"/>
      <c r="BL123" s="81"/>
      <c r="BM123" s="81"/>
      <c r="BN123" s="81"/>
      <c r="BO123" s="61"/>
      <c r="BP123" s="61"/>
    </row>
    <row r="124" spans="1:70" ht="14.25" customHeight="1" x14ac:dyDescent="0.25">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3"/>
      <c r="Z124" s="43"/>
      <c r="AA124" s="43"/>
      <c r="AB124" s="43"/>
      <c r="AC124" s="43"/>
      <c r="AD124" s="43"/>
      <c r="AE124" s="43"/>
      <c r="AF124" s="42"/>
      <c r="AG124" s="42"/>
      <c r="AH124" s="43"/>
      <c r="AI124" s="43"/>
      <c r="AJ124" s="42"/>
      <c r="AK124" s="42"/>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42"/>
      <c r="BH124" s="42"/>
      <c r="BI124" s="42"/>
      <c r="BJ124" s="42"/>
      <c r="BK124" s="42"/>
      <c r="BL124" s="42"/>
      <c r="BM124" s="42"/>
      <c r="BN124" s="42"/>
      <c r="BO124" s="61"/>
      <c r="BP124" s="61"/>
    </row>
    <row r="125" spans="1:70" ht="14.25" customHeight="1" x14ac:dyDescent="0.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3"/>
      <c r="Z125" s="43"/>
      <c r="AA125" s="43"/>
      <c r="AB125" s="43"/>
      <c r="AC125" s="43"/>
      <c r="AD125" s="43"/>
      <c r="AE125" s="43"/>
      <c r="AF125" s="42"/>
      <c r="AG125" s="42"/>
      <c r="AH125" s="43"/>
      <c r="AI125" s="43"/>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c r="BO125" s="61"/>
      <c r="BP125" s="61"/>
    </row>
    <row r="126" spans="1:70" ht="14.25" customHeight="1" x14ac:dyDescent="0.25">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3"/>
      <c r="Z126" s="43"/>
      <c r="AA126" s="43"/>
      <c r="AB126" s="43"/>
      <c r="AC126" s="43"/>
      <c r="AD126" s="43"/>
      <c r="AE126" s="43"/>
      <c r="AF126" s="42"/>
      <c r="AG126" s="42"/>
      <c r="AH126" s="43"/>
      <c r="AI126" s="43"/>
      <c r="AJ126" s="42"/>
      <c r="AK126" s="42"/>
      <c r="AL126" s="42"/>
      <c r="AM126" s="42"/>
      <c r="AN126" s="42"/>
      <c r="AO126" s="42"/>
      <c r="AP126" s="42"/>
      <c r="AQ126" s="42"/>
      <c r="AR126" s="42"/>
      <c r="AS126" s="42"/>
      <c r="AT126" s="42"/>
      <c r="AU126" s="42"/>
      <c r="AV126" s="42"/>
      <c r="AW126" s="42"/>
      <c r="AX126" s="42"/>
      <c r="AY126" s="42"/>
      <c r="AZ126" s="42"/>
      <c r="BA126" s="42"/>
      <c r="BB126" s="42"/>
      <c r="BC126" s="42"/>
      <c r="BD126" s="42"/>
      <c r="BE126" s="42"/>
      <c r="BF126" s="42"/>
      <c r="BG126" s="42"/>
      <c r="BH126" s="42"/>
      <c r="BI126" s="42"/>
      <c r="BJ126" s="42"/>
      <c r="BK126" s="42"/>
      <c r="BL126" s="42"/>
      <c r="BM126" s="42"/>
      <c r="BN126" s="42"/>
      <c r="BO126" s="61"/>
      <c r="BP126" s="61"/>
    </row>
    <row r="127" spans="1:70" ht="14.25" customHeight="1" x14ac:dyDescent="0.25">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3"/>
      <c r="Z127" s="43"/>
      <c r="AA127" s="43"/>
      <c r="AB127" s="43"/>
      <c r="AC127" s="43"/>
      <c r="AD127" s="43"/>
      <c r="AE127" s="43"/>
      <c r="AF127" s="42"/>
      <c r="AG127" s="42"/>
      <c r="AH127" s="43"/>
      <c r="AI127" s="37"/>
      <c r="AJ127" s="42"/>
      <c r="AK127" s="42"/>
      <c r="AL127" s="42"/>
      <c r="AM127" s="42"/>
      <c r="AN127" s="42"/>
      <c r="AO127" s="42"/>
      <c r="AP127" s="42"/>
      <c r="AQ127" s="42"/>
      <c r="AR127" s="42"/>
      <c r="AS127" s="42"/>
      <c r="AT127" s="42"/>
      <c r="AU127" s="42"/>
      <c r="AV127" s="42"/>
      <c r="AW127" s="42"/>
      <c r="AX127" s="42"/>
      <c r="AY127" s="42"/>
      <c r="AZ127" s="42"/>
      <c r="BA127" s="42"/>
      <c r="BB127" s="42"/>
      <c r="BC127" s="42"/>
      <c r="BD127" s="42"/>
      <c r="BE127" s="42"/>
      <c r="BF127" s="42"/>
      <c r="BG127" s="42"/>
      <c r="BH127" s="42"/>
      <c r="BI127" s="42"/>
      <c r="BJ127" s="42"/>
      <c r="BK127" s="42"/>
      <c r="BL127" s="42"/>
      <c r="BM127" s="42"/>
      <c r="BN127" s="42"/>
    </row>
    <row r="128" spans="1:70" ht="14.25" customHeight="1" x14ac:dyDescent="0.3">
      <c r="A128" s="68"/>
      <c r="B128" s="46"/>
      <c r="C128" s="46"/>
      <c r="D128" s="68"/>
      <c r="E128" s="68"/>
      <c r="F128" s="68"/>
      <c r="G128" s="68"/>
      <c r="H128" s="68"/>
      <c r="I128" s="68"/>
      <c r="J128" s="68"/>
      <c r="K128" s="68"/>
      <c r="L128" s="68"/>
      <c r="M128" s="68"/>
      <c r="N128" s="68"/>
      <c r="O128" s="68"/>
      <c r="P128" s="42"/>
      <c r="Q128" s="42"/>
      <c r="R128" s="42"/>
      <c r="S128" s="42"/>
      <c r="T128" s="42"/>
      <c r="U128" s="42"/>
      <c r="V128" s="42"/>
      <c r="W128" s="42"/>
      <c r="X128" s="42"/>
      <c r="Y128" s="43"/>
      <c r="Z128" s="43"/>
      <c r="AA128" s="43"/>
      <c r="AB128" s="43"/>
      <c r="AC128" s="43"/>
      <c r="AD128" s="43"/>
      <c r="AE128" s="43"/>
      <c r="AF128" s="47"/>
      <c r="AG128" s="47"/>
      <c r="AH128" s="48"/>
      <c r="AI128" s="47"/>
      <c r="AJ128" s="68"/>
      <c r="AK128" s="68"/>
      <c r="AL128" s="68"/>
      <c r="AM128" s="68"/>
      <c r="AN128" s="68"/>
      <c r="AO128" s="68"/>
      <c r="AP128" s="68"/>
      <c r="AQ128" s="68"/>
      <c r="AR128" s="68"/>
      <c r="AS128" s="68"/>
      <c r="AT128" s="68"/>
      <c r="AU128" s="68"/>
      <c r="AV128" s="68"/>
      <c r="AW128" s="68"/>
      <c r="AX128" s="68"/>
      <c r="AY128" s="187"/>
      <c r="AZ128" s="187"/>
      <c r="BA128" s="187"/>
      <c r="BB128" s="187"/>
      <c r="BC128" s="187"/>
      <c r="BD128" s="187"/>
      <c r="BE128" s="187"/>
      <c r="BF128" s="187"/>
      <c r="BG128" s="187"/>
      <c r="BH128" s="187"/>
      <c r="BI128" s="187"/>
      <c r="BJ128" s="187"/>
      <c r="BK128" s="187"/>
      <c r="BL128" s="187"/>
      <c r="BM128" s="187"/>
      <c r="BN128" s="187"/>
      <c r="BO128" s="187"/>
      <c r="BP128" s="187"/>
    </row>
    <row r="129" spans="1:68" ht="14.25" customHeight="1" x14ac:dyDescent="0.3">
      <c r="A129" s="68"/>
      <c r="B129" s="46"/>
      <c r="C129" s="46"/>
      <c r="D129" s="68"/>
      <c r="E129" s="68"/>
      <c r="F129" s="68"/>
      <c r="G129" s="68"/>
      <c r="H129" s="68"/>
      <c r="I129" s="68"/>
      <c r="J129" s="68"/>
      <c r="K129" s="68"/>
      <c r="L129" s="68"/>
      <c r="M129" s="68"/>
      <c r="N129" s="68"/>
      <c r="O129" s="68"/>
      <c r="P129" s="42"/>
      <c r="Q129" s="42"/>
      <c r="R129" s="42"/>
      <c r="S129" s="42"/>
      <c r="T129" s="42"/>
      <c r="U129" s="42"/>
      <c r="V129" s="42"/>
      <c r="W129" s="42"/>
      <c r="X129" s="42"/>
      <c r="Y129" s="43"/>
      <c r="Z129" s="43"/>
      <c r="AA129" s="43"/>
      <c r="AB129" s="43"/>
      <c r="AC129" s="43"/>
      <c r="AD129" s="43"/>
      <c r="AE129" s="43"/>
      <c r="AF129" s="47"/>
      <c r="AG129" s="47"/>
      <c r="AH129" s="48"/>
      <c r="AI129" s="47"/>
      <c r="AJ129" s="68"/>
      <c r="AK129" s="68"/>
      <c r="AL129" s="68"/>
      <c r="AM129" s="68"/>
      <c r="AN129" s="68"/>
      <c r="AO129" s="68"/>
      <c r="AP129" s="68"/>
      <c r="AQ129" s="68"/>
      <c r="AR129" s="68"/>
      <c r="AS129" s="68"/>
      <c r="AT129" s="68"/>
      <c r="AU129" s="68"/>
      <c r="AV129" s="68"/>
      <c r="AW129" s="68"/>
      <c r="AX129" s="68"/>
      <c r="AY129" s="78"/>
      <c r="AZ129" s="78"/>
      <c r="BA129" s="78"/>
      <c r="BB129" s="78"/>
      <c r="BC129" s="78"/>
      <c r="BD129" s="78"/>
      <c r="BE129" s="78"/>
      <c r="BF129" s="78"/>
      <c r="BG129" s="78"/>
      <c r="BH129" s="78"/>
      <c r="BI129" s="78"/>
      <c r="BJ129" s="78"/>
      <c r="BK129" s="78"/>
      <c r="BL129" s="78"/>
      <c r="BM129" s="78"/>
      <c r="BN129" s="78"/>
      <c r="BO129" s="78"/>
      <c r="BP129" s="78"/>
    </row>
    <row r="130" spans="1:68" ht="14.25" customHeight="1" x14ac:dyDescent="0.3">
      <c r="A130" s="68"/>
      <c r="B130" s="46"/>
      <c r="C130" s="46"/>
      <c r="D130" s="68"/>
      <c r="E130" s="68"/>
      <c r="F130" s="68"/>
      <c r="G130" s="68"/>
      <c r="H130" s="68"/>
      <c r="I130" s="68"/>
      <c r="J130" s="68"/>
      <c r="K130" s="68"/>
      <c r="L130" s="68"/>
      <c r="M130" s="68"/>
      <c r="N130" s="68"/>
      <c r="O130" s="68"/>
      <c r="P130" s="42"/>
      <c r="Q130" s="42"/>
      <c r="R130" s="42"/>
      <c r="S130" s="42"/>
      <c r="T130" s="42"/>
      <c r="U130" s="42"/>
      <c r="V130" s="42"/>
      <c r="W130" s="42"/>
      <c r="X130" s="42"/>
      <c r="Y130" s="43"/>
      <c r="Z130" s="43"/>
      <c r="AA130" s="43"/>
      <c r="AB130" s="43"/>
      <c r="AC130" s="43"/>
      <c r="AD130" s="43"/>
      <c r="AE130" s="43"/>
      <c r="AF130" s="47"/>
      <c r="AG130" s="47"/>
      <c r="AH130" s="48"/>
      <c r="AI130" s="47"/>
      <c r="AJ130" s="68"/>
      <c r="AK130" s="68"/>
      <c r="AL130" s="68"/>
      <c r="AM130" s="68"/>
      <c r="AN130" s="68"/>
      <c r="AO130" s="68"/>
      <c r="AP130" s="68"/>
      <c r="AQ130" s="68"/>
      <c r="AR130" s="68"/>
      <c r="AS130" s="68"/>
      <c r="AT130" s="68"/>
      <c r="AU130" s="68"/>
      <c r="AV130" s="68"/>
      <c r="AW130" s="68"/>
      <c r="AX130" s="68"/>
      <c r="AY130" s="78"/>
      <c r="AZ130" s="78"/>
      <c r="BA130" s="78"/>
      <c r="BB130" s="78"/>
      <c r="BC130" s="78"/>
      <c r="BD130" s="78"/>
      <c r="BE130" s="78"/>
      <c r="BF130" s="78"/>
      <c r="BG130" s="78"/>
      <c r="BH130" s="78"/>
      <c r="BI130" s="78"/>
      <c r="BJ130" s="78"/>
      <c r="BK130" s="78"/>
      <c r="BL130" s="78"/>
      <c r="BM130" s="78"/>
      <c r="BN130" s="78"/>
      <c r="BO130" s="78"/>
      <c r="BP130" s="78"/>
    </row>
    <row r="131" spans="1:68" ht="14.25" customHeight="1" x14ac:dyDescent="0.3">
      <c r="A131" s="45"/>
      <c r="B131" s="45"/>
      <c r="C131" s="45"/>
      <c r="D131" s="45"/>
      <c r="E131" s="45"/>
      <c r="F131" s="45"/>
      <c r="G131" s="45"/>
      <c r="H131" s="45"/>
      <c r="I131" s="45"/>
      <c r="J131" s="45"/>
      <c r="K131" s="45"/>
      <c r="L131" s="45"/>
      <c r="M131" s="45"/>
      <c r="N131" s="45"/>
      <c r="O131" s="45"/>
      <c r="P131" s="42"/>
      <c r="Q131" s="42"/>
      <c r="R131" s="42"/>
      <c r="S131" s="42"/>
      <c r="T131" s="42"/>
      <c r="U131" s="42"/>
      <c r="V131" s="42"/>
      <c r="W131" s="42"/>
      <c r="X131" s="42"/>
      <c r="Y131" s="43"/>
      <c r="Z131" s="43"/>
      <c r="AA131" s="43"/>
      <c r="AB131" s="43"/>
      <c r="AC131" s="43"/>
      <c r="AD131" s="43"/>
      <c r="AE131" s="43"/>
      <c r="AF131" s="45"/>
      <c r="AG131" s="45"/>
      <c r="AH131" s="48"/>
      <c r="AI131" s="48"/>
      <c r="AJ131" s="206"/>
      <c r="AK131" s="206"/>
      <c r="AL131" s="206"/>
      <c r="AM131" s="206"/>
      <c r="AN131" s="206"/>
      <c r="AO131" s="206"/>
      <c r="AP131" s="206"/>
      <c r="AQ131" s="206"/>
      <c r="AR131" s="206"/>
      <c r="AS131" s="206"/>
      <c r="AT131" s="206"/>
      <c r="AU131" s="206"/>
      <c r="AV131" s="206"/>
      <c r="AW131" s="206"/>
      <c r="AX131" s="206"/>
      <c r="AY131" s="187"/>
      <c r="AZ131" s="187"/>
      <c r="BA131" s="187"/>
      <c r="BB131" s="187"/>
      <c r="BC131" s="187"/>
      <c r="BD131" s="187"/>
      <c r="BE131" s="187"/>
      <c r="BF131" s="187"/>
      <c r="BG131" s="187"/>
      <c r="BH131" s="187"/>
      <c r="BI131" s="187"/>
      <c r="BJ131" s="187"/>
      <c r="BK131" s="187"/>
      <c r="BL131" s="187"/>
      <c r="BM131" s="187"/>
      <c r="BN131" s="187"/>
      <c r="BO131" s="187"/>
      <c r="BP131" s="187"/>
    </row>
    <row r="132" spans="1:68" ht="14.25" customHeight="1" x14ac:dyDescent="0.3">
      <c r="A132" s="45"/>
      <c r="B132" s="45"/>
      <c r="C132" s="45"/>
      <c r="D132" s="45"/>
      <c r="E132" s="45"/>
      <c r="F132" s="45"/>
      <c r="G132" s="45"/>
      <c r="H132" s="45"/>
      <c r="I132" s="45"/>
      <c r="J132" s="45"/>
      <c r="K132" s="45"/>
      <c r="L132" s="45"/>
      <c r="M132" s="45"/>
      <c r="N132" s="45"/>
      <c r="O132" s="45"/>
      <c r="P132" s="42"/>
      <c r="Q132" s="42"/>
      <c r="R132" s="42"/>
      <c r="S132" s="42"/>
      <c r="T132" s="42"/>
      <c r="U132" s="42"/>
      <c r="V132" s="42"/>
      <c r="W132" s="42"/>
      <c r="X132" s="42"/>
      <c r="Y132" s="43"/>
      <c r="Z132" s="43"/>
      <c r="AA132" s="43"/>
      <c r="AB132" s="43"/>
      <c r="AC132" s="43"/>
      <c r="AD132" s="43"/>
      <c r="AE132" s="43"/>
      <c r="AF132" s="45"/>
      <c r="AG132" s="45"/>
      <c r="AH132" s="48"/>
      <c r="AI132" s="37"/>
      <c r="AJ132" s="206"/>
      <c r="AK132" s="206"/>
      <c r="AL132" s="206"/>
      <c r="AM132" s="206"/>
      <c r="AN132" s="206"/>
      <c r="AO132" s="206"/>
      <c r="AP132" s="206"/>
      <c r="AQ132" s="206"/>
      <c r="AR132" s="206"/>
      <c r="AS132" s="206"/>
      <c r="AT132" s="206"/>
      <c r="AU132" s="206"/>
      <c r="AV132" s="206"/>
      <c r="AW132" s="206"/>
      <c r="AX132" s="206"/>
      <c r="AY132" s="45"/>
      <c r="AZ132" s="45"/>
      <c r="BA132" s="45"/>
      <c r="BB132" s="45"/>
      <c r="BC132" s="45"/>
      <c r="BD132" s="45"/>
      <c r="BE132" s="45"/>
      <c r="BF132" s="45"/>
      <c r="BG132" s="45"/>
    </row>
    <row r="133" spans="1:68" ht="14.25" customHeight="1" x14ac:dyDescent="0.3">
      <c r="A133" s="49"/>
      <c r="B133" s="55"/>
      <c r="C133" s="55"/>
      <c r="D133" s="55"/>
      <c r="E133" s="55"/>
      <c r="F133" s="55"/>
      <c r="G133" s="55"/>
      <c r="H133" s="55"/>
      <c r="I133" s="55"/>
      <c r="J133" s="55"/>
      <c r="K133" s="55"/>
      <c r="L133" s="55"/>
      <c r="M133" s="55"/>
      <c r="N133" s="55"/>
      <c r="O133" s="55"/>
      <c r="P133" s="55"/>
      <c r="Q133" s="55"/>
      <c r="R133" s="55"/>
      <c r="S133" s="55"/>
      <c r="T133" s="55"/>
      <c r="U133" s="52"/>
      <c r="V133" s="54"/>
      <c r="W133" s="49"/>
      <c r="X133" s="49"/>
      <c r="Y133" s="49"/>
      <c r="Z133" s="49"/>
      <c r="AA133" s="49"/>
      <c r="AB133" s="49"/>
      <c r="AC133" s="49"/>
      <c r="AD133" s="49"/>
      <c r="AE133" s="49"/>
      <c r="AF133" s="49"/>
      <c r="AG133" s="49"/>
      <c r="AH133" s="56"/>
      <c r="AI133" s="56"/>
      <c r="AJ133" s="62"/>
      <c r="AK133" s="62"/>
      <c r="AL133" s="62"/>
      <c r="AM133" s="62"/>
      <c r="AN133" s="62"/>
      <c r="AO133" s="62"/>
      <c r="AP133" s="62"/>
    </row>
    <row r="134" spans="1:68" ht="14.25" customHeight="1" x14ac:dyDescent="0.25">
      <c r="A134" s="55"/>
      <c r="B134" s="55"/>
      <c r="C134" s="55"/>
      <c r="D134" s="55"/>
      <c r="E134" s="55"/>
      <c r="F134" s="55"/>
      <c r="G134" s="55"/>
      <c r="H134" s="55"/>
      <c r="I134" s="55"/>
      <c r="J134" s="55"/>
      <c r="K134" s="55"/>
      <c r="L134" s="55"/>
      <c r="M134" s="55"/>
      <c r="N134" s="55"/>
      <c r="O134" s="55"/>
      <c r="P134" s="55"/>
      <c r="Q134" s="55"/>
      <c r="R134" s="55"/>
      <c r="S134" s="56"/>
      <c r="T134" s="52"/>
      <c r="U134" s="52"/>
      <c r="V134" s="54"/>
      <c r="W134" s="54"/>
      <c r="X134" s="57"/>
      <c r="Y134" s="56"/>
      <c r="Z134" s="55"/>
      <c r="AA134" s="55"/>
      <c r="AB134" s="55"/>
      <c r="AC134" s="55"/>
      <c r="AD134" s="55"/>
      <c r="AE134" s="55"/>
      <c r="AF134" s="55"/>
      <c r="AG134" s="55"/>
      <c r="AH134" s="56"/>
      <c r="AI134" s="56"/>
      <c r="AJ134" s="55"/>
      <c r="AK134" s="55"/>
      <c r="AL134" s="55"/>
      <c r="AM134" s="55"/>
      <c r="AN134" s="55"/>
      <c r="AO134" s="55"/>
      <c r="AP134" s="55"/>
    </row>
    <row r="135" spans="1:68" ht="14.25" customHeight="1" x14ac:dyDescent="0.25">
      <c r="A135" s="55"/>
      <c r="B135" s="55"/>
      <c r="C135" s="55"/>
      <c r="D135" s="55"/>
      <c r="E135" s="55"/>
      <c r="F135" s="55"/>
      <c r="G135" s="55"/>
      <c r="H135" s="55"/>
      <c r="I135" s="55"/>
      <c r="J135" s="55"/>
      <c r="K135" s="55"/>
      <c r="L135" s="55"/>
      <c r="M135" s="55"/>
      <c r="N135" s="55"/>
      <c r="O135" s="55"/>
      <c r="P135" s="55"/>
      <c r="Q135" s="55"/>
      <c r="R135" s="55"/>
      <c r="S135" s="55"/>
      <c r="T135" s="56"/>
      <c r="U135" s="52"/>
      <c r="V135" s="54"/>
      <c r="W135" s="54"/>
      <c r="X135" s="52"/>
      <c r="Y135" s="55"/>
      <c r="Z135" s="55"/>
      <c r="AA135" s="55"/>
      <c r="AB135" s="55"/>
      <c r="AC135" s="55"/>
      <c r="AD135" s="55"/>
      <c r="AE135" s="55"/>
      <c r="AF135" s="55"/>
      <c r="AG135" s="55"/>
      <c r="AH135" s="55"/>
      <c r="AI135" s="55"/>
      <c r="AJ135" s="55"/>
      <c r="AK135" s="55"/>
      <c r="AL135" s="55"/>
      <c r="AM135" s="55"/>
      <c r="AN135" s="55"/>
      <c r="AO135" s="55"/>
      <c r="AP135" s="55"/>
    </row>
    <row r="136" spans="1:68" ht="14.25" customHeight="1" x14ac:dyDescent="0.3">
      <c r="A136" s="49"/>
      <c r="B136" s="49"/>
      <c r="C136" s="49"/>
      <c r="D136" s="49"/>
      <c r="E136" s="49"/>
      <c r="F136" s="49"/>
      <c r="G136" s="49"/>
      <c r="H136" s="49"/>
      <c r="I136" s="49"/>
      <c r="J136" s="49"/>
      <c r="K136" s="49"/>
      <c r="L136" s="49"/>
      <c r="M136" s="49"/>
      <c r="N136" s="49"/>
      <c r="O136" s="49"/>
      <c r="P136" s="49"/>
      <c r="Q136" s="49"/>
      <c r="R136" s="49"/>
      <c r="S136" s="49"/>
      <c r="T136" s="49"/>
      <c r="U136" s="49"/>
      <c r="V136" s="54"/>
      <c r="W136" s="49"/>
      <c r="X136" s="49"/>
      <c r="Y136" s="49"/>
      <c r="Z136" s="49"/>
      <c r="AA136" s="49"/>
      <c r="AB136" s="49"/>
      <c r="AC136" s="49"/>
      <c r="AD136" s="49"/>
      <c r="AE136" s="49"/>
      <c r="AF136" s="49"/>
      <c r="AG136" s="49"/>
      <c r="AH136" s="50"/>
      <c r="AI136" s="50"/>
      <c r="AJ136" s="62"/>
      <c r="AK136" s="62"/>
      <c r="AL136" s="62"/>
      <c r="AM136" s="62"/>
      <c r="AN136" s="62"/>
      <c r="AO136" s="62"/>
      <c r="AP136" s="62"/>
    </row>
    <row r="137" spans="1:68" ht="18" customHeight="1" x14ac:dyDescent="0.25">
      <c r="A137" s="82"/>
      <c r="B137" s="64"/>
      <c r="C137" s="64"/>
      <c r="D137" s="82"/>
      <c r="E137" s="82"/>
      <c r="F137" s="82"/>
      <c r="G137" s="82"/>
      <c r="H137" s="82"/>
      <c r="I137" s="82"/>
      <c r="J137" s="82"/>
      <c r="K137" s="82"/>
      <c r="L137" s="82"/>
      <c r="M137" s="82"/>
      <c r="N137" s="82"/>
      <c r="O137" s="82"/>
      <c r="P137" s="82"/>
      <c r="Q137" s="82"/>
      <c r="R137" s="82"/>
      <c r="S137" s="82"/>
      <c r="T137" s="82"/>
      <c r="U137" s="82"/>
      <c r="V137" s="54"/>
      <c r="W137" s="54"/>
      <c r="X137" s="52"/>
      <c r="Y137" s="50"/>
      <c r="Z137" s="50"/>
      <c r="AA137" s="50"/>
      <c r="AB137" s="77"/>
      <c r="AC137" s="77"/>
      <c r="AD137" s="77"/>
      <c r="AE137" s="77"/>
      <c r="AF137" s="77"/>
      <c r="AG137" s="77"/>
      <c r="AH137" s="77"/>
      <c r="AI137" s="77"/>
      <c r="AJ137" s="50"/>
      <c r="AK137" s="77"/>
      <c r="AL137" s="77"/>
      <c r="AM137" s="77"/>
      <c r="AN137" s="77"/>
      <c r="AO137" s="77"/>
      <c r="AP137" s="77"/>
    </row>
    <row r="138" spans="1:68" ht="18" customHeight="1" x14ac:dyDescent="0.3">
      <c r="A138" s="49"/>
      <c r="B138" s="49"/>
      <c r="C138" s="49"/>
      <c r="D138" s="49"/>
      <c r="E138" s="49"/>
      <c r="F138" s="49"/>
      <c r="G138" s="49"/>
      <c r="H138" s="49"/>
      <c r="I138" s="49"/>
      <c r="J138" s="49"/>
      <c r="K138" s="49"/>
      <c r="L138" s="49"/>
      <c r="M138" s="49"/>
      <c r="N138" s="49"/>
      <c r="O138" s="49"/>
      <c r="P138" s="49"/>
      <c r="Q138" s="49"/>
      <c r="R138" s="49"/>
      <c r="S138" s="49"/>
      <c r="T138" s="49"/>
      <c r="U138" s="49"/>
      <c r="V138" s="54"/>
      <c r="W138" s="49"/>
      <c r="X138" s="49"/>
      <c r="Y138" s="49"/>
      <c r="Z138" s="49"/>
      <c r="AA138" s="49"/>
      <c r="AB138" s="49"/>
      <c r="AC138" s="49"/>
      <c r="AD138" s="49"/>
      <c r="AE138" s="49"/>
      <c r="AF138" s="49"/>
      <c r="AG138" s="49"/>
      <c r="AH138" s="50"/>
      <c r="AI138" s="50"/>
      <c r="AJ138" s="62"/>
      <c r="AK138" s="62"/>
      <c r="AL138" s="62"/>
      <c r="AM138" s="62"/>
      <c r="AN138" s="62"/>
      <c r="AO138" s="62"/>
      <c r="AP138" s="62"/>
    </row>
    <row r="139" spans="1:68" ht="18" customHeight="1" x14ac:dyDescent="0.25"/>
    <row r="140" spans="1:68" ht="18" customHeight="1" x14ac:dyDescent="0.25"/>
    <row r="141" spans="1:68" ht="18" customHeight="1" x14ac:dyDescent="0.25"/>
    <row r="142" spans="1:68" ht="18" customHeight="1" x14ac:dyDescent="0.25"/>
    <row r="143" spans="1:68" ht="18" customHeight="1" x14ac:dyDescent="0.25"/>
    <row r="144" spans="1:68" ht="18" customHeight="1" x14ac:dyDescent="0.25"/>
    <row r="145" ht="18" customHeight="1" x14ac:dyDescent="0.25"/>
    <row r="146" ht="18" customHeight="1" x14ac:dyDescent="0.25"/>
  </sheetData>
  <mergeCells count="723">
    <mergeCell ref="AY128:BG128"/>
    <mergeCell ref="BH128:BP128"/>
    <mergeCell ref="AJ131:AX132"/>
    <mergeCell ref="AY131:BG131"/>
    <mergeCell ref="BH131:BP131"/>
    <mergeCell ref="B99:BP99"/>
    <mergeCell ref="AJ113:AX116"/>
    <mergeCell ref="AY113:BG116"/>
    <mergeCell ref="BH113:BR116"/>
    <mergeCell ref="A119:O122"/>
    <mergeCell ref="P119:X122"/>
    <mergeCell ref="Y119:AE122"/>
    <mergeCell ref="AJ119:AX122"/>
    <mergeCell ref="AY119:BG122"/>
    <mergeCell ref="BH119:BR122"/>
    <mergeCell ref="A113:O116"/>
    <mergeCell ref="P113:X116"/>
    <mergeCell ref="Y113:AE116"/>
    <mergeCell ref="B100:BP100"/>
    <mergeCell ref="V88:AZ89"/>
    <mergeCell ref="B96:BQ96"/>
    <mergeCell ref="B101:BP101"/>
    <mergeCell ref="A104:O104"/>
    <mergeCell ref="P104:S104"/>
    <mergeCell ref="T104:X104"/>
    <mergeCell ref="AJ104:BR110"/>
    <mergeCell ref="BC83:BE83"/>
    <mergeCell ref="BF83:BH83"/>
    <mergeCell ref="BI83:BK83"/>
    <mergeCell ref="BL83:BN83"/>
    <mergeCell ref="BO83:BR83"/>
    <mergeCell ref="V86:AZ87"/>
    <mergeCell ref="AK83:AM83"/>
    <mergeCell ref="AN83:AP83"/>
    <mergeCell ref="AQ83:AS83"/>
    <mergeCell ref="AT83:AV83"/>
    <mergeCell ref="AW83:AY83"/>
    <mergeCell ref="AZ83:BB83"/>
    <mergeCell ref="B83:C83"/>
    <mergeCell ref="D83:O83"/>
    <mergeCell ref="P83:R83"/>
    <mergeCell ref="S83:U83"/>
    <mergeCell ref="V83:X83"/>
    <mergeCell ref="B93:BQ93"/>
    <mergeCell ref="B94:BQ94"/>
    <mergeCell ref="B95:BQ95"/>
    <mergeCell ref="B97:BP97"/>
    <mergeCell ref="B98:BP98"/>
    <mergeCell ref="BL82:BN82"/>
    <mergeCell ref="BO82:BR82"/>
    <mergeCell ref="B92:BQ92"/>
    <mergeCell ref="Y83:AA83"/>
    <mergeCell ref="AB83:AD83"/>
    <mergeCell ref="AE83:AG83"/>
    <mergeCell ref="AH83:AJ83"/>
    <mergeCell ref="AT82:AV82"/>
    <mergeCell ref="AW82:AY82"/>
    <mergeCell ref="AZ82:BB82"/>
    <mergeCell ref="BC82:BE82"/>
    <mergeCell ref="BF82:BH82"/>
    <mergeCell ref="BI82:BK82"/>
    <mergeCell ref="AB82:AD82"/>
    <mergeCell ref="AE82:AG82"/>
    <mergeCell ref="AH82:AJ82"/>
    <mergeCell ref="AK82:AM82"/>
    <mergeCell ref="AN82:AP82"/>
    <mergeCell ref="AQ82:AS82"/>
    <mergeCell ref="BL81:BN81"/>
    <mergeCell ref="BO81:BR81"/>
    <mergeCell ref="AH81:AJ81"/>
    <mergeCell ref="AK81:AM81"/>
    <mergeCell ref="AN81:AP81"/>
    <mergeCell ref="AQ81:AS81"/>
    <mergeCell ref="AT81:AV81"/>
    <mergeCell ref="AW81:AY81"/>
    <mergeCell ref="B82:C82"/>
    <mergeCell ref="D82:O82"/>
    <mergeCell ref="P82:R82"/>
    <mergeCell ref="S82:U82"/>
    <mergeCell ref="V82:X82"/>
    <mergeCell ref="Y82:AA82"/>
    <mergeCell ref="AZ81:BB81"/>
    <mergeCell ref="BC81:BE81"/>
    <mergeCell ref="BF81:BH81"/>
    <mergeCell ref="BO80:BR80"/>
    <mergeCell ref="B81:C81"/>
    <mergeCell ref="D81:O81"/>
    <mergeCell ref="P81:R81"/>
    <mergeCell ref="S81:U81"/>
    <mergeCell ref="V81:X81"/>
    <mergeCell ref="Y81:AA81"/>
    <mergeCell ref="AB81:AD81"/>
    <mergeCell ref="AE81:AG81"/>
    <mergeCell ref="AT80:AV80"/>
    <mergeCell ref="AW80:AY80"/>
    <mergeCell ref="AZ80:BB80"/>
    <mergeCell ref="BC80:BE80"/>
    <mergeCell ref="BF80:BH80"/>
    <mergeCell ref="BI80:BK80"/>
    <mergeCell ref="AB80:AD80"/>
    <mergeCell ref="AE80:AG80"/>
    <mergeCell ref="AH80:AJ80"/>
    <mergeCell ref="AK80:AM80"/>
    <mergeCell ref="AN80:AP80"/>
    <mergeCell ref="AQ80:AS80"/>
    <mergeCell ref="B80:C80"/>
    <mergeCell ref="D80:O80"/>
    <mergeCell ref="BI81:BK81"/>
    <mergeCell ref="P80:R80"/>
    <mergeCell ref="S80:U80"/>
    <mergeCell ref="V80:X80"/>
    <mergeCell ref="Y80:AA80"/>
    <mergeCell ref="AZ79:BB79"/>
    <mergeCell ref="BC79:BE79"/>
    <mergeCell ref="BF79:BH79"/>
    <mergeCell ref="BI79:BK79"/>
    <mergeCell ref="BL79:BN79"/>
    <mergeCell ref="BL80:BN80"/>
    <mergeCell ref="BO79:BR79"/>
    <mergeCell ref="AH79:AJ79"/>
    <mergeCell ref="AK79:AM79"/>
    <mergeCell ref="AN79:AP79"/>
    <mergeCell ref="AQ79:AS79"/>
    <mergeCell ref="AT79:AV79"/>
    <mergeCell ref="AW79:AY79"/>
    <mergeCell ref="BL78:BN78"/>
    <mergeCell ref="BO78:BR78"/>
    <mergeCell ref="AW78:AY78"/>
    <mergeCell ref="AZ78:BB78"/>
    <mergeCell ref="BC78:BE78"/>
    <mergeCell ref="BF78:BH78"/>
    <mergeCell ref="BI78:BK78"/>
    <mergeCell ref="B79:C79"/>
    <mergeCell ref="D79:O79"/>
    <mergeCell ref="P79:R79"/>
    <mergeCell ref="S79:U79"/>
    <mergeCell ref="V79:X79"/>
    <mergeCell ref="Y79:AA79"/>
    <mergeCell ref="AB79:AD79"/>
    <mergeCell ref="AE79:AG79"/>
    <mergeCell ref="AT78:AV78"/>
    <mergeCell ref="AB78:AD78"/>
    <mergeCell ref="AE78:AG78"/>
    <mergeCell ref="AH78:AJ78"/>
    <mergeCell ref="AK78:AM78"/>
    <mergeCell ref="AN78:AP78"/>
    <mergeCell ref="AQ78:AS78"/>
    <mergeCell ref="B78:C78"/>
    <mergeCell ref="D78:O78"/>
    <mergeCell ref="P78:R78"/>
    <mergeCell ref="S78:U78"/>
    <mergeCell ref="V78:X78"/>
    <mergeCell ref="Y78:AA78"/>
    <mergeCell ref="BC77:BE77"/>
    <mergeCell ref="BF77:BH77"/>
    <mergeCell ref="BI77:BK77"/>
    <mergeCell ref="BL77:BN77"/>
    <mergeCell ref="BO77:BR77"/>
    <mergeCell ref="AH77:AJ77"/>
    <mergeCell ref="AK77:AM77"/>
    <mergeCell ref="AN77:AP77"/>
    <mergeCell ref="AQ77:AS77"/>
    <mergeCell ref="AT77:AV77"/>
    <mergeCell ref="AW77:AY77"/>
    <mergeCell ref="BO76:BR76"/>
    <mergeCell ref="B77:C77"/>
    <mergeCell ref="D77:O77"/>
    <mergeCell ref="P77:R77"/>
    <mergeCell ref="S77:U77"/>
    <mergeCell ref="V77:X77"/>
    <mergeCell ref="Y77:AA77"/>
    <mergeCell ref="AB77:AD77"/>
    <mergeCell ref="AE77:AG77"/>
    <mergeCell ref="AT76:AV76"/>
    <mergeCell ref="AW76:AY76"/>
    <mergeCell ref="AZ76:BB76"/>
    <mergeCell ref="BC76:BE76"/>
    <mergeCell ref="BF76:BH76"/>
    <mergeCell ref="BI76:BK76"/>
    <mergeCell ref="AB76:AD76"/>
    <mergeCell ref="AE76:AG76"/>
    <mergeCell ref="AH76:AJ76"/>
    <mergeCell ref="AK76:AM76"/>
    <mergeCell ref="AN76:AP76"/>
    <mergeCell ref="AQ76:AS76"/>
    <mergeCell ref="B76:C76"/>
    <mergeCell ref="D76:O76"/>
    <mergeCell ref="AZ77:BB77"/>
    <mergeCell ref="P76:R76"/>
    <mergeCell ref="S76:U76"/>
    <mergeCell ref="V76:X76"/>
    <mergeCell ref="Y76:AA76"/>
    <mergeCell ref="AZ75:BB75"/>
    <mergeCell ref="BC75:BE75"/>
    <mergeCell ref="BF75:BH75"/>
    <mergeCell ref="BI75:BK75"/>
    <mergeCell ref="BL75:BN75"/>
    <mergeCell ref="BL76:BN76"/>
    <mergeCell ref="BO75:BR75"/>
    <mergeCell ref="AH75:AJ75"/>
    <mergeCell ref="AK75:AM75"/>
    <mergeCell ref="AN75:AP75"/>
    <mergeCell ref="AQ75:AS75"/>
    <mergeCell ref="AT75:AV75"/>
    <mergeCell ref="AW75:AY75"/>
    <mergeCell ref="BL74:BN74"/>
    <mergeCell ref="BO74:BR74"/>
    <mergeCell ref="AW74:AY74"/>
    <mergeCell ref="AZ74:BB74"/>
    <mergeCell ref="BC74:BE74"/>
    <mergeCell ref="BF74:BH74"/>
    <mergeCell ref="BI74:BK74"/>
    <mergeCell ref="B75:C75"/>
    <mergeCell ref="D75:O75"/>
    <mergeCell ref="P75:R75"/>
    <mergeCell ref="S75:U75"/>
    <mergeCell ref="V75:X75"/>
    <mergeCell ref="Y75:AA75"/>
    <mergeCell ref="AB75:AD75"/>
    <mergeCell ref="AE75:AG75"/>
    <mergeCell ref="AT74:AV74"/>
    <mergeCell ref="AB74:AD74"/>
    <mergeCell ref="AE74:AG74"/>
    <mergeCell ref="AH74:AJ74"/>
    <mergeCell ref="AK74:AM74"/>
    <mergeCell ref="AN74:AP74"/>
    <mergeCell ref="AQ74:AS74"/>
    <mergeCell ref="B74:C74"/>
    <mergeCell ref="D74:O74"/>
    <mergeCell ref="P74:R74"/>
    <mergeCell ref="S74:U74"/>
    <mergeCell ref="V74:X74"/>
    <mergeCell ref="Y74:AA74"/>
    <mergeCell ref="BC73:BE73"/>
    <mergeCell ref="BF73:BH73"/>
    <mergeCell ref="BI73:BK73"/>
    <mergeCell ref="BL73:BN73"/>
    <mergeCell ref="BO73:BR73"/>
    <mergeCell ref="AH73:AJ73"/>
    <mergeCell ref="AK73:AM73"/>
    <mergeCell ref="AN73:AP73"/>
    <mergeCell ref="AQ73:AS73"/>
    <mergeCell ref="AT73:AV73"/>
    <mergeCell ref="AW73:AY73"/>
    <mergeCell ref="BO72:BR72"/>
    <mergeCell ref="B73:C73"/>
    <mergeCell ref="D73:O73"/>
    <mergeCell ref="P73:R73"/>
    <mergeCell ref="S73:U73"/>
    <mergeCell ref="V73:X73"/>
    <mergeCell ref="Y73:AA73"/>
    <mergeCell ref="AB73:AD73"/>
    <mergeCell ref="AE73:AG73"/>
    <mergeCell ref="AT72:AV72"/>
    <mergeCell ref="AW72:AY72"/>
    <mergeCell ref="AZ72:BB72"/>
    <mergeCell ref="BC72:BE72"/>
    <mergeCell ref="BF72:BH72"/>
    <mergeCell ref="BI72:BK72"/>
    <mergeCell ref="AB72:AD72"/>
    <mergeCell ref="AE72:AG72"/>
    <mergeCell ref="AH72:AJ72"/>
    <mergeCell ref="AK72:AM72"/>
    <mergeCell ref="AN72:AP72"/>
    <mergeCell ref="AQ72:AS72"/>
    <mergeCell ref="B72:C72"/>
    <mergeCell ref="D72:O72"/>
    <mergeCell ref="AZ73:BB73"/>
    <mergeCell ref="P72:R72"/>
    <mergeCell ref="S72:U72"/>
    <mergeCell ref="V72:X72"/>
    <mergeCell ref="Y72:AA72"/>
    <mergeCell ref="AZ71:BB71"/>
    <mergeCell ref="BC71:BE71"/>
    <mergeCell ref="BF71:BH71"/>
    <mergeCell ref="BI71:BK71"/>
    <mergeCell ref="BL71:BN71"/>
    <mergeCell ref="BL72:BN72"/>
    <mergeCell ref="BO71:BR71"/>
    <mergeCell ref="AH71:AJ71"/>
    <mergeCell ref="AK71:AM71"/>
    <mergeCell ref="AN71:AP71"/>
    <mergeCell ref="AQ71:AS71"/>
    <mergeCell ref="AT71:AV71"/>
    <mergeCell ref="AW71:AY71"/>
    <mergeCell ref="BL70:BN70"/>
    <mergeCell ref="BO70:BR70"/>
    <mergeCell ref="AW70:AY70"/>
    <mergeCell ref="AZ70:BB70"/>
    <mergeCell ref="BC70:BE70"/>
    <mergeCell ref="BF70:BH70"/>
    <mergeCell ref="BI70:BK70"/>
    <mergeCell ref="B71:C71"/>
    <mergeCell ref="D71:O71"/>
    <mergeCell ref="P71:R71"/>
    <mergeCell ref="S71:U71"/>
    <mergeCell ref="V71:X71"/>
    <mergeCell ref="Y71:AA71"/>
    <mergeCell ref="AB71:AD71"/>
    <mergeCell ref="AE71:AG71"/>
    <mergeCell ref="AT70:AV70"/>
    <mergeCell ref="AB70:AD70"/>
    <mergeCell ref="AE70:AG70"/>
    <mergeCell ref="AH70:AJ70"/>
    <mergeCell ref="AK70:AM70"/>
    <mergeCell ref="AN70:AP70"/>
    <mergeCell ref="AQ70:AS70"/>
    <mergeCell ref="B70:C70"/>
    <mergeCell ref="D70:O70"/>
    <mergeCell ref="P70:R70"/>
    <mergeCell ref="S70:U70"/>
    <mergeCell ref="V70:X70"/>
    <mergeCell ref="Y70:AA70"/>
    <mergeCell ref="BC69:BE69"/>
    <mergeCell ref="BF69:BH69"/>
    <mergeCell ref="BI69:BK69"/>
    <mergeCell ref="BL69:BN69"/>
    <mergeCell ref="BO69:BR69"/>
    <mergeCell ref="AH69:AJ69"/>
    <mergeCell ref="AK69:AM69"/>
    <mergeCell ref="AN69:AP69"/>
    <mergeCell ref="AQ69:AS69"/>
    <mergeCell ref="AT69:AV69"/>
    <mergeCell ref="AW69:AY69"/>
    <mergeCell ref="BO68:BR68"/>
    <mergeCell ref="B69:C69"/>
    <mergeCell ref="D69:O69"/>
    <mergeCell ref="P69:R69"/>
    <mergeCell ref="S69:U69"/>
    <mergeCell ref="V69:X69"/>
    <mergeCell ref="Y69:AA69"/>
    <mergeCell ref="AB69:AD69"/>
    <mergeCell ref="AE69:AG69"/>
    <mergeCell ref="AT68:AV68"/>
    <mergeCell ref="AW68:AY68"/>
    <mergeCell ref="AZ68:BB68"/>
    <mergeCell ref="BC68:BE68"/>
    <mergeCell ref="BF68:BH68"/>
    <mergeCell ref="BI68:BK68"/>
    <mergeCell ref="AB68:AD68"/>
    <mergeCell ref="AE68:AG68"/>
    <mergeCell ref="AH68:AJ68"/>
    <mergeCell ref="AK68:AM68"/>
    <mergeCell ref="AN68:AP68"/>
    <mergeCell ref="AQ68:AS68"/>
    <mergeCell ref="B68:C68"/>
    <mergeCell ref="D68:O68"/>
    <mergeCell ref="AZ69:BB69"/>
    <mergeCell ref="P68:R68"/>
    <mergeCell ref="S68:U68"/>
    <mergeCell ref="V68:X68"/>
    <mergeCell ref="Y68:AA68"/>
    <mergeCell ref="AZ67:BB67"/>
    <mergeCell ref="BC67:BE67"/>
    <mergeCell ref="BF67:BH67"/>
    <mergeCell ref="BI67:BK67"/>
    <mergeCell ref="BL67:BN67"/>
    <mergeCell ref="BL68:BN68"/>
    <mergeCell ref="BO67:BR67"/>
    <mergeCell ref="AH67:AJ67"/>
    <mergeCell ref="AK67:AM67"/>
    <mergeCell ref="AN67:AP67"/>
    <mergeCell ref="AQ67:AS67"/>
    <mergeCell ref="AT67:AV67"/>
    <mergeCell ref="AW67:AY67"/>
    <mergeCell ref="BL66:BN66"/>
    <mergeCell ref="BO66:BR66"/>
    <mergeCell ref="AW66:AY66"/>
    <mergeCell ref="AZ66:BB66"/>
    <mergeCell ref="BC66:BE66"/>
    <mergeCell ref="BF66:BH66"/>
    <mergeCell ref="BI66:BK66"/>
    <mergeCell ref="B67:C67"/>
    <mergeCell ref="D67:O67"/>
    <mergeCell ref="P67:R67"/>
    <mergeCell ref="S67:U67"/>
    <mergeCell ref="V67:X67"/>
    <mergeCell ref="Y67:AA67"/>
    <mergeCell ref="AB67:AD67"/>
    <mergeCell ref="AE67:AG67"/>
    <mergeCell ref="AT66:AV66"/>
    <mergeCell ref="AB66:AD66"/>
    <mergeCell ref="AE66:AG66"/>
    <mergeCell ref="AH66:AJ66"/>
    <mergeCell ref="AK66:AM66"/>
    <mergeCell ref="AN66:AP66"/>
    <mergeCell ref="AQ66:AS66"/>
    <mergeCell ref="B66:C66"/>
    <mergeCell ref="D66:O66"/>
    <mergeCell ref="P66:R66"/>
    <mergeCell ref="S66:U66"/>
    <mergeCell ref="V66:X66"/>
    <mergeCell ref="Y66:AA66"/>
    <mergeCell ref="BC65:BE65"/>
    <mergeCell ref="BF65:BH65"/>
    <mergeCell ref="BI65:BK65"/>
    <mergeCell ref="BL65:BN65"/>
    <mergeCell ref="BO65:BR65"/>
    <mergeCell ref="AH65:AJ65"/>
    <mergeCell ref="AK65:AM65"/>
    <mergeCell ref="AN65:AP65"/>
    <mergeCell ref="AQ65:AS65"/>
    <mergeCell ref="AT65:AV65"/>
    <mergeCell ref="AW65:AY65"/>
    <mergeCell ref="BO64:BR64"/>
    <mergeCell ref="B65:C65"/>
    <mergeCell ref="D65:O65"/>
    <mergeCell ref="P65:R65"/>
    <mergeCell ref="S65:U65"/>
    <mergeCell ref="V65:X65"/>
    <mergeCell ref="Y65:AA65"/>
    <mergeCell ref="AB65:AD65"/>
    <mergeCell ref="AE65:AG65"/>
    <mergeCell ref="AT64:AV64"/>
    <mergeCell ref="AW64:AY64"/>
    <mergeCell ref="AZ64:BB64"/>
    <mergeCell ref="BC64:BE64"/>
    <mergeCell ref="BF64:BH64"/>
    <mergeCell ref="BI64:BK64"/>
    <mergeCell ref="AB64:AD64"/>
    <mergeCell ref="AE64:AG64"/>
    <mergeCell ref="AH64:AJ64"/>
    <mergeCell ref="AK64:AM64"/>
    <mergeCell ref="AN64:AP64"/>
    <mergeCell ref="AQ64:AS64"/>
    <mergeCell ref="B64:C64"/>
    <mergeCell ref="D64:O64"/>
    <mergeCell ref="AZ65:BB65"/>
    <mergeCell ref="P64:R64"/>
    <mergeCell ref="S64:U64"/>
    <mergeCell ref="V64:X64"/>
    <mergeCell ref="Y64:AA64"/>
    <mergeCell ref="AZ63:BB63"/>
    <mergeCell ref="BC63:BE63"/>
    <mergeCell ref="BF63:BH63"/>
    <mergeCell ref="BI63:BK63"/>
    <mergeCell ref="BL63:BN63"/>
    <mergeCell ref="BL64:BN64"/>
    <mergeCell ref="BO63:BR63"/>
    <mergeCell ref="AH63:AJ63"/>
    <mergeCell ref="AK63:AM63"/>
    <mergeCell ref="AN63:AP63"/>
    <mergeCell ref="AQ63:AS63"/>
    <mergeCell ref="AT63:AV63"/>
    <mergeCell ref="AW63:AY63"/>
    <mergeCell ref="BL62:BN62"/>
    <mergeCell ref="BO62:BR62"/>
    <mergeCell ref="AW62:AY62"/>
    <mergeCell ref="AZ62:BB62"/>
    <mergeCell ref="BC62:BE62"/>
    <mergeCell ref="BF62:BH62"/>
    <mergeCell ref="BI62:BK62"/>
    <mergeCell ref="B63:C63"/>
    <mergeCell ref="D63:O63"/>
    <mergeCell ref="P63:R63"/>
    <mergeCell ref="S63:U63"/>
    <mergeCell ref="V63:X63"/>
    <mergeCell ref="Y63:AA63"/>
    <mergeCell ref="AB63:AD63"/>
    <mergeCell ref="AE63:AG63"/>
    <mergeCell ref="AT62:AV62"/>
    <mergeCell ref="AB62:AD62"/>
    <mergeCell ref="AE62:AG62"/>
    <mergeCell ref="AH62:AJ62"/>
    <mergeCell ref="AK62:AM62"/>
    <mergeCell ref="AN62:AP62"/>
    <mergeCell ref="AQ62:AS62"/>
    <mergeCell ref="B62:C62"/>
    <mergeCell ref="D62:O62"/>
    <mergeCell ref="P62:R62"/>
    <mergeCell ref="S62:U62"/>
    <mergeCell ref="V62:X62"/>
    <mergeCell ref="Y62:AA62"/>
    <mergeCell ref="BC61:BE61"/>
    <mergeCell ref="BF61:BH61"/>
    <mergeCell ref="BI61:BK61"/>
    <mergeCell ref="BL61:BN61"/>
    <mergeCell ref="BO61:BR61"/>
    <mergeCell ref="AH61:AJ61"/>
    <mergeCell ref="AK61:AM61"/>
    <mergeCell ref="AN61:AP61"/>
    <mergeCell ref="AQ61:AS61"/>
    <mergeCell ref="AT61:AV61"/>
    <mergeCell ref="AW61:AY61"/>
    <mergeCell ref="BO60:BR60"/>
    <mergeCell ref="B61:C61"/>
    <mergeCell ref="D61:O61"/>
    <mergeCell ref="P61:R61"/>
    <mergeCell ref="S61:U61"/>
    <mergeCell ref="V61:X61"/>
    <mergeCell ref="Y61:AA61"/>
    <mergeCell ref="AB61:AD61"/>
    <mergeCell ref="AE61:AG61"/>
    <mergeCell ref="AT60:AV60"/>
    <mergeCell ref="AW60:AY60"/>
    <mergeCell ref="AZ60:BB60"/>
    <mergeCell ref="BC60:BE60"/>
    <mergeCell ref="BF60:BH60"/>
    <mergeCell ref="BI60:BK60"/>
    <mergeCell ref="AB60:AD60"/>
    <mergeCell ref="AE60:AG60"/>
    <mergeCell ref="AH60:AJ60"/>
    <mergeCell ref="AK60:AM60"/>
    <mergeCell ref="AN60:AP60"/>
    <mergeCell ref="AQ60:AS60"/>
    <mergeCell ref="B60:C60"/>
    <mergeCell ref="D60:O60"/>
    <mergeCell ref="AZ61:BB61"/>
    <mergeCell ref="P60:R60"/>
    <mergeCell ref="S60:U60"/>
    <mergeCell ref="V60:X60"/>
    <mergeCell ref="Y60:AA60"/>
    <mergeCell ref="AZ59:BB59"/>
    <mergeCell ref="BC59:BE59"/>
    <mergeCell ref="BF59:BH59"/>
    <mergeCell ref="BI59:BK59"/>
    <mergeCell ref="BL59:BN59"/>
    <mergeCell ref="BL60:BN60"/>
    <mergeCell ref="BO59:BR59"/>
    <mergeCell ref="AH59:AJ59"/>
    <mergeCell ref="AK59:AM59"/>
    <mergeCell ref="AN59:AP59"/>
    <mergeCell ref="AQ59:AS59"/>
    <mergeCell ref="AT59:AV59"/>
    <mergeCell ref="AW59:AY59"/>
    <mergeCell ref="BL58:BN58"/>
    <mergeCell ref="BO58:BR58"/>
    <mergeCell ref="AW58:AY58"/>
    <mergeCell ref="AZ58:BB58"/>
    <mergeCell ref="BC58:BE58"/>
    <mergeCell ref="BF58:BH58"/>
    <mergeCell ref="BI58:BK58"/>
    <mergeCell ref="B59:C59"/>
    <mergeCell ref="D59:O59"/>
    <mergeCell ref="P59:R59"/>
    <mergeCell ref="S59:U59"/>
    <mergeCell ref="V59:X59"/>
    <mergeCell ref="Y59:AA59"/>
    <mergeCell ref="AB59:AD59"/>
    <mergeCell ref="AE59:AG59"/>
    <mergeCell ref="AT58:AV58"/>
    <mergeCell ref="AB58:AD58"/>
    <mergeCell ref="AE58:AG58"/>
    <mergeCell ref="AH58:AJ58"/>
    <mergeCell ref="AK58:AM58"/>
    <mergeCell ref="AN58:AP58"/>
    <mergeCell ref="AQ58:AS58"/>
    <mergeCell ref="B58:C58"/>
    <mergeCell ref="D58:O58"/>
    <mergeCell ref="P58:R58"/>
    <mergeCell ref="S58:U58"/>
    <mergeCell ref="V58:X58"/>
    <mergeCell ref="Y58:AA58"/>
    <mergeCell ref="BC57:BE57"/>
    <mergeCell ref="BF57:BH57"/>
    <mergeCell ref="BI57:BK57"/>
    <mergeCell ref="BL57:BN57"/>
    <mergeCell ref="BO57:BR57"/>
    <mergeCell ref="AH57:AJ57"/>
    <mergeCell ref="AK57:AM57"/>
    <mergeCell ref="AN57:AP57"/>
    <mergeCell ref="AQ57:AS57"/>
    <mergeCell ref="AT57:AV57"/>
    <mergeCell ref="AW57:AY57"/>
    <mergeCell ref="BO56:BR56"/>
    <mergeCell ref="B57:C57"/>
    <mergeCell ref="D57:O57"/>
    <mergeCell ref="P57:R57"/>
    <mergeCell ref="S57:U57"/>
    <mergeCell ref="V57:X57"/>
    <mergeCell ref="Y57:AA57"/>
    <mergeCell ref="AB57:AD57"/>
    <mergeCell ref="AE57:AG57"/>
    <mergeCell ref="AT56:AV56"/>
    <mergeCell ref="AW56:AY56"/>
    <mergeCell ref="AZ56:BB56"/>
    <mergeCell ref="BC56:BE56"/>
    <mergeCell ref="BF56:BH56"/>
    <mergeCell ref="BI56:BK56"/>
    <mergeCell ref="AB56:AD56"/>
    <mergeCell ref="AE56:AG56"/>
    <mergeCell ref="AH56:AJ56"/>
    <mergeCell ref="AK56:AM56"/>
    <mergeCell ref="AN56:AP56"/>
    <mergeCell ref="AQ56:AS56"/>
    <mergeCell ref="B56:C56"/>
    <mergeCell ref="D56:O56"/>
    <mergeCell ref="AZ57:BB57"/>
    <mergeCell ref="P56:R56"/>
    <mergeCell ref="S56:U56"/>
    <mergeCell ref="V56:X56"/>
    <mergeCell ref="Y56:AA56"/>
    <mergeCell ref="BC54:BE55"/>
    <mergeCell ref="BF54:BH55"/>
    <mergeCell ref="BI54:BK55"/>
    <mergeCell ref="BL54:BN55"/>
    <mergeCell ref="P55:R55"/>
    <mergeCell ref="S55:U55"/>
    <mergeCell ref="BL56:BN56"/>
    <mergeCell ref="BC52:BN53"/>
    <mergeCell ref="AH50:AJ55"/>
    <mergeCell ref="AK50:AM55"/>
    <mergeCell ref="AQ50:AS51"/>
    <mergeCell ref="AT50:AV51"/>
    <mergeCell ref="AW50:AY51"/>
    <mergeCell ref="AZ50:BB51"/>
    <mergeCell ref="AQ54:AS55"/>
    <mergeCell ref="AT54:AV55"/>
    <mergeCell ref="AW54:AY55"/>
    <mergeCell ref="AZ54:BB55"/>
    <mergeCell ref="A44:BR45"/>
    <mergeCell ref="A46:A55"/>
    <mergeCell ref="B46:C55"/>
    <mergeCell ref="D46:O55"/>
    <mergeCell ref="P46:AP47"/>
    <mergeCell ref="AQ46:BB47"/>
    <mergeCell ref="BC46:BN47"/>
    <mergeCell ref="BO46:BR55"/>
    <mergeCell ref="P48:U54"/>
    <mergeCell ref="V48:AM49"/>
    <mergeCell ref="AN48:AP55"/>
    <mergeCell ref="AQ48:AV49"/>
    <mergeCell ref="AW48:BB49"/>
    <mergeCell ref="BC48:BH49"/>
    <mergeCell ref="BI48:BN49"/>
    <mergeCell ref="V50:X55"/>
    <mergeCell ref="Y50:AA55"/>
    <mergeCell ref="AB50:AD55"/>
    <mergeCell ref="AE50:AG55"/>
    <mergeCell ref="BC50:BE51"/>
    <mergeCell ref="BF50:BH51"/>
    <mergeCell ref="BI50:BK51"/>
    <mergeCell ref="BL50:BN51"/>
    <mergeCell ref="AQ52:BB53"/>
    <mergeCell ref="BM37:BN37"/>
    <mergeCell ref="BO37:BP37"/>
    <mergeCell ref="BQ37:BR37"/>
    <mergeCell ref="B39:C41"/>
    <mergeCell ref="D39:J41"/>
    <mergeCell ref="K39:N41"/>
    <mergeCell ref="O39:R41"/>
    <mergeCell ref="S39:U41"/>
    <mergeCell ref="V39:AA41"/>
    <mergeCell ref="AB39:AD41"/>
    <mergeCell ref="A37:BB37"/>
    <mergeCell ref="BC37:BD37"/>
    <mergeCell ref="BE37:BF37"/>
    <mergeCell ref="BG37:BH37"/>
    <mergeCell ref="BI37:BJ37"/>
    <mergeCell ref="BK37:BL37"/>
    <mergeCell ref="BH39:BN41"/>
    <mergeCell ref="AF39:AM41"/>
    <mergeCell ref="AN39:AP41"/>
    <mergeCell ref="AR39:AU41"/>
    <mergeCell ref="AW39:AY41"/>
    <mergeCell ref="AZ39:BC41"/>
    <mergeCell ref="BD39:BG41"/>
    <mergeCell ref="A36:B36"/>
    <mergeCell ref="BC36:BD36"/>
    <mergeCell ref="BE36:BF36"/>
    <mergeCell ref="BG36:BH36"/>
    <mergeCell ref="BI36:BJ36"/>
    <mergeCell ref="BK36:BL36"/>
    <mergeCell ref="BM36:BN36"/>
    <mergeCell ref="BO36:BP36"/>
    <mergeCell ref="BQ36:BR36"/>
    <mergeCell ref="A35:B35"/>
    <mergeCell ref="BC35:BD35"/>
    <mergeCell ref="BW32:BX34"/>
    <mergeCell ref="BY32:CA34"/>
    <mergeCell ref="C33:F33"/>
    <mergeCell ref="G33:J33"/>
    <mergeCell ref="K33:O33"/>
    <mergeCell ref="P33:S33"/>
    <mergeCell ref="T33:X33"/>
    <mergeCell ref="Y33:AB33"/>
    <mergeCell ref="AC33:AF33"/>
    <mergeCell ref="AG33:AJ33"/>
    <mergeCell ref="BQ31:BR34"/>
    <mergeCell ref="BT31:CA31"/>
    <mergeCell ref="BQ35:BR35"/>
    <mergeCell ref="BE35:BF35"/>
    <mergeCell ref="BG35:BH35"/>
    <mergeCell ref="BI35:BJ35"/>
    <mergeCell ref="BK35:BL35"/>
    <mergeCell ref="BM35:BN35"/>
    <mergeCell ref="BO35:BP35"/>
    <mergeCell ref="CB31:CC34"/>
    <mergeCell ref="CD31:CE34"/>
    <mergeCell ref="CF31:CG34"/>
    <mergeCell ref="BE32:BF34"/>
    <mergeCell ref="BG32:BH34"/>
    <mergeCell ref="BI32:BJ34"/>
    <mergeCell ref="BK32:BL34"/>
    <mergeCell ref="BT32:BV34"/>
    <mergeCell ref="A23:Q26"/>
    <mergeCell ref="R23:AY26"/>
    <mergeCell ref="AZ23:BR26"/>
    <mergeCell ref="A29:BR30"/>
    <mergeCell ref="A31:B34"/>
    <mergeCell ref="C31:BB32"/>
    <mergeCell ref="BC31:BD34"/>
    <mergeCell ref="BE31:BL31"/>
    <mergeCell ref="BM31:BN34"/>
    <mergeCell ref="BO31:BP34"/>
    <mergeCell ref="AK33:AO33"/>
    <mergeCell ref="AP33:AS33"/>
    <mergeCell ref="AT33:AX33"/>
    <mergeCell ref="AY33:BB33"/>
    <mergeCell ref="A15:Q18"/>
    <mergeCell ref="R15:AY18"/>
    <mergeCell ref="AZ15:BR18"/>
    <mergeCell ref="A19:Q22"/>
    <mergeCell ref="R19:AY22"/>
    <mergeCell ref="AZ19:BR22"/>
    <mergeCell ref="A1:BR2"/>
    <mergeCell ref="A3:BR4"/>
    <mergeCell ref="A7:Q10"/>
    <mergeCell ref="R7:AY10"/>
    <mergeCell ref="AZ7:BR10"/>
    <mergeCell ref="A11:Q14"/>
    <mergeCell ref="R11:AY14"/>
    <mergeCell ref="AZ11:BR14"/>
  </mergeCells>
  <conditionalFormatting sqref="BW57:BW83">
    <cfRule type="expression" dxfId="1" priority="2">
      <formula>BV57=0</formula>
    </cfRule>
  </conditionalFormatting>
  <conditionalFormatting sqref="BZ57:BZ83">
    <cfRule type="expression" dxfId="0" priority="1">
      <formula>BY57=0</formula>
    </cfRule>
  </conditionalFormatting>
  <pageMargins left="0.19685039370078741" right="0.19685039370078741" top="0.19685039370078741" bottom="0.19685039370078741" header="0.31496062992125984" footer="0.31496062992125984"/>
  <pageSetup paperSize="9" scale="5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12</vt:i4>
      </vt:variant>
      <vt:variant>
        <vt:lpstr>Именованные диапазоны</vt:lpstr>
      </vt:variant>
      <vt:variant>
        <vt:i4>12</vt:i4>
      </vt:variant>
    </vt:vector>
  </HeadingPairs>
  <TitlesOfParts>
    <vt:vector size="24" baseType="lpstr">
      <vt:lpstr>Fanlar</vt:lpstr>
      <vt:lpstr>Musiqa san’ati</vt:lpstr>
      <vt:lpstr>Bastakorlik san’ati</vt:lpstr>
      <vt:lpstr>Musiqiy ovoz rejissyorligi</vt:lpstr>
      <vt:lpstr>Xor dirijyorligi</vt:lpstr>
      <vt:lpstr>O‘zbek xalq cholg‘ulari dir</vt:lpstr>
      <vt:lpstr>Opera-simfoniya dirijyorligi</vt:lpstr>
      <vt:lpstr>Akademik  xonandalik</vt:lpstr>
      <vt:lpstr>Fortepiano (organ)</vt:lpstr>
      <vt:lpstr>Puflama va zarbli cholg‘ular</vt:lpstr>
      <vt:lpstr>xalq cholg‘ulari</vt:lpstr>
      <vt:lpstr>torli cholg‘ular</vt:lpstr>
      <vt:lpstr>'Akademik  xonandalik'!Область_печати</vt:lpstr>
      <vt:lpstr>'Bastakorlik san’ati'!Область_печати</vt:lpstr>
      <vt:lpstr>Fanlar!Область_печати</vt:lpstr>
      <vt:lpstr>'Fortepiano (organ)'!Область_печати</vt:lpstr>
      <vt:lpstr>'Musiqa san’ati'!Область_печати</vt:lpstr>
      <vt:lpstr>'Musiqiy ovoz rejissyorligi'!Область_печати</vt:lpstr>
      <vt:lpstr>'O‘zbek xalq cholg‘ulari dir'!Область_печати</vt:lpstr>
      <vt:lpstr>'Opera-simfoniya dirijyorligi'!Область_печати</vt:lpstr>
      <vt:lpstr>'Puflama va zarbli cholg‘ular'!Область_печати</vt:lpstr>
      <vt:lpstr>'torli cholg‘ular'!Область_печати</vt:lpstr>
      <vt:lpstr>'xalq cholg‘ulari'!Область_печати</vt:lpstr>
      <vt:lpstr>'Xor dirijyorligi'!Область_печати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2025-12-11T07:50:08Z</dcterms:modified>
</cp:coreProperties>
</file>